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46142B14-0D1A-4A6D-927F-BE5B22BBCD4B}" xr6:coauthVersionLast="47" xr6:coauthVersionMax="47" xr10:uidLastSave="{00000000-0000-0000-0000-000000000000}"/>
  <bookViews>
    <workbookView xWindow="2835" yWindow="30" windowWidth="26130" windowHeight="15465" xr2:uid="{00000000-000D-0000-FFFF-FFFF00000000}"/>
  </bookViews>
  <sheets>
    <sheet name="試験手順書" sheetId="3" r:id="rId1"/>
    <sheet name="【別紙】操作内容" sheetId="4" r:id="rId2"/>
    <sheet name="【別紙】表示内容" sheetId="5" r:id="rId3"/>
    <sheet name="Master" sheetId="2" r:id="rId4"/>
  </sheets>
  <externalReferences>
    <externalReference r:id="rId5"/>
  </externalReferences>
  <definedNames>
    <definedName name="_1__123Graph_Aｸﾞﾗﾌ_1" hidden="1">#REF!</definedName>
    <definedName name="_2__123Graph_Aｸﾞﾗﾌ_1" hidden="1">#REF!</definedName>
    <definedName name="_2__123Graph_Xｸﾞﾗﾌ_1" hidden="1">#REF!</definedName>
    <definedName name="_4__123Graph_Xｸﾞﾗﾌ_1" hidden="1">#REF!</definedName>
    <definedName name="_Dist_Bin" hidden="1">'[1]F-NIP'!#REF!</definedName>
    <definedName name="_Dist_Values" hidden="1">'[1]F-NIP'!#REF!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1</definedName>
    <definedName name="_Parse_In" hidden="1">#REF!</definedName>
    <definedName name="_Parse_Out" hidden="1">#REF!</definedName>
    <definedName name="_Regression_Int" hidden="1">1</definedName>
    <definedName name="_Regression_X" hidden="1">#REF!</definedName>
    <definedName name="_Sort" hidden="1">#REF!</definedName>
    <definedName name="a" hidden="1">{"ID名称",#N/A,FALSE,"進捗状況";"prog予定",#N/A,FALSE,"進捗状況"}</definedName>
    <definedName name="aa" hidden="1">{"ID名称",#N/A,FALSE,"進捗状況";"prog予定",#N/A,FALSE,"進捗状況"}</definedName>
    <definedName name="aaaa" hidden="1">{"ID名称",#N/A,FALSE,"進捗状況";"prog予定",#N/A,FALSE,"進捗状況"}</definedName>
    <definedName name="aaaaa" hidden="1">#REF!</definedName>
    <definedName name="AccessDatabase" hidden="1">"E:\三井海上\一般･地区社員 給与開発\概要設計\旧給与マスター･明細レイアウト.mdb"</definedName>
    <definedName name="AX" hidden="1">#REF!</definedName>
    <definedName name="B" hidden="1">{"ID名称",#N/A,FALSE,"進捗状況";"prog予定",#N/A,FALSE,"進捗状況"}</definedName>
    <definedName name="BBB" hidden="1">#REF!</definedName>
    <definedName name="bbbbb" hidden="1">#REF!</definedName>
    <definedName name="BBBBBBBBB" hidden="1">'[1]F-NIP'!#REF!</definedName>
    <definedName name="CCC" hidden="1">#REF!</definedName>
    <definedName name="ＧＷメッセージ一覧" hidden="1">#REF!</definedName>
    <definedName name="HTML_CodePage" hidden="1">932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"[PF見積もり.xls]価格リスト!$D$3:$K$44"</definedName>
    <definedName name="HTML1_10" hidden="1">""</definedName>
    <definedName name="HTML1_11" hidden="1">1</definedName>
    <definedName name="HTML1_12" hidden="1">"C:\yamauchi\業務\PF見積もり.htm"</definedName>
    <definedName name="HTML1_2" hidden="1">1</definedName>
    <definedName name="HTML1_3" hidden="1">"PF見積もり.xls"</definedName>
    <definedName name="HTML1_4" hidden="1">"価格リスト"</definedName>
    <definedName name="HTML1_5" hidden="1">""</definedName>
    <definedName name="HTML1_6" hidden="1">1</definedName>
    <definedName name="HTML1_7" hidden="1">1</definedName>
    <definedName name="HTML1_8" hidden="1">"99/04/28"</definedName>
    <definedName name="HTML1_9" hidden="1">"山内　勇"</definedName>
    <definedName name="HTMLCount" hidden="1">1</definedName>
    <definedName name="ｓｓ" hidden="1">#REF!</definedName>
    <definedName name="T" hidden="1">#REF!</definedName>
    <definedName name="VV" hidden="1">#REF!</definedName>
    <definedName name="wrn.pg小日程." hidden="1">{"ID名称",#N/A,FALSE,"進捗状況";"prog予定",#N/A,FALSE,"進捗状況"}</definedName>
    <definedName name="あ" hidden="1">#REF!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サンプル" hidden="1">#REF!</definedName>
    <definedName name="シート３" hidden="1">#REF!</definedName>
    <definedName name="たいうおう" hidden="1">{"'表紙'!$A$1:$W$39"}</definedName>
    <definedName name="タスクドキュメント１" hidden="1">#REF!</definedName>
    <definedName name="チェックリスト" hidden="1">#REF!</definedName>
    <definedName name="チェックリスト2" hidden="1">#REF!</definedName>
    <definedName name="っっj" hidden="1">{"'表紙'!$A$1:$W$39"}</definedName>
    <definedName name="マスタ" hidden="1">{"'表紙'!$A$1:$W$39"}</definedName>
    <definedName name="安藤" hidden="1">#REF!</definedName>
    <definedName name="改革" hidden="1">{"'表紙'!$A$1:$W$39"}</definedName>
    <definedName name="関連表" hidden="1">#REF!</definedName>
    <definedName name="計画" hidden="1">{"'表紙'!$A$1:$W$39"}</definedName>
    <definedName name="責任体制" hidden="1">{"'表紙'!$A$1:$W$39"}</definedName>
    <definedName name="全体" hidden="1">{"ID名称",#N/A,FALSE,"進捗状況";"prog予定",#N/A,FALSE,"進捗状況"}</definedName>
    <definedName name="束原" hidden="1">#REF!</definedName>
    <definedName name="体制" hidden="1">{"'表紙'!$A$1:$W$39"}</definedName>
    <definedName name="導入時期う" hidden="1">#REF!</definedName>
    <definedName name="品質" hidden="1">{"'表紙'!$A$1:$W$39"}</definedName>
    <definedName name="不支払区分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 a="1"/>
  <c r="B7" i="3" s="1"/>
  <c r="B9" i="3" s="1"/>
  <c r="B2" i="2"/>
  <c r="C30" i="3" l="1"/>
  <c r="C29" i="3"/>
  <c r="C28" i="3"/>
  <c r="C25" i="3"/>
  <c r="C23" i="3"/>
  <c r="C22" i="3"/>
  <c r="C2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<sst xmlns="http://schemas.openxmlformats.org/spreadsheetml/2006/main" count="497" uniqueCount="400">
  <si>
    <t>システム名称</t>
    <rPh sb="4" eb="6">
      <t>メイショウ</t>
    </rPh>
    <phoneticPr fontId="10"/>
  </si>
  <si>
    <t>工程</t>
    <rPh sb="0" eb="2">
      <t>コウテイ</t>
    </rPh>
    <phoneticPr fontId="10"/>
  </si>
  <si>
    <t>状態</t>
    <rPh sb="0" eb="2">
      <t>ジョウタイ</t>
    </rPh>
    <phoneticPr fontId="10"/>
  </si>
  <si>
    <t>機能分類</t>
    <rPh sb="0" eb="2">
      <t>キノウ</t>
    </rPh>
    <rPh sb="2" eb="4">
      <t>ブンルイ</t>
    </rPh>
    <phoneticPr fontId="10"/>
  </si>
  <si>
    <t>機能</t>
    <rPh sb="0" eb="2">
      <t>キノウ</t>
    </rPh>
    <phoneticPr fontId="10"/>
  </si>
  <si>
    <t>現象</t>
    <rPh sb="0" eb="2">
      <t>ゲンショウ</t>
    </rPh>
    <phoneticPr fontId="10"/>
  </si>
  <si>
    <t>混在工程</t>
    <rPh sb="0" eb="2">
      <t>コンザイ</t>
    </rPh>
    <rPh sb="2" eb="4">
      <t>コウテイ</t>
    </rPh>
    <phoneticPr fontId="9"/>
  </si>
  <si>
    <t>条件区分</t>
    <rPh sb="0" eb="2">
      <t>ジョウケン</t>
    </rPh>
    <rPh sb="2" eb="4">
      <t>クブン</t>
    </rPh>
    <phoneticPr fontId="9"/>
  </si>
  <si>
    <t>原因区分</t>
    <rPh sb="0" eb="2">
      <t>ゲンイン</t>
    </rPh>
    <rPh sb="2" eb="4">
      <t>クブン</t>
    </rPh>
    <phoneticPr fontId="9"/>
  </si>
  <si>
    <t>処置種類</t>
    <rPh sb="0" eb="2">
      <t>ショチ</t>
    </rPh>
    <rPh sb="2" eb="4">
      <t>シュルイ</t>
    </rPh>
    <phoneticPr fontId="9"/>
  </si>
  <si>
    <t>調査優先度</t>
    <rPh sb="0" eb="2">
      <t>チョウサ</t>
    </rPh>
    <rPh sb="2" eb="5">
      <t>ユウセンド</t>
    </rPh>
    <phoneticPr fontId="9"/>
  </si>
  <si>
    <t>対処優先度</t>
    <rPh sb="0" eb="2">
      <t>タイショ</t>
    </rPh>
    <rPh sb="2" eb="5">
      <t>ユウセンド</t>
    </rPh>
    <phoneticPr fontId="9"/>
  </si>
  <si>
    <t>(ﾘｽﾄより選択)</t>
    <rPh sb="6" eb="8">
      <t>センタク</t>
    </rPh>
    <phoneticPr fontId="10"/>
  </si>
  <si>
    <t>申込書品質管理</t>
    <rPh sb="0" eb="7">
      <t>モウシコミショヒンシツカンリ</t>
    </rPh>
    <phoneticPr fontId="10"/>
  </si>
  <si>
    <t>結合試験</t>
    <rPh sb="0" eb="2">
      <t>ケツゴウ</t>
    </rPh>
    <rPh sb="2" eb="4">
      <t>シケン</t>
    </rPh>
    <phoneticPr fontId="10"/>
  </si>
  <si>
    <t>起票</t>
    <rPh sb="0" eb="2">
      <t>キヒョウ</t>
    </rPh>
    <phoneticPr fontId="10"/>
  </si>
  <si>
    <t>共通（申込）</t>
    <rPh sb="0" eb="2">
      <t>キョウツウ</t>
    </rPh>
    <phoneticPr fontId="11"/>
  </si>
  <si>
    <t>申込書品質管理メニュー画面</t>
    <rPh sb="0" eb="5">
      <t>モウシコミショヒンシツ</t>
    </rPh>
    <rPh sb="5" eb="7">
      <t>カンリ</t>
    </rPh>
    <phoneticPr fontId="10"/>
  </si>
  <si>
    <t>ﾌﾟﾛｸﾞﾗﾑ異常終了</t>
  </si>
  <si>
    <t>要求定義</t>
  </si>
  <si>
    <t>正常系処理</t>
    <rPh sb="0" eb="2">
      <t>セイジョウ</t>
    </rPh>
    <rPh sb="2" eb="3">
      <t>ケイ</t>
    </rPh>
    <rPh sb="3" eb="5">
      <t>ショリ</t>
    </rPh>
    <phoneticPr fontId="9"/>
  </si>
  <si>
    <t>仕様通り</t>
    <rPh sb="0" eb="2">
      <t>シヨウ</t>
    </rPh>
    <rPh sb="2" eb="3">
      <t>ドオ</t>
    </rPh>
    <phoneticPr fontId="9"/>
  </si>
  <si>
    <t>ﾌﾟﾛｸﾞﾗﾑ修正</t>
    <rPh sb="7" eb="9">
      <t>シュウセイ</t>
    </rPh>
    <phoneticPr fontId="9"/>
  </si>
  <si>
    <t>高</t>
    <rPh sb="0" eb="1">
      <t>コウ</t>
    </rPh>
    <phoneticPr fontId="12"/>
  </si>
  <si>
    <t>異例取扱管理</t>
    <rPh sb="0" eb="2">
      <t>イレイ</t>
    </rPh>
    <rPh sb="2" eb="4">
      <t>トリアツカイ</t>
    </rPh>
    <rPh sb="4" eb="6">
      <t>カンリ</t>
    </rPh>
    <phoneticPr fontId="10"/>
  </si>
  <si>
    <t>総合試験</t>
    <rPh sb="0" eb="2">
      <t>ソウゴウ</t>
    </rPh>
    <rPh sb="2" eb="4">
      <t>シケン</t>
    </rPh>
    <phoneticPr fontId="10"/>
  </si>
  <si>
    <t>原因調査待ち</t>
    <rPh sb="0" eb="2">
      <t>ゲンイン</t>
    </rPh>
    <rPh sb="2" eb="4">
      <t>チョウサ</t>
    </rPh>
    <rPh sb="4" eb="5">
      <t>マ</t>
    </rPh>
    <phoneticPr fontId="10"/>
  </si>
  <si>
    <t>不備登録</t>
    <rPh sb="0" eb="2">
      <t>フビ</t>
    </rPh>
    <rPh sb="2" eb="4">
      <t>トウロク</t>
    </rPh>
    <phoneticPr fontId="11"/>
  </si>
  <si>
    <t>共通（申込書品質管理）</t>
    <rPh sb="0" eb="2">
      <t>キョウツウ</t>
    </rPh>
    <phoneticPr fontId="11"/>
  </si>
  <si>
    <t>ﾌﾟﾛｸﾞﾗﾑ ﾌﾘｰｽﾞ</t>
  </si>
  <si>
    <t>基本検討</t>
    <rPh sb="0" eb="2">
      <t>キホン</t>
    </rPh>
    <rPh sb="2" eb="4">
      <t>ケントウ</t>
    </rPh>
    <phoneticPr fontId="9"/>
  </si>
  <si>
    <t>異常系処理</t>
    <rPh sb="0" eb="2">
      <t>イジョウ</t>
    </rPh>
    <rPh sb="2" eb="3">
      <t>ケイ</t>
    </rPh>
    <rPh sb="3" eb="5">
      <t>ショリ</t>
    </rPh>
    <phoneticPr fontId="9"/>
  </si>
  <si>
    <t>要件提示漏れ</t>
    <rPh sb="0" eb="2">
      <t>ヨウケン</t>
    </rPh>
    <rPh sb="2" eb="4">
      <t>テイジ</t>
    </rPh>
    <rPh sb="4" eb="5">
      <t>モ</t>
    </rPh>
    <phoneticPr fontId="10"/>
  </si>
  <si>
    <t>ｲﾝﾀｰﾌｪｰｽ修正</t>
    <rPh sb="8" eb="10">
      <t>シュウセイ</t>
    </rPh>
    <phoneticPr fontId="10"/>
  </si>
  <si>
    <t>中</t>
    <rPh sb="0" eb="1">
      <t>チュウ</t>
    </rPh>
    <phoneticPr fontId="12"/>
  </si>
  <si>
    <t>基盤</t>
    <rPh sb="0" eb="2">
      <t>キバン</t>
    </rPh>
    <phoneticPr fontId="10"/>
  </si>
  <si>
    <t>ユーザ受入試験</t>
    <rPh sb="3" eb="5">
      <t>ウケイレ</t>
    </rPh>
    <rPh sb="5" eb="7">
      <t>シケン</t>
    </rPh>
    <phoneticPr fontId="10"/>
  </si>
  <si>
    <t>原因調査中</t>
    <rPh sb="0" eb="2">
      <t>ゲンイン</t>
    </rPh>
    <rPh sb="2" eb="5">
      <t>チョウサチュウ</t>
    </rPh>
    <phoneticPr fontId="10"/>
  </si>
  <si>
    <t>不備更新</t>
    <rPh sb="0" eb="2">
      <t>フビ</t>
    </rPh>
    <rPh sb="2" eb="4">
      <t>コウシン</t>
    </rPh>
    <phoneticPr fontId="11"/>
  </si>
  <si>
    <t>不備内容入力画面－新規</t>
  </si>
  <si>
    <t>ﾌｧｲﾙ/DB内容不正</t>
    <rPh sb="7" eb="9">
      <t>ナイヨウ</t>
    </rPh>
    <rPh sb="9" eb="11">
      <t>フセイ</t>
    </rPh>
    <phoneticPr fontId="9"/>
  </si>
  <si>
    <t>外部設計</t>
    <rPh sb="0" eb="2">
      <t>ガイブ</t>
    </rPh>
    <rPh sb="2" eb="4">
      <t>セッケイ</t>
    </rPh>
    <phoneticPr fontId="9"/>
  </si>
  <si>
    <t>ｲﾝﾀｰﾌｪｰｽ処理</t>
    <rPh sb="8" eb="10">
      <t>ショリ</t>
    </rPh>
    <phoneticPr fontId="9"/>
  </si>
  <si>
    <t>要件提示誤り</t>
    <rPh sb="0" eb="2">
      <t>ヨウケン</t>
    </rPh>
    <rPh sb="2" eb="4">
      <t>テイジ</t>
    </rPh>
    <rPh sb="4" eb="5">
      <t>アヤマ</t>
    </rPh>
    <phoneticPr fontId="10"/>
  </si>
  <si>
    <t>ﾃﾞｰﾀ/定義修正</t>
    <rPh sb="5" eb="7">
      <t>テイギ</t>
    </rPh>
    <rPh sb="7" eb="9">
      <t>シュウセイ</t>
    </rPh>
    <phoneticPr fontId="10"/>
  </si>
  <si>
    <t>低</t>
    <rPh sb="0" eb="1">
      <t>テイ</t>
    </rPh>
    <phoneticPr fontId="12"/>
  </si>
  <si>
    <t>原因調査完了</t>
    <rPh sb="0" eb="2">
      <t>ゲンイン</t>
    </rPh>
    <rPh sb="2" eb="4">
      <t>チョウサ</t>
    </rPh>
    <rPh sb="4" eb="6">
      <t>カンリョウ</t>
    </rPh>
    <phoneticPr fontId="10"/>
  </si>
  <si>
    <t>不備検索</t>
    <rPh sb="0" eb="2">
      <t>フビ</t>
    </rPh>
    <rPh sb="2" eb="4">
      <t>ケンサク</t>
    </rPh>
    <phoneticPr fontId="11"/>
  </si>
  <si>
    <t>不備内容入力画面－更新</t>
  </si>
  <si>
    <t>画面内容不正</t>
    <rPh sb="0" eb="2">
      <t>ガメン</t>
    </rPh>
    <rPh sb="2" eb="4">
      <t>ナイヨウ</t>
    </rPh>
    <rPh sb="4" eb="6">
      <t>フセイ</t>
    </rPh>
    <phoneticPr fontId="9"/>
  </si>
  <si>
    <t>内部設計</t>
    <rPh sb="0" eb="2">
      <t>ナイブ</t>
    </rPh>
    <rPh sb="2" eb="4">
      <t>セッケイ</t>
    </rPh>
    <phoneticPr fontId="9"/>
  </si>
  <si>
    <t>限界値処理</t>
    <rPh sb="0" eb="2">
      <t>ゲンカイ</t>
    </rPh>
    <rPh sb="2" eb="3">
      <t>アタイ</t>
    </rPh>
    <rPh sb="3" eb="5">
      <t>ショリ</t>
    </rPh>
    <phoneticPr fontId="9"/>
  </si>
  <si>
    <t>要件誤認</t>
    <rPh sb="0" eb="2">
      <t>ヨウケン</t>
    </rPh>
    <rPh sb="2" eb="4">
      <t>ゴニン</t>
    </rPh>
    <phoneticPr fontId="10"/>
  </si>
  <si>
    <t>ﾄﾞｷｭﾒﾝﾄ修正</t>
    <rPh sb="7" eb="9">
      <t>シュウセイ</t>
    </rPh>
    <phoneticPr fontId="9"/>
  </si>
  <si>
    <t>無</t>
    <rPh sb="0" eb="1">
      <t>ナ</t>
    </rPh>
    <phoneticPr fontId="12"/>
  </si>
  <si>
    <t>対処待ち</t>
    <rPh sb="0" eb="2">
      <t>タイショ</t>
    </rPh>
    <rPh sb="2" eb="3">
      <t>マ</t>
    </rPh>
    <phoneticPr fontId="10"/>
  </si>
  <si>
    <t>不備集計</t>
    <rPh sb="0" eb="2">
      <t>フビ</t>
    </rPh>
    <rPh sb="2" eb="4">
      <t>シュウケイ</t>
    </rPh>
    <phoneticPr fontId="11"/>
  </si>
  <si>
    <t>帳票内容不正</t>
    <rPh sb="0" eb="2">
      <t>チョウヒョウ</t>
    </rPh>
    <rPh sb="2" eb="4">
      <t>ナイヨウ</t>
    </rPh>
    <rPh sb="4" eb="6">
      <t>フセイ</t>
    </rPh>
    <phoneticPr fontId="9"/>
  </si>
  <si>
    <t>製造</t>
    <rPh sb="0" eb="2">
      <t>セイゾウ</t>
    </rPh>
    <phoneticPr fontId="9"/>
  </si>
  <si>
    <t>境界値処理</t>
    <rPh sb="0" eb="2">
      <t>キョウカイ</t>
    </rPh>
    <rPh sb="2" eb="3">
      <t>アタイ</t>
    </rPh>
    <rPh sb="3" eb="5">
      <t>ショリ</t>
    </rPh>
    <phoneticPr fontId="9"/>
  </si>
  <si>
    <t>設計(ﾛｼﾞｯｸ)誤り</t>
    <rPh sb="0" eb="2">
      <t>セッケイ</t>
    </rPh>
    <rPh sb="9" eb="10">
      <t>アヤマ</t>
    </rPh>
    <phoneticPr fontId="10"/>
  </si>
  <si>
    <t>環境変更</t>
    <rPh sb="0" eb="2">
      <t>カンキョウ</t>
    </rPh>
    <rPh sb="2" eb="4">
      <t>ヘンコウ</t>
    </rPh>
    <phoneticPr fontId="9"/>
  </si>
  <si>
    <t>対処検討中</t>
    <rPh sb="0" eb="2">
      <t>タイショ</t>
    </rPh>
    <rPh sb="2" eb="5">
      <t>ケントウチュウ</t>
    </rPh>
    <phoneticPr fontId="10"/>
  </si>
  <si>
    <t>親子集計</t>
    <rPh sb="0" eb="2">
      <t>オヤコ</t>
    </rPh>
    <rPh sb="2" eb="4">
      <t>シュウケイ</t>
    </rPh>
    <phoneticPr fontId="11"/>
  </si>
  <si>
    <t>電文内容不正</t>
    <rPh sb="0" eb="2">
      <t>デンブン</t>
    </rPh>
    <rPh sb="2" eb="4">
      <t>ナイヨウ</t>
    </rPh>
    <rPh sb="4" eb="6">
      <t>フセイ</t>
    </rPh>
    <phoneticPr fontId="13"/>
  </si>
  <si>
    <t>単体試験</t>
    <rPh sb="0" eb="2">
      <t>タンタイ</t>
    </rPh>
    <rPh sb="2" eb="4">
      <t>シケン</t>
    </rPh>
    <phoneticPr fontId="9"/>
  </si>
  <si>
    <t>特殊操作/ﾃﾞｰﾀ処理</t>
    <rPh sb="0" eb="2">
      <t>トクシュ</t>
    </rPh>
    <rPh sb="2" eb="4">
      <t>ソウサ</t>
    </rPh>
    <rPh sb="9" eb="11">
      <t>ショリ</t>
    </rPh>
    <phoneticPr fontId="9"/>
  </si>
  <si>
    <t>設計(定義)誤り</t>
    <rPh sb="0" eb="2">
      <t>セッケイ</t>
    </rPh>
    <rPh sb="3" eb="5">
      <t>テイギ</t>
    </rPh>
    <rPh sb="6" eb="7">
      <t>アヤマ</t>
    </rPh>
    <phoneticPr fontId="10"/>
  </si>
  <si>
    <t>再現待ち</t>
    <rPh sb="0" eb="2">
      <t>サイゲン</t>
    </rPh>
    <rPh sb="2" eb="3">
      <t>マ</t>
    </rPh>
    <phoneticPr fontId="9"/>
  </si>
  <si>
    <t>対処承認待</t>
    <rPh sb="0" eb="2">
      <t>タイショ</t>
    </rPh>
    <rPh sb="2" eb="4">
      <t>ショウニン</t>
    </rPh>
    <rPh sb="4" eb="5">
      <t>マ</t>
    </rPh>
    <phoneticPr fontId="10"/>
  </si>
  <si>
    <t>募集人検索画面</t>
  </si>
  <si>
    <t>操作不正</t>
    <rPh sb="0" eb="2">
      <t>ソウサ</t>
    </rPh>
    <rPh sb="2" eb="4">
      <t>フセイ</t>
    </rPh>
    <phoneticPr fontId="9"/>
  </si>
  <si>
    <t>結合試験</t>
    <rPh sb="0" eb="2">
      <t>ケツゴウ</t>
    </rPh>
    <rPh sb="2" eb="4">
      <t>シケン</t>
    </rPh>
    <phoneticPr fontId="9"/>
  </si>
  <si>
    <t>性能問題</t>
    <rPh sb="0" eb="2">
      <t>セイノウ</t>
    </rPh>
    <rPh sb="2" eb="4">
      <t>モンダイ</t>
    </rPh>
    <phoneticPr fontId="9"/>
  </si>
  <si>
    <t>設計(ｲﾝﾀｰﾌｪｰｽ)誤り</t>
    <rPh sb="0" eb="2">
      <t>セッケイ</t>
    </rPh>
    <rPh sb="12" eb="13">
      <t>アヤマ</t>
    </rPh>
    <phoneticPr fontId="10"/>
  </si>
  <si>
    <t>運用制限事項</t>
    <rPh sb="0" eb="2">
      <t>ウンヨウ</t>
    </rPh>
    <rPh sb="2" eb="4">
      <t>セイゲン</t>
    </rPh>
    <rPh sb="4" eb="6">
      <t>ジコウ</t>
    </rPh>
    <phoneticPr fontId="9"/>
  </si>
  <si>
    <t>対処承認完了</t>
    <rPh sb="0" eb="2">
      <t>タイショ</t>
    </rPh>
    <rPh sb="2" eb="4">
      <t>ショウニン</t>
    </rPh>
    <rPh sb="4" eb="6">
      <t>カンリョウ</t>
    </rPh>
    <phoneticPr fontId="10"/>
  </si>
  <si>
    <t>帳票印刷画面</t>
  </si>
  <si>
    <t>通信ｴﾗｰ</t>
    <rPh sb="0" eb="2">
      <t>ツウシン</t>
    </rPh>
    <phoneticPr fontId="9"/>
  </si>
  <si>
    <t>総合試験</t>
    <rPh sb="0" eb="2">
      <t>ソウゴウ</t>
    </rPh>
    <rPh sb="2" eb="4">
      <t>シケン</t>
    </rPh>
    <phoneticPr fontId="9"/>
  </si>
  <si>
    <t>その他</t>
    <rPh sb="2" eb="3">
      <t>タ</t>
    </rPh>
    <phoneticPr fontId="9"/>
  </si>
  <si>
    <t>設計漏れ</t>
    <rPh sb="0" eb="2">
      <t>セッケイ</t>
    </rPh>
    <rPh sb="2" eb="3">
      <t>モ</t>
    </rPh>
    <phoneticPr fontId="10"/>
  </si>
  <si>
    <t>仕様変更</t>
    <rPh sb="0" eb="2">
      <t>シヨウ</t>
    </rPh>
    <rPh sb="2" eb="4">
      <t>ヘンコウ</t>
    </rPh>
    <phoneticPr fontId="9"/>
  </si>
  <si>
    <t>リリース待ち</t>
    <rPh sb="4" eb="5">
      <t>マ</t>
    </rPh>
    <phoneticPr fontId="10"/>
  </si>
  <si>
    <t>不備一覧画面</t>
  </si>
  <si>
    <t>ﾕｰｻﾞ受入</t>
    <rPh sb="4" eb="6">
      <t>ウケイレ</t>
    </rPh>
    <phoneticPr fontId="9"/>
  </si>
  <si>
    <t>製造(ﾛｼﾞｯｸ)誤り</t>
    <rPh sb="0" eb="2">
      <t>セイゾウ</t>
    </rPh>
    <rPh sb="9" eb="10">
      <t>アヤマ</t>
    </rPh>
    <phoneticPr fontId="10"/>
  </si>
  <si>
    <t>次期ﾊﾞｰｼﾞｮﾝで考慮</t>
    <rPh sb="0" eb="2">
      <t>ジキ</t>
    </rPh>
    <rPh sb="10" eb="12">
      <t>コウリョ</t>
    </rPh>
    <phoneticPr fontId="9"/>
  </si>
  <si>
    <t>リリース完了</t>
    <rPh sb="4" eb="6">
      <t>カンリョウ</t>
    </rPh>
    <phoneticPr fontId="10"/>
  </si>
  <si>
    <t>マスタ系バッチ</t>
    <rPh sb="3" eb="4">
      <t>ケイ</t>
    </rPh>
    <phoneticPr fontId="10"/>
  </si>
  <si>
    <t>不備集計画面</t>
  </si>
  <si>
    <t>ﾘﾘｰｽ作業</t>
    <rPh sb="4" eb="6">
      <t>サギョウ</t>
    </rPh>
    <phoneticPr fontId="9"/>
  </si>
  <si>
    <t>製造(定義)誤り</t>
    <rPh sb="0" eb="2">
      <t>セイゾウ</t>
    </rPh>
    <rPh sb="3" eb="5">
      <t>テイギ</t>
    </rPh>
    <rPh sb="6" eb="7">
      <t>アヤマ</t>
    </rPh>
    <phoneticPr fontId="10"/>
  </si>
  <si>
    <t>ﾘﾘ-ｽ済み</t>
    <rPh sb="4" eb="5">
      <t>ス</t>
    </rPh>
    <phoneticPr fontId="9"/>
  </si>
  <si>
    <t>リリース後動確待ち</t>
    <rPh sb="4" eb="5">
      <t>ゴ</t>
    </rPh>
    <rPh sb="5" eb="7">
      <t>ドウカク</t>
    </rPh>
    <rPh sb="7" eb="8">
      <t>マ</t>
    </rPh>
    <phoneticPr fontId="10"/>
  </si>
  <si>
    <t>不備登録情報系バッチ</t>
    <rPh sb="4" eb="6">
      <t>ジョウホウ</t>
    </rPh>
    <rPh sb="6" eb="7">
      <t>ケイ</t>
    </rPh>
    <phoneticPr fontId="11"/>
  </si>
  <si>
    <t>親子集計予約画面</t>
  </si>
  <si>
    <t>運用保守</t>
    <rPh sb="0" eb="2">
      <t>ウンヨウ</t>
    </rPh>
    <rPh sb="2" eb="4">
      <t>ホシュ</t>
    </rPh>
    <phoneticPr fontId="9"/>
  </si>
  <si>
    <t>製造(ｲﾝﾀｰﾌｪｰｽ)誤り</t>
    <rPh sb="0" eb="2">
      <t>セイゾウ</t>
    </rPh>
    <rPh sb="12" eb="13">
      <t>アヤマ</t>
    </rPh>
    <phoneticPr fontId="10"/>
  </si>
  <si>
    <t>処置不要</t>
    <rPh sb="0" eb="2">
      <t>ショチ</t>
    </rPh>
    <rPh sb="2" eb="4">
      <t>フヨウ</t>
    </rPh>
    <phoneticPr fontId="9"/>
  </si>
  <si>
    <t>リリース後動確完了</t>
    <rPh sb="4" eb="5">
      <t>ゴ</t>
    </rPh>
    <rPh sb="5" eb="7">
      <t>ドウカク</t>
    </rPh>
    <rPh sb="7" eb="9">
      <t>カンリョウ</t>
    </rPh>
    <phoneticPr fontId="10"/>
  </si>
  <si>
    <t>集計系バッチ</t>
    <rPh sb="0" eb="2">
      <t>シュウケイ</t>
    </rPh>
    <rPh sb="2" eb="3">
      <t>ケイ</t>
    </rPh>
    <phoneticPr fontId="11"/>
  </si>
  <si>
    <t>製造漏れ</t>
    <rPh sb="0" eb="2">
      <t>セイゾウ</t>
    </rPh>
    <rPh sb="2" eb="3">
      <t>モ</t>
    </rPh>
    <phoneticPr fontId="10"/>
  </si>
  <si>
    <t>調査打ち切り</t>
    <rPh sb="0" eb="2">
      <t>チョウサ</t>
    </rPh>
    <rPh sb="2" eb="3">
      <t>ウ</t>
    </rPh>
    <rPh sb="4" eb="5">
      <t>キ</t>
    </rPh>
    <phoneticPr fontId="9"/>
  </si>
  <si>
    <t>対処完了</t>
    <rPh sb="0" eb="2">
      <t>タイショ</t>
    </rPh>
    <rPh sb="2" eb="4">
      <t>カンリョウ</t>
    </rPh>
    <phoneticPr fontId="10"/>
  </si>
  <si>
    <t>親子集計系バッチ</t>
    <rPh sb="4" eb="5">
      <t>ケイ</t>
    </rPh>
    <phoneticPr fontId="10"/>
  </si>
  <si>
    <t>親子集計受付完了画面</t>
  </si>
  <si>
    <t>ﾃﾞｰﾀ(DB)誤り</t>
    <rPh sb="8" eb="9">
      <t>アヤマ</t>
    </rPh>
    <phoneticPr fontId="10"/>
  </si>
  <si>
    <t>その他（申込）</t>
    <rPh sb="2" eb="3">
      <t>タ</t>
    </rPh>
    <rPh sb="4" eb="6">
      <t>モウシコミ</t>
    </rPh>
    <phoneticPr fontId="10"/>
  </si>
  <si>
    <t>ﾃﾞｰﾀ(ﾌｧｲﾙ)誤り</t>
    <rPh sb="10" eb="11">
      <t>アヤマ</t>
    </rPh>
    <phoneticPr fontId="10"/>
  </si>
  <si>
    <t>手順書誤り</t>
    <rPh sb="0" eb="3">
      <t>テジュンショ</t>
    </rPh>
    <rPh sb="3" eb="4">
      <t>アヤマ</t>
    </rPh>
    <phoneticPr fontId="10"/>
  </si>
  <si>
    <t>手順書誤認</t>
    <rPh sb="0" eb="3">
      <t>テジュンショ</t>
    </rPh>
    <rPh sb="3" eb="5">
      <t>ゴニン</t>
    </rPh>
    <phoneticPr fontId="10"/>
  </si>
  <si>
    <t>手順書漏れ</t>
    <rPh sb="0" eb="3">
      <t>テジュンショ</t>
    </rPh>
    <rPh sb="3" eb="4">
      <t>モ</t>
    </rPh>
    <phoneticPr fontId="10"/>
  </si>
  <si>
    <t>環境不備</t>
    <rPh sb="0" eb="2">
      <t>カンキョウ</t>
    </rPh>
    <rPh sb="2" eb="4">
      <t>フビ</t>
    </rPh>
    <phoneticPr fontId="10"/>
  </si>
  <si>
    <t>ﾘﾘｰｽ不備</t>
    <rPh sb="4" eb="6">
      <t>フビ</t>
    </rPh>
    <phoneticPr fontId="10"/>
  </si>
  <si>
    <t>ﾊｰﾄﾞｳｪｱ障害/不備</t>
    <rPh sb="7" eb="9">
      <t>ショウガイ</t>
    </rPh>
    <rPh sb="10" eb="12">
      <t>フビ</t>
    </rPh>
    <phoneticPr fontId="9"/>
  </si>
  <si>
    <t>OS・MW障害/不備</t>
    <rPh sb="5" eb="7">
      <t>ショウガイ</t>
    </rPh>
    <rPh sb="8" eb="10">
      <t>フビ</t>
    </rPh>
    <phoneticPr fontId="9"/>
  </si>
  <si>
    <t>運用ﾐｽ</t>
    <rPh sb="0" eb="2">
      <t>ウンヨウ</t>
    </rPh>
    <phoneticPr fontId="9"/>
  </si>
  <si>
    <t>不備照会・返送票(FAX用)</t>
  </si>
  <si>
    <t>操作ﾐｽ</t>
    <rPh sb="0" eb="2">
      <t>ソウサ</t>
    </rPh>
    <phoneticPr fontId="9"/>
  </si>
  <si>
    <t>原因不明</t>
    <rPh sb="0" eb="2">
      <t>ゲンイン</t>
    </rPh>
    <rPh sb="2" eb="4">
      <t>フメイ</t>
    </rPh>
    <phoneticPr fontId="9"/>
  </si>
  <si>
    <t>運用AP</t>
    <rPh sb="0" eb="2">
      <t>ウンヨウ</t>
    </rPh>
    <phoneticPr fontId="10"/>
  </si>
  <si>
    <t>その他（基盤）</t>
    <rPh sb="2" eb="3">
      <t>タ</t>
    </rPh>
    <rPh sb="4" eb="6">
      <t>キバン</t>
    </rPh>
    <phoneticPr fontId="10"/>
  </si>
  <si>
    <t>親子集計結果ファイル</t>
  </si>
  <si>
    <t>機械点検不備情報登録バッチ処理</t>
  </si>
  <si>
    <t>不備項目集計バッチ処理</t>
  </si>
  <si>
    <t>不備内容集計バッチ処理</t>
  </si>
  <si>
    <t>登録件数集計バッチ処理</t>
  </si>
  <si>
    <t>フリーコード集計バッチ処理</t>
  </si>
  <si>
    <t>募集人集計バッチ処理</t>
  </si>
  <si>
    <t>募集人情報引込バッチ処理</t>
  </si>
  <si>
    <t>連携データ作成バッチ処理</t>
  </si>
  <si>
    <t>その他（申込書品質管理）</t>
    <rPh sb="2" eb="3">
      <t>タ</t>
    </rPh>
    <phoneticPr fontId="10"/>
  </si>
  <si>
    <t>調査集計バッチ処理</t>
  </si>
  <si>
    <t>親子集計バッチ処理</t>
  </si>
  <si>
    <t>試験手順書（結合試験）</t>
    <rPh sb="0" eb="5">
      <t>シケンテジュンショ</t>
    </rPh>
    <rPh sb="6" eb="8">
      <t>ケツゴウ</t>
    </rPh>
    <rPh sb="8" eb="10">
      <t>シケン</t>
    </rPh>
    <phoneticPr fontId="5"/>
  </si>
  <si>
    <t>シナリオID</t>
    <phoneticPr fontId="10"/>
  </si>
  <si>
    <t>作成日</t>
    <rPh sb="0" eb="3">
      <t>サクセイビ</t>
    </rPh>
    <phoneticPr fontId="10"/>
  </si>
  <si>
    <t>作成者</t>
    <rPh sb="0" eb="2">
      <t>サクセイ</t>
    </rPh>
    <rPh sb="2" eb="3">
      <t>シャ</t>
    </rPh>
    <phoneticPr fontId="10"/>
  </si>
  <si>
    <t>事業会社</t>
    <rPh sb="0" eb="2">
      <t>ジギョウ</t>
    </rPh>
    <rPh sb="2" eb="4">
      <t>ガイシャ</t>
    </rPh>
    <phoneticPr fontId="10"/>
  </si>
  <si>
    <t>状態分類</t>
    <rPh sb="0" eb="2">
      <t>ジョウタイ</t>
    </rPh>
    <rPh sb="2" eb="4">
      <t>ブンルイ</t>
    </rPh>
    <phoneticPr fontId="10"/>
  </si>
  <si>
    <t>操作内容</t>
    <rPh sb="0" eb="2">
      <t>ソウサ</t>
    </rPh>
    <rPh sb="2" eb="4">
      <t>ナイヨウ</t>
    </rPh>
    <phoneticPr fontId="10"/>
  </si>
  <si>
    <t>確認内容</t>
    <rPh sb="0" eb="2">
      <t>カクニン</t>
    </rPh>
    <rPh sb="2" eb="4">
      <t>ナイヨウ</t>
    </rPh>
    <phoneticPr fontId="10"/>
  </si>
  <si>
    <t>実施</t>
    <rPh sb="0" eb="2">
      <t>ジッシ</t>
    </rPh>
    <phoneticPr fontId="10"/>
  </si>
  <si>
    <t>検証</t>
    <rPh sb="0" eb="2">
      <t>ケンショウ</t>
    </rPh>
    <phoneticPr fontId="10"/>
  </si>
  <si>
    <t>項</t>
  </si>
  <si>
    <t>機能</t>
    <phoneticPr fontId="10"/>
  </si>
  <si>
    <t>操作種類</t>
    <phoneticPr fontId="10"/>
  </si>
  <si>
    <t>操作項目</t>
  </si>
  <si>
    <t>内容</t>
  </si>
  <si>
    <t>確認種類</t>
  </si>
  <si>
    <t>確認項目</t>
  </si>
  <si>
    <t>故障処理番号</t>
  </si>
  <si>
    <t>番</t>
    <rPh sb="0" eb="1">
      <t>バン</t>
    </rPh>
    <phoneticPr fontId="10"/>
  </si>
  <si>
    <t>（画面/帳票/バッチ等）</t>
    <rPh sb="1" eb="3">
      <t>ガメン</t>
    </rPh>
    <rPh sb="4" eb="6">
      <t>チョウヒョウ</t>
    </rPh>
    <rPh sb="10" eb="11">
      <t>ナド</t>
    </rPh>
    <phoneticPr fontId="10"/>
  </si>
  <si>
    <t>（ﾘｽﾄより選択）</t>
    <rPh sb="6" eb="8">
      <t>センタク</t>
    </rPh>
    <phoneticPr fontId="10"/>
  </si>
  <si>
    <t>（画面項目、ボタン名等）</t>
    <rPh sb="1" eb="3">
      <t>ガメン</t>
    </rPh>
    <rPh sb="3" eb="5">
      <t>コウモク</t>
    </rPh>
    <rPh sb="9" eb="10">
      <t>メイ</t>
    </rPh>
    <rPh sb="10" eb="11">
      <t>ナド</t>
    </rPh>
    <phoneticPr fontId="10"/>
  </si>
  <si>
    <t>（設定値など）</t>
    <rPh sb="1" eb="3">
      <t>セッテイ</t>
    </rPh>
    <rPh sb="3" eb="4">
      <t>チ</t>
    </rPh>
    <phoneticPr fontId="10"/>
  </si>
  <si>
    <t>（画面、帳票、DB、ログなど）</t>
    <rPh sb="1" eb="3">
      <t>ガメン</t>
    </rPh>
    <rPh sb="4" eb="6">
      <t>チョウヒョウ</t>
    </rPh>
    <phoneticPr fontId="10"/>
  </si>
  <si>
    <t>実施日</t>
    <rPh sb="0" eb="2">
      <t>ジッシ</t>
    </rPh>
    <rPh sb="2" eb="3">
      <t>ビ</t>
    </rPh>
    <phoneticPr fontId="10"/>
  </si>
  <si>
    <t>実施者</t>
    <rPh sb="0" eb="2">
      <t>ジッシ</t>
    </rPh>
    <rPh sb="2" eb="3">
      <t>シャ</t>
    </rPh>
    <phoneticPr fontId="10"/>
  </si>
  <si>
    <t>結果</t>
    <rPh sb="0" eb="2">
      <t>ケッカ</t>
    </rPh>
    <phoneticPr fontId="10"/>
  </si>
  <si>
    <t>又はコメント</t>
    <rPh sb="0" eb="1">
      <t>マタ</t>
    </rPh>
    <phoneticPr fontId="10"/>
  </si>
  <si>
    <t>検証日</t>
    <rPh sb="0" eb="2">
      <t>ケンショウ</t>
    </rPh>
    <rPh sb="2" eb="3">
      <t>ビ</t>
    </rPh>
    <phoneticPr fontId="10"/>
  </si>
  <si>
    <t>検証者</t>
    <rPh sb="0" eb="2">
      <t>ケンショウ</t>
    </rPh>
    <rPh sb="2" eb="3">
      <t>シャ</t>
    </rPh>
    <phoneticPr fontId="10"/>
  </si>
  <si>
    <t>記事</t>
    <phoneticPr fontId="10"/>
  </si>
  <si>
    <t>表示</t>
    <rPh sb="0" eb="2">
      <t>ヒョウジ</t>
    </rPh>
    <phoneticPr fontId="10"/>
  </si>
  <si>
    <t>操作種類</t>
    <rPh sb="0" eb="2">
      <t>ソウサ</t>
    </rPh>
    <rPh sb="2" eb="4">
      <t>シュルイ</t>
    </rPh>
    <phoneticPr fontId="10"/>
  </si>
  <si>
    <t>確認種類</t>
    <rPh sb="0" eb="2">
      <t>カクニン</t>
    </rPh>
    <rPh sb="2" eb="4">
      <t>シュルイ</t>
    </rPh>
    <phoneticPr fontId="10"/>
  </si>
  <si>
    <t>成果物</t>
    <rPh sb="0" eb="3">
      <t>セイカブツ</t>
    </rPh>
    <phoneticPr fontId="10"/>
  </si>
  <si>
    <t>遷移</t>
    <rPh sb="0" eb="2">
      <t>センイ</t>
    </rPh>
    <phoneticPr fontId="10"/>
  </si>
  <si>
    <t>（目視確認）</t>
    <rPh sb="1" eb="3">
      <t>モクシ</t>
    </rPh>
    <rPh sb="3" eb="5">
      <t>カクニン</t>
    </rPh>
    <phoneticPr fontId="10"/>
  </si>
  <si>
    <t>OK</t>
    <phoneticPr fontId="10"/>
  </si>
  <si>
    <t>入力</t>
    <rPh sb="0" eb="2">
      <t>ニュウリョク</t>
    </rPh>
    <phoneticPr fontId="10"/>
  </si>
  <si>
    <t>画面HC</t>
    <rPh sb="0" eb="2">
      <t>ガメン</t>
    </rPh>
    <phoneticPr fontId="10"/>
  </si>
  <si>
    <t>NG</t>
    <phoneticPr fontId="10"/>
  </si>
  <si>
    <t>ボタン</t>
    <phoneticPr fontId="10"/>
  </si>
  <si>
    <t>出力（Msg）</t>
    <rPh sb="0" eb="2">
      <t>シュツリョク</t>
    </rPh>
    <phoneticPr fontId="10"/>
  </si>
  <si>
    <t>ﾎﾟｯﾌﾟｱｯﾌﾟMsg</t>
    <phoneticPr fontId="10"/>
  </si>
  <si>
    <t>その他</t>
    <rPh sb="2" eb="3">
      <t>タ</t>
    </rPh>
    <phoneticPr fontId="10"/>
  </si>
  <si>
    <t>クリック</t>
    <phoneticPr fontId="10"/>
  </si>
  <si>
    <t>出力（DL）</t>
    <rPh sb="0" eb="2">
      <t>シュツリョク</t>
    </rPh>
    <phoneticPr fontId="10"/>
  </si>
  <si>
    <t>APﾛｸﾞ</t>
    <phoneticPr fontId="10"/>
  </si>
  <si>
    <t>ポイント</t>
    <phoneticPr fontId="10"/>
  </si>
  <si>
    <t>DBﾛｸﾞ</t>
    <phoneticPr fontId="10"/>
  </si>
  <si>
    <t>DBﾀﾞﾝﾌﾟ</t>
    <phoneticPr fontId="10"/>
  </si>
  <si>
    <t>PDFﾌｧｲﾙ</t>
    <phoneticPr fontId="10"/>
  </si>
  <si>
    <t>CSVﾌｧｲﾙ</t>
    <phoneticPr fontId="10"/>
  </si>
  <si>
    <t>ﾃｷｽﾄﾌｧｲﾙ</t>
    <phoneticPr fontId="10"/>
  </si>
  <si>
    <t>ｸﾘｯﾌﾟﾎﾞｰﾄﾞ</t>
    <phoneticPr fontId="10"/>
  </si>
  <si>
    <t>定義ﾌｧｲﾙ</t>
    <rPh sb="0" eb="2">
      <t>テイギ</t>
    </rPh>
    <phoneticPr fontId="10"/>
  </si>
  <si>
    <t>試験手順書（Master）</t>
    <rPh sb="0" eb="2">
      <t>シケン</t>
    </rPh>
    <rPh sb="2" eb="5">
      <t>テジュンショ</t>
    </rPh>
    <phoneticPr fontId="5"/>
  </si>
  <si>
    <t>MS</t>
    <phoneticPr fontId="10"/>
  </si>
  <si>
    <t>AD</t>
    <phoneticPr fontId="10"/>
  </si>
  <si>
    <t>共通</t>
    <rPh sb="0" eb="2">
      <t>キョウツウ</t>
    </rPh>
    <phoneticPr fontId="5"/>
  </si>
  <si>
    <t>正常系</t>
    <rPh sb="0" eb="2">
      <t>セイジョウ</t>
    </rPh>
    <rPh sb="2" eb="3">
      <t>ケイ</t>
    </rPh>
    <phoneticPr fontId="10"/>
  </si>
  <si>
    <t>異常系</t>
    <rPh sb="0" eb="2">
      <t>イジョウ</t>
    </rPh>
    <rPh sb="2" eb="3">
      <t>ケイ</t>
    </rPh>
    <phoneticPr fontId="10"/>
  </si>
  <si>
    <t>利用ﾏｽﾀﾊﾟﾀｰﾝ</t>
    <rPh sb="0" eb="2">
      <t>リヨウ</t>
    </rPh>
    <phoneticPr fontId="10"/>
  </si>
  <si>
    <t>利用ﾕｰｻﾞﾊﾟﾀｰﾝ</t>
    <rPh sb="0" eb="2">
      <t>リヨウ</t>
    </rPh>
    <phoneticPr fontId="10"/>
  </si>
  <si>
    <t>利用ﾃﾞｰﾀﾊﾟﾀｰﾝ</t>
    <rPh sb="0" eb="2">
      <t>リヨウ</t>
    </rPh>
    <phoneticPr fontId="10"/>
  </si>
  <si>
    <t>確認項目数</t>
    <rPh sb="0" eb="2">
      <t>カクニン</t>
    </rPh>
    <rPh sb="2" eb="4">
      <t>コウモク</t>
    </rPh>
    <rPh sb="4" eb="5">
      <t>スウ</t>
    </rPh>
    <phoneticPr fontId="5"/>
  </si>
  <si>
    <t>実施項目数</t>
    <rPh sb="0" eb="2">
      <t>ジッシ</t>
    </rPh>
    <rPh sb="2" eb="4">
      <t>コウモク</t>
    </rPh>
    <rPh sb="4" eb="5">
      <t>スウ</t>
    </rPh>
    <phoneticPr fontId="5"/>
  </si>
  <si>
    <t>実施不可数</t>
    <rPh sb="0" eb="2">
      <t>ジッシ</t>
    </rPh>
    <rPh sb="2" eb="4">
      <t>フカ</t>
    </rPh>
    <rPh sb="4" eb="5">
      <t>スウ</t>
    </rPh>
    <phoneticPr fontId="5"/>
  </si>
  <si>
    <t>NG数</t>
    <rPh sb="2" eb="3">
      <t>スウ</t>
    </rPh>
    <phoneticPr fontId="5"/>
  </si>
  <si>
    <t>OK数</t>
    <rPh sb="2" eb="3">
      <t>スウ</t>
    </rPh>
    <phoneticPr fontId="5"/>
  </si>
  <si>
    <t>不可</t>
    <rPh sb="0" eb="2">
      <t>フカ</t>
    </rPh>
    <phoneticPr fontId="5"/>
  </si>
  <si>
    <t>操作項目数</t>
    <rPh sb="0" eb="2">
      <t>ソウサ</t>
    </rPh>
    <rPh sb="2" eb="4">
      <t>コウモク</t>
    </rPh>
    <rPh sb="4" eb="5">
      <t>スウ</t>
    </rPh>
    <phoneticPr fontId="5"/>
  </si>
  <si>
    <t>操作機能数</t>
    <rPh sb="0" eb="2">
      <t>ソウサ</t>
    </rPh>
    <rPh sb="2" eb="4">
      <t>キノウ</t>
    </rPh>
    <rPh sb="4" eb="5">
      <t>スウ</t>
    </rPh>
    <phoneticPr fontId="5"/>
  </si>
  <si>
    <t>対象システム</t>
    <rPh sb="0" eb="2">
      <t>タイショウ</t>
    </rPh>
    <phoneticPr fontId="10"/>
  </si>
  <si>
    <t>実施前提（実施前準備）</t>
    <rPh sb="0" eb="2">
      <t>ジッシ</t>
    </rPh>
    <rPh sb="2" eb="4">
      <t>ゼンテイ</t>
    </rPh>
    <phoneticPr fontId="10"/>
  </si>
  <si>
    <t>更新日</t>
    <rPh sb="0" eb="3">
      <t>コウシンビ</t>
    </rPh>
    <phoneticPr fontId="10"/>
  </si>
  <si>
    <t>更新者</t>
    <rPh sb="0" eb="2">
      <t>コウシン</t>
    </rPh>
    <rPh sb="2" eb="3">
      <t>シャ</t>
    </rPh>
    <phoneticPr fontId="10"/>
  </si>
  <si>
    <t>版数</t>
    <rPh sb="0" eb="2">
      <t>ハンスウ</t>
    </rPh>
    <phoneticPr fontId="10"/>
  </si>
  <si>
    <t>証跡</t>
    <rPh sb="0" eb="2">
      <t>ショウセキ</t>
    </rPh>
    <phoneticPr fontId="5"/>
  </si>
  <si>
    <t>試験観点（期待結果）/留意事項</t>
    <rPh sb="0" eb="2">
      <t>シケン</t>
    </rPh>
    <rPh sb="11" eb="13">
      <t>リュウイ</t>
    </rPh>
    <rPh sb="13" eb="15">
      <t>ジコウ</t>
    </rPh>
    <phoneticPr fontId="10"/>
  </si>
  <si>
    <t>照会内容編集画面</t>
    <rPh sb="0" eb="2">
      <t>ショウカイ</t>
    </rPh>
    <rPh sb="2" eb="4">
      <t>ナイヨウ</t>
    </rPh>
    <rPh sb="4" eb="6">
      <t>ヘンシュウ</t>
    </rPh>
    <rPh sb="6" eb="8">
      <t>ガメン</t>
    </rPh>
    <phoneticPr fontId="10"/>
  </si>
  <si>
    <t>訂正内容確認画面</t>
  </si>
  <si>
    <t>不備照会方法更新画面</t>
    <rPh sb="0" eb="2">
      <t>フビ</t>
    </rPh>
    <rPh sb="6" eb="8">
      <t>コウシン</t>
    </rPh>
    <phoneticPr fontId="5"/>
  </si>
  <si>
    <t>親子集計状況確認画面</t>
    <rPh sb="4" eb="6">
      <t>ジョウキョウ</t>
    </rPh>
    <phoneticPr fontId="10"/>
  </si>
  <si>
    <t>申込書類不備照会・返送票</t>
    <rPh sb="0" eb="1">
      <t>モウ</t>
    </rPh>
    <rPh sb="1" eb="2">
      <t>コ</t>
    </rPh>
    <rPh sb="2" eb="4">
      <t>ショルイ</t>
    </rPh>
    <rPh sb="4" eb="6">
      <t>フビ</t>
    </rPh>
    <rPh sb="6" eb="8">
      <t>ショウカイ</t>
    </rPh>
    <rPh sb="9" eb="11">
      <t>ヘンソウ</t>
    </rPh>
    <rPh sb="11" eb="12">
      <t>ヒョウ</t>
    </rPh>
    <phoneticPr fontId="9"/>
  </si>
  <si>
    <t>申込書類不備連絡票</t>
    <rPh sb="0" eb="2">
      <t>モウシコミ</t>
    </rPh>
    <rPh sb="2" eb="4">
      <t>ショルイ</t>
    </rPh>
    <rPh sb="4" eb="6">
      <t>フビ</t>
    </rPh>
    <rPh sb="6" eb="8">
      <t>レンラク</t>
    </rPh>
    <rPh sb="8" eb="9">
      <t>ヒョウ</t>
    </rPh>
    <phoneticPr fontId="9"/>
  </si>
  <si>
    <t>申込書類不備督促票</t>
    <rPh sb="0" eb="2">
      <t>モウシコミ</t>
    </rPh>
    <rPh sb="2" eb="4">
      <t>ショルイ</t>
    </rPh>
    <rPh sb="4" eb="6">
      <t>フビ</t>
    </rPh>
    <rPh sb="6" eb="8">
      <t>トクソク</t>
    </rPh>
    <rPh sb="8" eb="9">
      <t>ヒョウ</t>
    </rPh>
    <phoneticPr fontId="9"/>
  </si>
  <si>
    <t>不備督促票(FAX用)</t>
    <rPh sb="2" eb="4">
      <t>トクソク</t>
    </rPh>
    <rPh sb="4" eb="5">
      <t>ヒョウ</t>
    </rPh>
    <phoneticPr fontId="10"/>
  </si>
  <si>
    <t>不備照会・返送情報（クリップボード）</t>
    <rPh sb="7" eb="9">
      <t>ジョウホウ</t>
    </rPh>
    <phoneticPr fontId="10"/>
  </si>
  <si>
    <t>不備督促情報（クリップボード）</t>
    <rPh sb="2" eb="4">
      <t>トクソク</t>
    </rPh>
    <phoneticPr fontId="10"/>
  </si>
  <si>
    <t>不備照会方法情報ファイル</t>
    <rPh sb="0" eb="2">
      <t>フビ</t>
    </rPh>
    <rPh sb="2" eb="4">
      <t>ショウカイ</t>
    </rPh>
    <rPh sb="4" eb="6">
      <t>ホウホウ</t>
    </rPh>
    <rPh sb="6" eb="8">
      <t>ジョウホウ</t>
    </rPh>
    <phoneticPr fontId="5"/>
  </si>
  <si>
    <t>送り状（機械）</t>
    <rPh sb="4" eb="6">
      <t>キカイ</t>
    </rPh>
    <phoneticPr fontId="10"/>
  </si>
  <si>
    <t>送り状（営業・貨物以外）</t>
    <rPh sb="4" eb="6">
      <t>エイギョウ</t>
    </rPh>
    <rPh sb="7" eb="9">
      <t>カモツ</t>
    </rPh>
    <rPh sb="9" eb="11">
      <t>イガイ</t>
    </rPh>
    <phoneticPr fontId="10"/>
  </si>
  <si>
    <t>送り状（営業・貨物）</t>
    <rPh sb="4" eb="6">
      <t>エイギョウ</t>
    </rPh>
    <rPh sb="7" eb="9">
      <t>カモツ</t>
    </rPh>
    <phoneticPr fontId="10"/>
  </si>
  <si>
    <t>送り状（事務S）</t>
    <rPh sb="4" eb="6">
      <t>ジム</t>
    </rPh>
    <phoneticPr fontId="10"/>
  </si>
  <si>
    <t>送り状(AD)</t>
  </si>
  <si>
    <t>申込書情報ファイル</t>
    <rPh sb="0" eb="2">
      <t>モウシコミ</t>
    </rPh>
    <rPh sb="2" eb="3">
      <t>ショ</t>
    </rPh>
    <rPh sb="3" eb="5">
      <t>ジョウホウ</t>
    </rPh>
    <phoneticPr fontId="10"/>
  </si>
  <si>
    <t>申込書情報（詳細）ファイル</t>
    <rPh sb="0" eb="2">
      <t>モウシコミ</t>
    </rPh>
    <rPh sb="2" eb="3">
      <t>ショ</t>
    </rPh>
    <rPh sb="3" eb="5">
      <t>ジョウホウ</t>
    </rPh>
    <rPh sb="6" eb="8">
      <t>ショウサイ</t>
    </rPh>
    <phoneticPr fontId="10"/>
  </si>
  <si>
    <t>不備項目集計情報ファイル</t>
    <rPh sb="0" eb="2">
      <t>フビ</t>
    </rPh>
    <rPh sb="2" eb="4">
      <t>コウモク</t>
    </rPh>
    <rPh sb="4" eb="6">
      <t>シュウケイ</t>
    </rPh>
    <rPh sb="6" eb="8">
      <t>ジョウホウ</t>
    </rPh>
    <phoneticPr fontId="9"/>
  </si>
  <si>
    <t>不備内容集計情報ファイル</t>
    <rPh sb="0" eb="2">
      <t>フビ</t>
    </rPh>
    <rPh sb="2" eb="4">
      <t>ナイヨウ</t>
    </rPh>
    <rPh sb="4" eb="6">
      <t>シュウケイ</t>
    </rPh>
    <rPh sb="6" eb="8">
      <t>ジョウホウ</t>
    </rPh>
    <phoneticPr fontId="9"/>
  </si>
  <si>
    <t>登録件数集計情報ファイル</t>
    <rPh sb="0" eb="2">
      <t>トウロク</t>
    </rPh>
    <rPh sb="2" eb="4">
      <t>ケンスウ</t>
    </rPh>
    <rPh sb="4" eb="6">
      <t>シュウケイ</t>
    </rPh>
    <rPh sb="6" eb="8">
      <t>ジョウホウ</t>
    </rPh>
    <phoneticPr fontId="9"/>
  </si>
  <si>
    <t>フリーコード集計情報ファイル</t>
    <rPh sb="6" eb="10">
      <t>シュウケイジョウホウ</t>
    </rPh>
    <phoneticPr fontId="10"/>
  </si>
  <si>
    <t>募集人集計情報ファイル</t>
    <rPh sb="0" eb="2">
      <t>ボシュウ</t>
    </rPh>
    <rPh sb="2" eb="3">
      <t>ニン</t>
    </rPh>
    <rPh sb="3" eb="7">
      <t>シュウケイジョウホウ</t>
    </rPh>
    <phoneticPr fontId="10"/>
  </si>
  <si>
    <t>バッチ共通</t>
    <rPh sb="3" eb="5">
      <t>キョウツウ</t>
    </rPh>
    <phoneticPr fontId="5"/>
  </si>
  <si>
    <t>ユーザIDマスタ取込処理</t>
  </si>
  <si>
    <t>課支社マスタ取込処理</t>
  </si>
  <si>
    <t>代理店マスタ取込処理</t>
  </si>
  <si>
    <t>項目テーブル取込処理</t>
  </si>
  <si>
    <t>照会内容マスタ取込処理</t>
  </si>
  <si>
    <t>募集人マスタ取込処理</t>
  </si>
  <si>
    <t>回答内容マスタ取込処理</t>
    <rPh sb="0" eb="2">
      <t>カイトウ</t>
    </rPh>
    <rPh sb="2" eb="4">
      <t>ナイヨウ</t>
    </rPh>
    <phoneticPr fontId="5"/>
  </si>
  <si>
    <t>照会方法情報取込バッチ処理</t>
    <rPh sb="0" eb="2">
      <t>ショウカイ</t>
    </rPh>
    <rPh sb="2" eb="4">
      <t>ホウホウ</t>
    </rPh>
    <rPh sb="4" eb="6">
      <t>ジョウホウ</t>
    </rPh>
    <rPh sb="6" eb="8">
      <t>トリコミ</t>
    </rPh>
    <rPh sb="11" eb="13">
      <t>ショリ</t>
    </rPh>
    <phoneticPr fontId="5"/>
  </si>
  <si>
    <t>課支社代理店情報移管バッチ処理</t>
    <rPh sb="0" eb="3">
      <t>カシシャ</t>
    </rPh>
    <rPh sb="3" eb="6">
      <t>ダイリテン</t>
    </rPh>
    <rPh sb="6" eb="8">
      <t>ジョウホウ</t>
    </rPh>
    <rPh sb="8" eb="10">
      <t>イカン</t>
    </rPh>
    <phoneticPr fontId="5"/>
  </si>
  <si>
    <t>代理店 共通</t>
    <rPh sb="0" eb="3">
      <t>ダイリテン</t>
    </rPh>
    <rPh sb="4" eb="6">
      <t>キョウツウ</t>
    </rPh>
    <phoneticPr fontId="5"/>
  </si>
  <si>
    <t>代理店 不備一覧画面</t>
  </si>
  <si>
    <t>代理店 送り状（機械）</t>
    <rPh sb="8" eb="10">
      <t>キカイ</t>
    </rPh>
    <phoneticPr fontId="10"/>
  </si>
  <si>
    <t>代理店 送り状（営業・貨物以外）</t>
    <rPh sb="8" eb="10">
      <t>エイギョウ</t>
    </rPh>
    <rPh sb="11" eb="13">
      <t>カモツ</t>
    </rPh>
    <rPh sb="13" eb="15">
      <t>イガイ</t>
    </rPh>
    <phoneticPr fontId="10"/>
  </si>
  <si>
    <t>代理店 送り状（営業・貨物）</t>
    <rPh sb="8" eb="10">
      <t>エイギョウ</t>
    </rPh>
    <rPh sb="11" eb="13">
      <t>カモツ</t>
    </rPh>
    <phoneticPr fontId="10"/>
  </si>
  <si>
    <t>代理店 送り状（事務S）</t>
    <rPh sb="8" eb="10">
      <t>ジム</t>
    </rPh>
    <phoneticPr fontId="10"/>
  </si>
  <si>
    <t>代理店 バッチ共通</t>
    <rPh sb="0" eb="3">
      <t>ダイリテン</t>
    </rPh>
    <rPh sb="7" eb="9">
      <t>キョウツウ</t>
    </rPh>
    <phoneticPr fontId="5"/>
  </si>
  <si>
    <t>代理店 共通（申込）</t>
    <rPh sb="0" eb="3">
      <t>ダイリテン</t>
    </rPh>
    <rPh sb="4" eb="6">
      <t>キョウツウ</t>
    </rPh>
    <phoneticPr fontId="11"/>
  </si>
  <si>
    <t>代理店 不備登録</t>
    <rPh sb="0" eb="3">
      <t>ダイリテン</t>
    </rPh>
    <rPh sb="4" eb="6">
      <t>フビ</t>
    </rPh>
    <rPh sb="6" eb="8">
      <t>トウロク</t>
    </rPh>
    <phoneticPr fontId="11"/>
  </si>
  <si>
    <t>代理店 不備検索</t>
    <rPh sb="0" eb="3">
      <t>ダイリテン</t>
    </rPh>
    <rPh sb="4" eb="6">
      <t>フビ</t>
    </rPh>
    <rPh sb="6" eb="8">
      <t>ケンサク</t>
    </rPh>
    <phoneticPr fontId="11"/>
  </si>
  <si>
    <t>代理店 集計系バッチ</t>
    <rPh sb="0" eb="3">
      <t>ダイリテン</t>
    </rPh>
    <rPh sb="4" eb="6">
      <t>シュウケイ</t>
    </rPh>
    <rPh sb="6" eb="7">
      <t>ケイ</t>
    </rPh>
    <phoneticPr fontId="11"/>
  </si>
  <si>
    <t>混在</t>
    <rPh sb="0" eb="2">
      <t>コンザイ</t>
    </rPh>
    <phoneticPr fontId="5"/>
  </si>
  <si>
    <t>前段　シナリオID</t>
    <rPh sb="0" eb="2">
      <t>ゼンダン</t>
    </rPh>
    <phoneticPr fontId="10"/>
  </si>
  <si>
    <t>後段　シナリオID</t>
    <rPh sb="0" eb="2">
      <t>コウダン</t>
    </rPh>
    <phoneticPr fontId="10"/>
  </si>
  <si>
    <t>移管処理バッチ</t>
    <rPh sb="0" eb="2">
      <t>イカン</t>
    </rPh>
    <rPh sb="2" eb="4">
      <t>ショリ</t>
    </rPh>
    <phoneticPr fontId="5"/>
  </si>
  <si>
    <t>-------------------</t>
    <phoneticPr fontId="10"/>
  </si>
  <si>
    <t>ジョブネット（JP1）</t>
    <phoneticPr fontId="10"/>
  </si>
  <si>
    <t>営業連携メール通知先登録画面</t>
    <rPh sb="0" eb="2">
      <t>エイギョウ</t>
    </rPh>
    <rPh sb="2" eb="4">
      <t>レンケイ</t>
    </rPh>
    <rPh sb="7" eb="9">
      <t>ツウチ</t>
    </rPh>
    <rPh sb="9" eb="10">
      <t>サキ</t>
    </rPh>
    <rPh sb="10" eb="12">
      <t>トウロク</t>
    </rPh>
    <rPh sb="12" eb="14">
      <t>ガメン</t>
    </rPh>
    <phoneticPr fontId="6"/>
  </si>
  <si>
    <t>個別メール通知先検索画面</t>
  </si>
  <si>
    <t>メール通知先選択画面</t>
  </si>
  <si>
    <t>閲覧システム連携ファイル作成バッチ処理</t>
    <rPh sb="0" eb="2">
      <t>エツラン</t>
    </rPh>
    <rPh sb="6" eb="8">
      <t>レンケイ</t>
    </rPh>
    <rPh sb="12" eb="14">
      <t>サクセイ</t>
    </rPh>
    <phoneticPr fontId="5"/>
  </si>
  <si>
    <t>メール変換先取込通知バッチ処理</t>
    <rPh sb="3" eb="5">
      <t>ヘンカン</t>
    </rPh>
    <rPh sb="5" eb="6">
      <t>サキ</t>
    </rPh>
    <rPh sb="6" eb="8">
      <t>トリコミ</t>
    </rPh>
    <rPh sb="8" eb="10">
      <t>ツウチ</t>
    </rPh>
    <rPh sb="13" eb="15">
      <t>ショリ</t>
    </rPh>
    <phoneticPr fontId="5"/>
  </si>
  <si>
    <t>代理店 訂正内容確認画面</t>
    <phoneticPr fontId="5"/>
  </si>
  <si>
    <t>代理店 送り状(AD)</t>
    <phoneticPr fontId="5"/>
  </si>
  <si>
    <t>代理店 申込書情報ファイル</t>
    <phoneticPr fontId="5"/>
  </si>
  <si>
    <t>ToDo連携データ作成バッチ処理</t>
    <phoneticPr fontId="5"/>
  </si>
  <si>
    <t>ToDo再送設定バッチ処理</t>
    <rPh sb="4" eb="6">
      <t>サイソウ</t>
    </rPh>
    <rPh sb="6" eb="8">
      <t>セッテイ</t>
    </rPh>
    <rPh sb="11" eb="13">
      <t>ショリ</t>
    </rPh>
    <phoneticPr fontId="5"/>
  </si>
  <si>
    <t>項目名検索画面</t>
    <phoneticPr fontId="5"/>
  </si>
  <si>
    <t>送り状（事務S(貨物)）</t>
    <rPh sb="4" eb="6">
      <t>ジム</t>
    </rPh>
    <rPh sb="8" eb="10">
      <t>カモツ</t>
    </rPh>
    <phoneticPr fontId="5"/>
  </si>
  <si>
    <t>代理店 送り状（事務S(貨物)）</t>
    <rPh sb="8" eb="10">
      <t>ジム</t>
    </rPh>
    <rPh sb="12" eb="14">
      <t>カモツ</t>
    </rPh>
    <phoneticPr fontId="5"/>
  </si>
  <si>
    <t>システム活用率データ作成バッチ処理</t>
    <rPh sb="15" eb="17">
      <t>ショリ</t>
    </rPh>
    <phoneticPr fontId="5"/>
  </si>
  <si>
    <t>不備照会方法一覧画面</t>
    <rPh sb="0" eb="2">
      <t>フビ</t>
    </rPh>
    <rPh sb="6" eb="8">
      <t>イチラン</t>
    </rPh>
    <phoneticPr fontId="5"/>
  </si>
  <si>
    <t>更新履歴画面</t>
    <phoneticPr fontId="5"/>
  </si>
  <si>
    <t>代理店モード　回答入力画面</t>
    <phoneticPr fontId="5"/>
  </si>
  <si>
    <t>営業担当者コード取込処理</t>
    <phoneticPr fontId="5"/>
  </si>
  <si>
    <t>大樹生命連携データ作成バッチ処理</t>
    <phoneticPr fontId="5"/>
  </si>
  <si>
    <t>代理店画面サンプル 不備一覧画面</t>
    <phoneticPr fontId="5"/>
  </si>
  <si>
    <t>営業連携通知メール（事務(貨物)以外）</t>
    <phoneticPr fontId="5"/>
  </si>
  <si>
    <t>営業連携通知メール（事務(貨物)）</t>
    <phoneticPr fontId="5"/>
  </si>
  <si>
    <t>連絡用_営業連携通知メール（事務(貨物)以外）</t>
    <phoneticPr fontId="5"/>
  </si>
  <si>
    <t>連絡用_営業連携通知メール（事務(貨物)）</t>
    <phoneticPr fontId="5"/>
  </si>
  <si>
    <t>Ver2.5</t>
    <phoneticPr fontId="5"/>
  </si>
  <si>
    <t>代理店 不備内容入力画面（更新）</t>
  </si>
  <si>
    <t>代理店 申込書類不備照会・返送票</t>
    <rPh sb="0" eb="3">
      <t>ダイリテン</t>
    </rPh>
    <rPh sb="4" eb="5">
      <t>モウ</t>
    </rPh>
    <rPh sb="5" eb="6">
      <t>コ</t>
    </rPh>
    <rPh sb="6" eb="8">
      <t>ショルイ</t>
    </rPh>
    <rPh sb="8" eb="10">
      <t>フビ</t>
    </rPh>
    <rPh sb="10" eb="12">
      <t>ショウカイ</t>
    </rPh>
    <rPh sb="13" eb="15">
      <t>ヘンソウ</t>
    </rPh>
    <rPh sb="15" eb="16">
      <t>ヒョウ</t>
    </rPh>
    <phoneticPr fontId="9"/>
  </si>
  <si>
    <t>代理店 不備照会・返送情報（クリップボード）</t>
    <rPh sb="0" eb="3">
      <t>ダイリテン</t>
    </rPh>
    <rPh sb="11" eb="13">
      <t>ジョウホウ</t>
    </rPh>
    <phoneticPr fontId="10"/>
  </si>
  <si>
    <t>-------------------------------------</t>
  </si>
  <si>
    <t>異例取扱管理メニュー画面</t>
    <rPh sb="0" eb="6">
      <t>イレイトリアツカイカンリ</t>
    </rPh>
    <rPh sb="10" eb="12">
      <t>ガメン</t>
    </rPh>
    <phoneticPr fontId="11"/>
  </si>
  <si>
    <t>共通（異例取扱管理）</t>
    <rPh sb="0" eb="2">
      <t>キョウツウ</t>
    </rPh>
    <phoneticPr fontId="11"/>
  </si>
  <si>
    <t>取消計上申請登録画面</t>
    <rPh sb="0" eb="2">
      <t>トリケシ</t>
    </rPh>
    <rPh sb="2" eb="4">
      <t>ケイジョウ</t>
    </rPh>
    <rPh sb="4" eb="6">
      <t>シンセイ</t>
    </rPh>
    <rPh sb="6" eb="8">
      <t>トウロク</t>
    </rPh>
    <rPh sb="8" eb="10">
      <t>ガメン</t>
    </rPh>
    <phoneticPr fontId="11"/>
  </si>
  <si>
    <t>申請・確認更新画面</t>
    <rPh sb="0" eb="2">
      <t>シンセイ</t>
    </rPh>
    <rPh sb="3" eb="5">
      <t>カクニン</t>
    </rPh>
    <rPh sb="5" eb="7">
      <t>コウシン</t>
    </rPh>
    <rPh sb="7" eb="9">
      <t>ガメン</t>
    </rPh>
    <phoneticPr fontId="11"/>
  </si>
  <si>
    <t>担当者検索画面</t>
    <rPh sb="0" eb="3">
      <t>タントウシャ</t>
    </rPh>
    <rPh sb="3" eb="5">
      <t>ケンサク</t>
    </rPh>
    <rPh sb="5" eb="7">
      <t>ガメン</t>
    </rPh>
    <phoneticPr fontId="11"/>
  </si>
  <si>
    <t>送信先(写)選択画面</t>
    <rPh sb="0" eb="2">
      <t>ソウシン</t>
    </rPh>
    <rPh sb="2" eb="3">
      <t>サキ</t>
    </rPh>
    <rPh sb="4" eb="5">
      <t>ウツ</t>
    </rPh>
    <rPh sb="6" eb="8">
      <t>センタク</t>
    </rPh>
    <rPh sb="8" eb="10">
      <t>ガメン</t>
    </rPh>
    <phoneticPr fontId="11"/>
  </si>
  <si>
    <t>取消計上申請承認画面</t>
    <rPh sb="0" eb="2">
      <t>トリケシ</t>
    </rPh>
    <rPh sb="2" eb="4">
      <t>ケイジョウ</t>
    </rPh>
    <rPh sb="4" eb="6">
      <t>シンセイ</t>
    </rPh>
    <rPh sb="6" eb="8">
      <t>ショウニン</t>
    </rPh>
    <rPh sb="8" eb="10">
      <t>ガメン</t>
    </rPh>
    <phoneticPr fontId="11"/>
  </si>
  <si>
    <t>照会・検索画面</t>
    <rPh sb="0" eb="2">
      <t>ショウカイ</t>
    </rPh>
    <rPh sb="3" eb="5">
      <t>ケンサク</t>
    </rPh>
    <rPh sb="5" eb="7">
      <t>ガメン</t>
    </rPh>
    <phoneticPr fontId="11"/>
  </si>
  <si>
    <t>申請承認一覧画面</t>
    <rPh sb="0" eb="2">
      <t>シンセイ</t>
    </rPh>
    <rPh sb="2" eb="4">
      <t>ショウニン</t>
    </rPh>
    <rPh sb="4" eb="6">
      <t>イチラン</t>
    </rPh>
    <rPh sb="6" eb="8">
      <t>ガメン</t>
    </rPh>
    <phoneticPr fontId="11"/>
  </si>
  <si>
    <t>申請・確認一覧画面</t>
    <rPh sb="0" eb="2">
      <t>シンセイ</t>
    </rPh>
    <rPh sb="3" eb="5">
      <t>カクニン</t>
    </rPh>
    <rPh sb="5" eb="7">
      <t>イチラン</t>
    </rPh>
    <rPh sb="7" eb="9">
      <t>ガメン</t>
    </rPh>
    <phoneticPr fontId="11"/>
  </si>
  <si>
    <t>集計画面</t>
    <rPh sb="0" eb="2">
      <t>シュウケイ</t>
    </rPh>
    <rPh sb="2" eb="4">
      <t>ガメン</t>
    </rPh>
    <phoneticPr fontId="11"/>
  </si>
  <si>
    <t>申請・確認情報ファイル</t>
    <rPh sb="0" eb="2">
      <t>シンセイ</t>
    </rPh>
    <rPh sb="3" eb="5">
      <t>カクニン</t>
    </rPh>
    <rPh sb="5" eb="7">
      <t>ジョウホウ</t>
    </rPh>
    <phoneticPr fontId="12"/>
  </si>
  <si>
    <t>申請・確認情報(詳細)ファイル</t>
    <rPh sb="0" eb="2">
      <t>シンセイ</t>
    </rPh>
    <rPh sb="3" eb="5">
      <t>カクニン</t>
    </rPh>
    <rPh sb="5" eb="7">
      <t>ジョウホウ</t>
    </rPh>
    <phoneticPr fontId="12"/>
  </si>
  <si>
    <t>異例取扱理由集計情報ファイル</t>
    <rPh sb="0" eb="2">
      <t>イレイ</t>
    </rPh>
    <rPh sb="2" eb="4">
      <t>トリアツカイ</t>
    </rPh>
    <rPh sb="4" eb="6">
      <t>リユウ</t>
    </rPh>
    <rPh sb="6" eb="8">
      <t>シュウケイ</t>
    </rPh>
    <rPh sb="8" eb="10">
      <t>ジョウホウ</t>
    </rPh>
    <phoneticPr fontId="5"/>
  </si>
  <si>
    <t>申請状況集計情報ファイル</t>
    <rPh sb="0" eb="2">
      <t>シンセイ</t>
    </rPh>
    <rPh sb="2" eb="4">
      <t>ジョウキョウ</t>
    </rPh>
    <rPh sb="4" eb="6">
      <t>シュウケイ</t>
    </rPh>
    <rPh sb="6" eb="8">
      <t>ジョウホウ</t>
    </rPh>
    <phoneticPr fontId="5"/>
  </si>
  <si>
    <t>変更事由集計情報ファイル</t>
    <rPh sb="0" eb="2">
      <t>ヘンコウ</t>
    </rPh>
    <rPh sb="2" eb="4">
      <t>ジユウ</t>
    </rPh>
    <rPh sb="4" eb="6">
      <t>シュウケイ</t>
    </rPh>
    <rPh sb="6" eb="8">
      <t>ジョウホウ</t>
    </rPh>
    <phoneticPr fontId="5"/>
  </si>
  <si>
    <t>バッチ共通（異例取扱管理）</t>
    <rPh sb="3" eb="5">
      <t>キョウツウ</t>
    </rPh>
    <rPh sb="6" eb="12">
      <t>イレイトリアツカイカンリ</t>
    </rPh>
    <phoneticPr fontId="11"/>
  </si>
  <si>
    <t>計上情報消込処理</t>
    <rPh sb="0" eb="2">
      <t>ケイジョウ</t>
    </rPh>
    <rPh sb="2" eb="4">
      <t>ジョウホウ</t>
    </rPh>
    <rPh sb="4" eb="6">
      <t>ケシコミ</t>
    </rPh>
    <rPh sb="6" eb="8">
      <t>ショリ</t>
    </rPh>
    <phoneticPr fontId="11"/>
  </si>
  <si>
    <t>承認情報ファイル作成処理</t>
    <rPh sb="0" eb="2">
      <t>ショウニン</t>
    </rPh>
    <rPh sb="2" eb="4">
      <t>ジョウホウ</t>
    </rPh>
    <rPh sb="8" eb="10">
      <t>サクセイ</t>
    </rPh>
    <rPh sb="10" eb="12">
      <t>ショリ</t>
    </rPh>
    <phoneticPr fontId="11"/>
  </si>
  <si>
    <t>コンプラ連携ファイル作成処理</t>
    <rPh sb="4" eb="6">
      <t>レンケイ</t>
    </rPh>
    <rPh sb="10" eb="12">
      <t>サクセイ</t>
    </rPh>
    <rPh sb="12" eb="14">
      <t>ショリ</t>
    </rPh>
    <phoneticPr fontId="11"/>
  </si>
  <si>
    <t>異例取扱理由集計バッチ処理</t>
    <rPh sb="0" eb="2">
      <t>イレイ</t>
    </rPh>
    <rPh sb="2" eb="4">
      <t>トリアツカイ</t>
    </rPh>
    <rPh sb="4" eb="6">
      <t>リユウ</t>
    </rPh>
    <rPh sb="6" eb="8">
      <t>シュウケイ</t>
    </rPh>
    <rPh sb="11" eb="13">
      <t>ショリ</t>
    </rPh>
    <phoneticPr fontId="11"/>
  </si>
  <si>
    <t>申請状況集計バッチ処理</t>
    <rPh sb="0" eb="2">
      <t>シンセイ</t>
    </rPh>
    <rPh sb="2" eb="4">
      <t>ジョウキョウ</t>
    </rPh>
    <rPh sb="4" eb="6">
      <t>シュウケイ</t>
    </rPh>
    <rPh sb="9" eb="11">
      <t>ショリ</t>
    </rPh>
    <phoneticPr fontId="11"/>
  </si>
  <si>
    <t>変更事由集計バッチ処理</t>
    <rPh sb="0" eb="2">
      <t>ヘンコウ</t>
    </rPh>
    <rPh sb="2" eb="4">
      <t>ジユウ</t>
    </rPh>
    <rPh sb="4" eb="6">
      <t>シュウケイ</t>
    </rPh>
    <rPh sb="9" eb="11">
      <t>ショリ</t>
    </rPh>
    <phoneticPr fontId="11"/>
  </si>
  <si>
    <t>ジョブネット（JP1）</t>
  </si>
  <si>
    <t>共通（異例）</t>
    <rPh sb="0" eb="2">
      <t>キョウツウ</t>
    </rPh>
    <rPh sb="3" eb="5">
      <t>イレイ</t>
    </rPh>
    <phoneticPr fontId="11"/>
  </si>
  <si>
    <t>取消計上申請登録</t>
  </si>
  <si>
    <t>取消計上申請検索</t>
    <rPh sb="6" eb="8">
      <t>ケンサク</t>
    </rPh>
    <phoneticPr fontId="11"/>
  </si>
  <si>
    <t>取消計上申請集計</t>
    <rPh sb="6" eb="8">
      <t>シュウケイ</t>
    </rPh>
    <phoneticPr fontId="11"/>
  </si>
  <si>
    <t>取消計上申請情報</t>
    <rPh sb="6" eb="8">
      <t>ジョウホウ</t>
    </rPh>
    <phoneticPr fontId="11"/>
  </si>
  <si>
    <t>集計</t>
    <rPh sb="0" eb="2">
      <t>シュウケイ</t>
    </rPh>
    <phoneticPr fontId="11"/>
  </si>
  <si>
    <t>その他（異例）</t>
    <rPh sb="2" eb="3">
      <t>タ</t>
    </rPh>
    <rPh sb="4" eb="6">
      <t>イレイ</t>
    </rPh>
    <phoneticPr fontId="10"/>
  </si>
  <si>
    <t>不備登録情報ファイル作成バッチ処理</t>
    <rPh sb="0" eb="2">
      <t>フビ</t>
    </rPh>
    <rPh sb="2" eb="4">
      <t>トウロク</t>
    </rPh>
    <rPh sb="4" eb="6">
      <t>ジョウホウ</t>
    </rPh>
    <rPh sb="10" eb="12">
      <t>サクセイ</t>
    </rPh>
    <rPh sb="15" eb="17">
      <t>ショリ</t>
    </rPh>
    <phoneticPr fontId="5"/>
  </si>
  <si>
    <t>代理店完了情報ファイル作成バッチ処理</t>
    <rPh sb="0" eb="3">
      <t>ダイリテン</t>
    </rPh>
    <rPh sb="3" eb="5">
      <t>カンリョウ</t>
    </rPh>
    <rPh sb="5" eb="7">
      <t>ジョウホウ</t>
    </rPh>
    <rPh sb="11" eb="13">
      <t>サクセイ</t>
    </rPh>
    <rPh sb="16" eb="18">
      <t>ショリ</t>
    </rPh>
    <phoneticPr fontId="5"/>
  </si>
  <si>
    <t>MS</t>
  </si>
  <si>
    <t>・現行側でも同一のユーザでログインし実施</t>
    <phoneticPr fontId="10"/>
  </si>
  <si>
    <t>ボタン</t>
  </si>
  <si>
    <t>初期値</t>
    <rPh sb="0" eb="3">
      <t>ショキチ</t>
    </rPh>
    <phoneticPr fontId="5"/>
  </si>
  <si>
    <t>○入力内容</t>
    <rPh sb="1" eb="3">
      <t>ニュウリョク</t>
    </rPh>
    <rPh sb="3" eb="5">
      <t>ナイヨウ</t>
    </rPh>
    <phoneticPr fontId="5"/>
  </si>
  <si>
    <t>○ログイン情報</t>
    <rPh sb="5" eb="7">
      <t>ジョウホウ</t>
    </rPh>
    <phoneticPr fontId="5"/>
  </si>
  <si>
    <t>証券番号</t>
    <rPh sb="0" eb="2">
      <t>ショウケン</t>
    </rPh>
    <rPh sb="2" eb="4">
      <t>バンゴウ</t>
    </rPh>
    <phoneticPr fontId="5"/>
  </si>
  <si>
    <t>シナリオID</t>
    <phoneticPr fontId="5"/>
  </si>
  <si>
    <t>明細番号</t>
    <rPh sb="0" eb="2">
      <t>メイサイ</t>
    </rPh>
    <rPh sb="2" eb="4">
      <t>バンゴウ</t>
    </rPh>
    <phoneticPr fontId="5"/>
  </si>
  <si>
    <t>シナリオの枝番</t>
    <rPh sb="5" eb="7">
      <t>エダバン</t>
    </rPh>
    <phoneticPr fontId="5"/>
  </si>
  <si>
    <t>各項目に入力</t>
    <rPh sb="0" eb="3">
      <t>カクコウモク</t>
    </rPh>
    <rPh sb="4" eb="6">
      <t>ニュウリョク</t>
    </rPh>
    <phoneticPr fontId="5"/>
  </si>
  <si>
    <t>【別紙】操作内容
入力内容：１参照</t>
    <rPh sb="1" eb="3">
      <t>ベッシ</t>
    </rPh>
    <rPh sb="4" eb="6">
      <t>ソウサ</t>
    </rPh>
    <rPh sb="6" eb="8">
      <t>ナイヨウ</t>
    </rPh>
    <rPh sb="9" eb="11">
      <t>ニュウリョク</t>
    </rPh>
    <rPh sb="11" eb="13">
      <t>ナイヨウ</t>
    </rPh>
    <rPh sb="15" eb="17">
      <t>サンショウ</t>
    </rPh>
    <phoneticPr fontId="5"/>
  </si>
  <si>
    <t>「検索」押下</t>
    <rPh sb="1" eb="3">
      <t>ケンサク</t>
    </rPh>
    <rPh sb="4" eb="6">
      <t>オウカ</t>
    </rPh>
    <phoneticPr fontId="5"/>
  </si>
  <si>
    <t>保険種類選択画面</t>
    <rPh sb="0" eb="2">
      <t>ホケン</t>
    </rPh>
    <rPh sb="2" eb="4">
      <t>シュルイ</t>
    </rPh>
    <rPh sb="4" eb="6">
      <t>センタク</t>
    </rPh>
    <rPh sb="6" eb="8">
      <t>ガメン</t>
    </rPh>
    <phoneticPr fontId="9"/>
  </si>
  <si>
    <t>不備内容入力画面-更新</t>
    <rPh sb="0" eb="2">
      <t>フビ</t>
    </rPh>
    <rPh sb="2" eb="4">
      <t>ナイヨウ</t>
    </rPh>
    <rPh sb="4" eb="6">
      <t>ニュウリョク</t>
    </rPh>
    <rPh sb="6" eb="8">
      <t>ガメン</t>
    </rPh>
    <rPh sb="9" eb="11">
      <t>コウシン</t>
    </rPh>
    <phoneticPr fontId="5"/>
  </si>
  <si>
    <t>【別紙】表示内容
表示内容：１参照</t>
    <rPh sb="1" eb="3">
      <t>ベッシ</t>
    </rPh>
    <rPh sb="4" eb="6">
      <t>ヒョウジ</t>
    </rPh>
    <rPh sb="6" eb="8">
      <t>ナイヨウ</t>
    </rPh>
    <rPh sb="9" eb="11">
      <t>ヒョウジ</t>
    </rPh>
    <rPh sb="11" eb="13">
      <t>ナイヨウ</t>
    </rPh>
    <rPh sb="15" eb="17">
      <t>サンショウ</t>
    </rPh>
    <phoneticPr fontId="5"/>
  </si>
  <si>
    <t>【別紙】表示内容
表示内容：２参照</t>
    <rPh sb="1" eb="3">
      <t>ベッシ</t>
    </rPh>
    <rPh sb="4" eb="6">
      <t>ヒョウジ</t>
    </rPh>
    <rPh sb="6" eb="8">
      <t>ナイヨウ</t>
    </rPh>
    <rPh sb="9" eb="11">
      <t>ヒョウジ</t>
    </rPh>
    <rPh sb="11" eb="13">
      <t>ナイヨウ</t>
    </rPh>
    <rPh sb="15" eb="17">
      <t>サンショウ</t>
    </rPh>
    <phoneticPr fontId="5"/>
  </si>
  <si>
    <t>APﾛｸﾞ</t>
  </si>
  <si>
    <t>DBﾛｸﾞ</t>
  </si>
  <si>
    <t>DBﾀﾞﾝﾌﾟ</t>
  </si>
  <si>
    <t>○表示内容</t>
    <rPh sb="1" eb="3">
      <t>ヒョウジ</t>
    </rPh>
    <rPh sb="3" eb="5">
      <t>ナイヨウ</t>
    </rPh>
    <phoneticPr fontId="5"/>
  </si>
  <si>
    <t>連携</t>
    <rPh sb="0" eb="2">
      <t>レンケイ</t>
    </rPh>
    <phoneticPr fontId="5"/>
  </si>
  <si>
    <t>営業対応状況</t>
    <rPh sb="0" eb="2">
      <t>エイギョウ</t>
    </rPh>
    <rPh sb="2" eb="4">
      <t>タイオウ</t>
    </rPh>
    <rPh sb="4" eb="6">
      <t>ジョウキョウ</t>
    </rPh>
    <phoneticPr fontId="5"/>
  </si>
  <si>
    <t>対象外</t>
    <rPh sb="0" eb="3">
      <t>タイショウガイ</t>
    </rPh>
    <phoneticPr fontId="5"/>
  </si>
  <si>
    <t>代理店対応状況</t>
    <rPh sb="0" eb="3">
      <t>ダイリテン</t>
    </rPh>
    <rPh sb="3" eb="5">
      <t>タイオウ</t>
    </rPh>
    <rPh sb="5" eb="7">
      <t>ジョウキョウ</t>
    </rPh>
    <phoneticPr fontId="5"/>
  </si>
  <si>
    <t>変化がないことを確認</t>
    <rPh sb="0" eb="2">
      <t>ヘンカ</t>
    </rPh>
    <rPh sb="8" eb="10">
      <t>カクニン</t>
    </rPh>
    <phoneticPr fontId="5"/>
  </si>
  <si>
    <t>APログ</t>
    <phoneticPr fontId="10"/>
  </si>
  <si>
    <t>DBログ</t>
    <phoneticPr fontId="10"/>
  </si>
  <si>
    <t>申込書テーブル</t>
    <phoneticPr fontId="10"/>
  </si>
  <si>
    <t>申込不備テーブル</t>
    <rPh sb="2" eb="4">
      <t>フビ</t>
    </rPh>
    <phoneticPr fontId="10"/>
  </si>
  <si>
    <t>ログに出力されること</t>
    <rPh sb="3" eb="5">
      <t>シュツリョク</t>
    </rPh>
    <phoneticPr fontId="10"/>
  </si>
  <si>
    <r>
      <t>・業務フロー（導線）の確認
・ボタン押下時のステータス遷移確認</t>
    </r>
    <r>
      <rPr>
        <sz val="9"/>
        <color rgb="FFFF0000"/>
        <rFont val="Meiryo UI"/>
        <family val="3"/>
        <charset val="128"/>
      </rPr>
      <t xml:space="preserve">
・動作の現新確認</t>
    </r>
    <phoneticPr fontId="10"/>
  </si>
  <si>
    <t>申込書品質管理・異例取扱管理 サーバ保守切れ対応</t>
    <rPh sb="0" eb="3">
      <t>モウシコミショ</t>
    </rPh>
    <rPh sb="3" eb="5">
      <t>ヒンシツ</t>
    </rPh>
    <rPh sb="5" eb="7">
      <t>カンリ</t>
    </rPh>
    <rPh sb="8" eb="10">
      <t>イレイ</t>
    </rPh>
    <rPh sb="10" eb="12">
      <t>トリアツカイ</t>
    </rPh>
    <rPh sb="12" eb="14">
      <t>カンリ</t>
    </rPh>
    <rPh sb="18" eb="20">
      <t>ホシュ</t>
    </rPh>
    <rPh sb="20" eb="21">
      <t>ギ</t>
    </rPh>
    <rPh sb="22" eb="24">
      <t>タイオウ</t>
    </rPh>
    <phoneticPr fontId="5"/>
  </si>
  <si>
    <t>河村</t>
    <rPh sb="0" eb="2">
      <t>カワムラ</t>
    </rPh>
    <phoneticPr fontId="10"/>
  </si>
  <si>
    <t>不備一覧画面</t>
    <rPh sb="0" eb="4">
      <t>フビイチラン</t>
    </rPh>
    <rPh sb="4" eb="6">
      <t>ガメン</t>
    </rPh>
    <phoneticPr fontId="10"/>
  </si>
  <si>
    <t>「検索」押下</t>
    <phoneticPr fontId="10"/>
  </si>
  <si>
    <t>「No.」リンク押下</t>
    <phoneticPr fontId="10"/>
  </si>
  <si>
    <t>クリック</t>
  </si>
  <si>
    <t>入力区分</t>
    <rPh sb="0" eb="2">
      <t>ニュウリョク</t>
    </rPh>
    <rPh sb="2" eb="4">
      <t>クブン</t>
    </rPh>
    <phoneticPr fontId="5"/>
  </si>
  <si>
    <t>契約マスタ</t>
    <rPh sb="0" eb="2">
      <t>ケイヤク</t>
    </rPh>
    <phoneticPr fontId="5"/>
  </si>
  <si>
    <t>連動しない</t>
    <rPh sb="0" eb="2">
      <t>レンドウ</t>
    </rPh>
    <phoneticPr fontId="5"/>
  </si>
  <si>
    <t>種目</t>
    <rPh sb="0" eb="2">
      <t>シュモク</t>
    </rPh>
    <phoneticPr fontId="5"/>
  </si>
  <si>
    <t>保険種類</t>
    <rPh sb="0" eb="2">
      <t>ホケン</t>
    </rPh>
    <rPh sb="2" eb="4">
      <t>シュルイ</t>
    </rPh>
    <phoneticPr fontId="5"/>
  </si>
  <si>
    <t>部店課支社コード</t>
    <rPh sb="0" eb="5">
      <t>ブテンカシシャ</t>
    </rPh>
    <phoneticPr fontId="5"/>
  </si>
  <si>
    <t>代理店コード</t>
    <rPh sb="0" eb="3">
      <t>ダイリテン</t>
    </rPh>
    <phoneticPr fontId="5"/>
  </si>
  <si>
    <t>照会</t>
    <rPh sb="0" eb="2">
      <t>ショウカイ</t>
    </rPh>
    <phoneticPr fontId="5"/>
  </si>
  <si>
    <t>点検区分</t>
    <rPh sb="0" eb="2">
      <t>テンケン</t>
    </rPh>
    <rPh sb="2" eb="4">
      <t>クブン</t>
    </rPh>
    <phoneticPr fontId="5"/>
  </si>
  <si>
    <t>完了日</t>
    <rPh sb="0" eb="3">
      <t>カンリョウビ</t>
    </rPh>
    <phoneticPr fontId="5"/>
  </si>
  <si>
    <t>空白</t>
    <rPh sb="0" eb="2">
      <t>クウハク</t>
    </rPh>
    <phoneticPr fontId="5"/>
  </si>
  <si>
    <t>現地</t>
    <rPh sb="0" eb="2">
      <t>ゲンチ</t>
    </rPh>
    <phoneticPr fontId="5"/>
  </si>
  <si>
    <t>AHE61</t>
    <phoneticPr fontId="5"/>
  </si>
  <si>
    <t>252H</t>
    <phoneticPr fontId="5"/>
  </si>
  <si>
    <t>依頼区分</t>
    <rPh sb="0" eb="2">
      <t>イライ</t>
    </rPh>
    <rPh sb="2" eb="4">
      <t>クブン</t>
    </rPh>
    <phoneticPr fontId="5"/>
  </si>
  <si>
    <t>代理店対応状況</t>
    <rPh sb="0" eb="7">
      <t>ダイリテンタイオウジョウキョウ</t>
    </rPh>
    <phoneticPr fontId="5"/>
  </si>
  <si>
    <t>対象外</t>
    <rPh sb="0" eb="2">
      <t>タイショウ</t>
    </rPh>
    <rPh sb="2" eb="3">
      <t>ソト</t>
    </rPh>
    <phoneticPr fontId="5"/>
  </si>
  <si>
    <t>「印刷」押下</t>
    <rPh sb="1" eb="3">
      <t>インサツ</t>
    </rPh>
    <rPh sb="4" eb="6">
      <t>オウカ</t>
    </rPh>
    <phoneticPr fontId="5"/>
  </si>
  <si>
    <t>帳票印刷画面</t>
    <rPh sb="0" eb="2">
      <t>チョウヒョウ</t>
    </rPh>
    <rPh sb="2" eb="4">
      <t>インサツ</t>
    </rPh>
    <rPh sb="4" eb="6">
      <t>ガメン</t>
    </rPh>
    <phoneticPr fontId="5"/>
  </si>
  <si>
    <t>「帳票出力」押下</t>
    <rPh sb="1" eb="3">
      <t>チョウヒョウ</t>
    </rPh>
    <rPh sb="3" eb="5">
      <t>シュツリョク</t>
    </rPh>
    <rPh sb="6" eb="8">
      <t>オウカ</t>
    </rPh>
    <phoneticPr fontId="5"/>
  </si>
  <si>
    <t>「名前を付けて保存」押下</t>
    <rPh sb="1" eb="3">
      <t>ナマエ</t>
    </rPh>
    <rPh sb="4" eb="5">
      <t>ツ</t>
    </rPh>
    <rPh sb="7" eb="9">
      <t>ホゾン</t>
    </rPh>
    <rPh sb="10" eb="12">
      <t>オウカ</t>
    </rPh>
    <phoneticPr fontId="10"/>
  </si>
  <si>
    <t>「閉じる」押下</t>
    <rPh sb="1" eb="2">
      <t>ト</t>
    </rPh>
    <rPh sb="5" eb="7">
      <t>オウカ</t>
    </rPh>
    <phoneticPr fontId="10"/>
  </si>
  <si>
    <t>-</t>
    <phoneticPr fontId="10"/>
  </si>
  <si>
    <t>対応中</t>
    <rPh sb="0" eb="3">
      <t>タイオウチュウ</t>
    </rPh>
    <phoneticPr fontId="5"/>
  </si>
  <si>
    <t>ＭＳのユーザかつ、点検区分が「事務S（貨物）」のユーザを設定。</t>
    <rPh sb="9" eb="11">
      <t>テンケン</t>
    </rPh>
    <rPh sb="11" eb="13">
      <t>クブン</t>
    </rPh>
    <rPh sb="15" eb="17">
      <t>ジム</t>
    </rPh>
    <rPh sb="19" eb="21">
      <t>カモツ</t>
    </rPh>
    <rPh sb="28" eb="30">
      <t>セッテイ</t>
    </rPh>
    <phoneticPr fontId="5"/>
  </si>
  <si>
    <t>AZ-110-13-002</t>
    <phoneticPr fontId="5"/>
  </si>
  <si>
    <t>AZ-110-70-001</t>
    <phoneticPr fontId="5"/>
  </si>
  <si>
    <t>AZ11001</t>
    <phoneticPr fontId="5"/>
  </si>
  <si>
    <t>0000000003</t>
    <phoneticPr fontId="5"/>
  </si>
  <si>
    <t>営業</t>
    <rPh sb="0" eb="2">
      <t>エイギョウ</t>
    </rPh>
    <phoneticPr fontId="5"/>
  </si>
  <si>
    <t>積立火災</t>
    <rPh sb="0" eb="2">
      <t>ツミタテ</t>
    </rPh>
    <rPh sb="2" eb="4">
      <t>カサイ</t>
    </rPh>
    <phoneticPr fontId="5"/>
  </si>
  <si>
    <t>01：長総</t>
    <rPh sb="3" eb="4">
      <t>オサ</t>
    </rPh>
    <rPh sb="4" eb="5">
      <t>ソウ</t>
    </rPh>
    <phoneticPr fontId="5"/>
  </si>
  <si>
    <t>「更新」押下</t>
    <rPh sb="1" eb="3">
      <t>コウシン</t>
    </rPh>
    <rPh sb="4" eb="6">
      <t>オウカ</t>
    </rPh>
    <phoneticPr fontId="5"/>
  </si>
  <si>
    <t>【別紙】表示内容
表示内容：３参照</t>
    <rPh sb="1" eb="3">
      <t>ベッシ</t>
    </rPh>
    <rPh sb="4" eb="6">
      <t>ヒョウジ</t>
    </rPh>
    <rPh sb="6" eb="8">
      <t>ナイヨウ</t>
    </rPh>
    <rPh sb="9" eb="11">
      <t>ヒョウジ</t>
    </rPh>
    <rPh sb="11" eb="13">
      <t>ナイヨウ</t>
    </rPh>
    <rPh sb="15" eb="17">
      <t>サンショウ</t>
    </rPh>
    <phoneticPr fontId="5"/>
  </si>
  <si>
    <t>（ステータス遷移確認）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</si>
</sst>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"/>
    <numFmt numFmtId="177" formatCode="yyyy\-mm\-dd"/>
    <numFmt numFmtId="178" formatCode="0.00_ "/>
  </numFmts>
  <fonts count="19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u/>
      <sz val="14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0"/>
      <name val="Meiryo UI"/>
      <family val="3"/>
      <charset val="128"/>
    </font>
    <font>
      <sz val="6"/>
      <name val="ＭＳ Ｐゴシック"/>
      <family val="3"/>
      <charset val="128"/>
    </font>
    <font>
      <sz val="10"/>
      <color indexed="10"/>
      <name val="Meiryo UI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8"/>
      <name val="Meiryo UI"/>
      <family val="3"/>
      <charset val="128"/>
    </font>
    <font>
      <sz val="9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3" fillId="0" borderId="0"/>
    <xf numFmtId="0" fontId="2" fillId="0" borderId="0">
      <alignment vertical="center"/>
    </xf>
    <xf numFmtId="0" fontId="1" fillId="0" borderId="0">
      <alignment vertical="center"/>
    </xf>
  </cellStyleXfs>
  <cellXfs count="154">
    <xf numFmtId="0" fontId="0" fillId="0" borderId="0" xfId="0"/>
    <xf numFmtId="0" fontId="4" fillId="0" borderId="0" xfId="1" applyFont="1"/>
    <xf numFmtId="0" fontId="4" fillId="0" borderId="0" xfId="1" applyFont="1" applyAlignment="1">
      <alignment horizontal="center" shrinkToFit="1"/>
    </xf>
    <xf numFmtId="0" fontId="4" fillId="0" borderId="0" xfId="1" applyFont="1" applyAlignment="1">
      <alignment horizont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 shrinkToFi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 vertical="center" shrinkToFit="1"/>
    </xf>
    <xf numFmtId="0" fontId="8" fillId="0" borderId="0" xfId="1" applyFont="1" applyAlignment="1">
      <alignment horizontal="center" vertical="center"/>
    </xf>
    <xf numFmtId="0" fontId="9" fillId="0" borderId="0" xfId="1" applyFont="1"/>
    <xf numFmtId="0" fontId="9" fillId="0" borderId="1" xfId="1" applyFont="1" applyBorder="1"/>
    <xf numFmtId="0" fontId="9" fillId="0" borderId="1" xfId="1" applyFont="1" applyBorder="1" applyAlignment="1">
      <alignment horizontal="center" shrinkToFit="1"/>
    </xf>
    <xf numFmtId="0" fontId="9" fillId="0" borderId="0" xfId="1" applyFont="1" applyAlignment="1">
      <alignment horizontal="center" shrinkToFit="1"/>
    </xf>
    <xf numFmtId="0" fontId="9" fillId="0" borderId="0" xfId="1" quotePrefix="1" applyFont="1"/>
    <xf numFmtId="0" fontId="4" fillId="0" borderId="0" xfId="0" applyFont="1"/>
    <xf numFmtId="0" fontId="4" fillId="0" borderId="0" xfId="0" applyFont="1" applyAlignment="1">
      <alignment horizontal="center"/>
    </xf>
    <xf numFmtId="176" fontId="4" fillId="0" borderId="0" xfId="0" applyNumberFormat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vertical="center"/>
    </xf>
    <xf numFmtId="0" fontId="9" fillId="2" borderId="2" xfId="0" applyFont="1" applyFill="1" applyBorder="1"/>
    <xf numFmtId="0" fontId="9" fillId="2" borderId="3" xfId="0" applyFont="1" applyFill="1" applyBorder="1"/>
    <xf numFmtId="0" fontId="9" fillId="0" borderId="0" xfId="0" applyFont="1"/>
    <xf numFmtId="0" fontId="9" fillId="2" borderId="4" xfId="0" applyFont="1" applyFill="1" applyBorder="1"/>
    <xf numFmtId="177" fontId="9" fillId="0" borderId="4" xfId="0" applyNumberFormat="1" applyFont="1" applyBorder="1" applyAlignment="1">
      <alignment horizontal="center"/>
    </xf>
    <xf numFmtId="0" fontId="9" fillId="2" borderId="5" xfId="0" applyFont="1" applyFill="1" applyBorder="1"/>
    <xf numFmtId="0" fontId="9" fillId="2" borderId="9" xfId="0" applyFont="1" applyFill="1" applyBorder="1"/>
    <xf numFmtId="0" fontId="9" fillId="0" borderId="10" xfId="0" applyFont="1" applyBorder="1"/>
    <xf numFmtId="0" fontId="9" fillId="2" borderId="11" xfId="0" applyFont="1" applyFill="1" applyBorder="1"/>
    <xf numFmtId="0" fontId="9" fillId="0" borderId="4" xfId="0" applyFont="1" applyBorder="1"/>
    <xf numFmtId="0" fontId="9" fillId="0" borderId="0" xfId="0" applyFont="1" applyAlignment="1">
      <alignment horizontal="center"/>
    </xf>
    <xf numFmtId="0" fontId="9" fillId="2" borderId="6" xfId="0" applyFont="1" applyFill="1" applyBorder="1"/>
    <xf numFmtId="0" fontId="9" fillId="2" borderId="8" xfId="0" applyFont="1" applyFill="1" applyBorder="1" applyAlignment="1">
      <alignment horizontal="center"/>
    </xf>
    <xf numFmtId="0" fontId="9" fillId="2" borderId="8" xfId="0" applyFont="1" applyFill="1" applyBorder="1"/>
    <xf numFmtId="0" fontId="9" fillId="2" borderId="7" xfId="0" applyFont="1" applyFill="1" applyBorder="1"/>
    <xf numFmtId="0" fontId="9" fillId="2" borderId="12" xfId="0" applyFont="1" applyFill="1" applyBorder="1"/>
    <xf numFmtId="0" fontId="9" fillId="2" borderId="5" xfId="0" applyFont="1" applyFill="1" applyBorder="1" applyAlignment="1">
      <alignment horizontal="center"/>
    </xf>
    <xf numFmtId="0" fontId="9" fillId="2" borderId="0" xfId="0" applyFont="1" applyFill="1"/>
    <xf numFmtId="0" fontId="9" fillId="2" borderId="6" xfId="0" applyFont="1" applyFill="1" applyBorder="1" applyAlignment="1">
      <alignment horizontal="center"/>
    </xf>
    <xf numFmtId="0" fontId="9" fillId="2" borderId="15" xfId="0" applyFont="1" applyFill="1" applyBorder="1"/>
    <xf numFmtId="0" fontId="9" fillId="2" borderId="16" xfId="0" applyFont="1" applyFill="1" applyBorder="1"/>
    <xf numFmtId="0" fontId="14" fillId="2" borderId="17" xfId="0" applyFont="1" applyFill="1" applyBorder="1"/>
    <xf numFmtId="0" fontId="14" fillId="2" borderId="17" xfId="0" applyFont="1" applyFill="1" applyBorder="1" applyAlignment="1">
      <alignment horizontal="center"/>
    </xf>
    <xf numFmtId="0" fontId="14" fillId="2" borderId="17" xfId="0" applyFont="1" applyFill="1" applyBorder="1" applyAlignment="1">
      <alignment horizontal="left"/>
    </xf>
    <xf numFmtId="0" fontId="9" fillId="2" borderId="18" xfId="0" applyFont="1" applyFill="1" applyBorder="1"/>
    <xf numFmtId="0" fontId="9" fillId="2" borderId="17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19" xfId="0" applyFont="1" applyFill="1" applyBorder="1"/>
    <xf numFmtId="0" fontId="9" fillId="2" borderId="17" xfId="0" applyFont="1" applyFill="1" applyBorder="1"/>
    <xf numFmtId="0" fontId="4" fillId="0" borderId="0" xfId="1" applyFont="1" applyAlignment="1">
      <alignment horizontal="left"/>
    </xf>
    <xf numFmtId="0" fontId="6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2" borderId="22" xfId="0" applyFont="1" applyFill="1" applyBorder="1"/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4" fillId="0" borderId="4" xfId="0" applyFont="1" applyBorder="1"/>
    <xf numFmtId="0" fontId="14" fillId="2" borderId="23" xfId="0" applyFont="1" applyFill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2" borderId="25" xfId="0" applyFont="1" applyFill="1" applyBorder="1" applyAlignment="1">
      <alignment horizontal="center"/>
    </xf>
    <xf numFmtId="0" fontId="14" fillId="0" borderId="26" xfId="0" applyFont="1" applyBorder="1" applyAlignment="1">
      <alignment horizontal="center"/>
    </xf>
    <xf numFmtId="178" fontId="9" fillId="0" borderId="10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top"/>
    </xf>
    <xf numFmtId="0" fontId="9" fillId="0" borderId="11" xfId="0" applyFont="1" applyBorder="1" applyAlignment="1">
      <alignment vertical="top"/>
    </xf>
    <xf numFmtId="0" fontId="9" fillId="0" borderId="11" xfId="0" applyFont="1" applyBorder="1" applyAlignment="1">
      <alignment horizontal="center" vertical="top"/>
    </xf>
    <xf numFmtId="0" fontId="9" fillId="0" borderId="13" xfId="0" applyFont="1" applyBorder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177" fontId="9" fillId="0" borderId="11" xfId="0" applyNumberFormat="1" applyFont="1" applyBorder="1" applyAlignment="1">
      <alignment horizontal="center" vertical="top"/>
    </xf>
    <xf numFmtId="0" fontId="9" fillId="0" borderId="20" xfId="0" applyFont="1" applyBorder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center" vertical="top"/>
    </xf>
    <xf numFmtId="0" fontId="9" fillId="0" borderId="10" xfId="0" applyFont="1" applyBorder="1" applyAlignment="1">
      <alignment vertical="top"/>
    </xf>
    <xf numFmtId="0" fontId="9" fillId="0" borderId="10" xfId="0" applyFont="1" applyBorder="1" applyAlignment="1">
      <alignment horizontal="center" vertical="top"/>
    </xf>
    <xf numFmtId="177" fontId="9" fillId="0" borderId="9" xfId="0" applyNumberFormat="1" applyFont="1" applyBorder="1" applyAlignment="1">
      <alignment horizontal="center" vertical="top"/>
    </xf>
    <xf numFmtId="0" fontId="9" fillId="0" borderId="21" xfId="0" applyFont="1" applyBorder="1" applyAlignment="1">
      <alignment vertical="top"/>
    </xf>
    <xf numFmtId="0" fontId="6" fillId="0" borderId="0" xfId="0" applyFont="1" applyAlignment="1">
      <alignment horizontal="right" vertical="center"/>
    </xf>
    <xf numFmtId="0" fontId="9" fillId="0" borderId="0" xfId="1" applyFont="1" applyAlignment="1">
      <alignment horizontal="left" shrinkToFit="1"/>
    </xf>
    <xf numFmtId="0" fontId="16" fillId="0" borderId="0" xfId="0" applyFont="1"/>
    <xf numFmtId="0" fontId="4" fillId="3" borderId="27" xfId="0" applyFont="1" applyFill="1" applyBorder="1"/>
    <xf numFmtId="0" fontId="4" fillId="4" borderId="28" xfId="0" applyFont="1" applyFill="1" applyBorder="1"/>
    <xf numFmtId="0" fontId="4" fillId="4" borderId="29" xfId="0" applyFont="1" applyFill="1" applyBorder="1"/>
    <xf numFmtId="0" fontId="4" fillId="4" borderId="30" xfId="0" applyFont="1" applyFill="1" applyBorder="1"/>
    <xf numFmtId="0" fontId="4" fillId="5" borderId="28" xfId="0" applyFont="1" applyFill="1" applyBorder="1"/>
    <xf numFmtId="0" fontId="4" fillId="5" borderId="29" xfId="0" applyFont="1" applyFill="1" applyBorder="1"/>
    <xf numFmtId="0" fontId="4" fillId="5" borderId="30" xfId="0" applyFont="1" applyFill="1" applyBorder="1"/>
    <xf numFmtId="0" fontId="4" fillId="3" borderId="31" xfId="0" applyFont="1" applyFill="1" applyBorder="1"/>
    <xf numFmtId="0" fontId="4" fillId="4" borderId="32" xfId="0" applyFont="1" applyFill="1" applyBorder="1"/>
    <xf numFmtId="0" fontId="4" fillId="4" borderId="8" xfId="0" applyFont="1" applyFill="1" applyBorder="1"/>
    <xf numFmtId="0" fontId="4" fillId="4" borderId="33" xfId="0" applyFont="1" applyFill="1" applyBorder="1"/>
    <xf numFmtId="0" fontId="4" fillId="5" borderId="8" xfId="0" applyFont="1" applyFill="1" applyBorder="1"/>
    <xf numFmtId="0" fontId="4" fillId="5" borderId="33" xfId="0" applyFont="1" applyFill="1" applyBorder="1"/>
    <xf numFmtId="0" fontId="4" fillId="5" borderId="32" xfId="0" applyFont="1" applyFill="1" applyBorder="1"/>
    <xf numFmtId="0" fontId="4" fillId="3" borderId="34" xfId="0" applyFont="1" applyFill="1" applyBorder="1"/>
    <xf numFmtId="0" fontId="4" fillId="5" borderId="35" xfId="0" applyFont="1" applyFill="1" applyBorder="1"/>
    <xf numFmtId="0" fontId="4" fillId="5" borderId="36" xfId="0" applyFont="1" applyFill="1" applyBorder="1"/>
    <xf numFmtId="0" fontId="4" fillId="4" borderId="37" xfId="0" applyFont="1" applyFill="1" applyBorder="1"/>
    <xf numFmtId="0" fontId="4" fillId="4" borderId="35" xfId="0" applyFont="1" applyFill="1" applyBorder="1"/>
    <xf numFmtId="0" fontId="4" fillId="4" borderId="36" xfId="0" applyFont="1" applyFill="1" applyBorder="1"/>
    <xf numFmtId="0" fontId="4" fillId="5" borderId="37" xfId="0" applyFont="1" applyFill="1" applyBorder="1"/>
    <xf numFmtId="0" fontId="9" fillId="0" borderId="13" xfId="0" applyFont="1" applyBorder="1" applyAlignment="1">
      <alignment vertical="top" wrapText="1"/>
    </xf>
    <xf numFmtId="0" fontId="9" fillId="0" borderId="11" xfId="0" applyFont="1" applyBorder="1" applyAlignment="1">
      <alignment vertical="top" wrapText="1"/>
    </xf>
    <xf numFmtId="0" fontId="17" fillId="0" borderId="0" xfId="0" applyFont="1"/>
    <xf numFmtId="0" fontId="4" fillId="6" borderId="0" xfId="0" applyFont="1" applyFill="1"/>
    <xf numFmtId="0" fontId="4" fillId="5" borderId="37" xfId="0" quotePrefix="1" applyFont="1" applyFill="1" applyBorder="1"/>
    <xf numFmtId="0" fontId="4" fillId="4" borderId="38" xfId="0" applyFont="1" applyFill="1" applyBorder="1"/>
    <xf numFmtId="0" fontId="4" fillId="4" borderId="22" xfId="0" applyFont="1" applyFill="1" applyBorder="1"/>
    <xf numFmtId="0" fontId="4" fillId="4" borderId="39" xfId="0" applyFont="1" applyFill="1" applyBorder="1"/>
    <xf numFmtId="0" fontId="4" fillId="5" borderId="38" xfId="0" applyFont="1" applyFill="1" applyBorder="1"/>
    <xf numFmtId="0" fontId="4" fillId="5" borderId="22" xfId="0" applyFont="1" applyFill="1" applyBorder="1"/>
    <xf numFmtId="0" fontId="4" fillId="5" borderId="39" xfId="0" applyFont="1" applyFill="1" applyBorder="1"/>
    <xf numFmtId="0" fontId="4" fillId="5" borderId="38" xfId="0" quotePrefix="1" applyFont="1" applyFill="1" applyBorder="1"/>
    <xf numFmtId="0" fontId="4" fillId="5" borderId="40" xfId="0" applyFont="1" applyFill="1" applyBorder="1"/>
    <xf numFmtId="0" fontId="4" fillId="5" borderId="41" xfId="0" applyFont="1" applyFill="1" applyBorder="1"/>
    <xf numFmtId="0" fontId="4" fillId="5" borderId="32" xfId="0" quotePrefix="1" applyFont="1" applyFill="1" applyBorder="1"/>
    <xf numFmtId="0" fontId="4" fillId="4" borderId="42" xfId="0" applyFont="1" applyFill="1" applyBorder="1"/>
    <xf numFmtId="0" fontId="4" fillId="4" borderId="40" xfId="0" applyFont="1" applyFill="1" applyBorder="1"/>
    <xf numFmtId="0" fontId="4" fillId="4" borderId="41" xfId="0" applyFont="1" applyFill="1" applyBorder="1"/>
    <xf numFmtId="0" fontId="4" fillId="5" borderId="42" xfId="0" applyFont="1" applyFill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8" fillId="0" borderId="6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5" fillId="0" borderId="6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15" fillId="0" borderId="12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13" xfId="0" applyFont="1" applyBorder="1" applyAlignment="1">
      <alignment horizontal="left" vertical="top"/>
    </xf>
    <xf numFmtId="0" fontId="15" fillId="0" borderId="14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5" fillId="0" borderId="10" xfId="0" applyFont="1" applyBorder="1" applyAlignment="1">
      <alignment horizontal="left" vertical="top"/>
    </xf>
    <xf numFmtId="0" fontId="9" fillId="0" borderId="4" xfId="0" applyFont="1" applyBorder="1" applyAlignment="1">
      <alignment horizontal="center"/>
    </xf>
  </cellXfs>
  <cellStyles count="4">
    <cellStyle name="標準" xfId="0" builtinId="0"/>
    <cellStyle name="標準 2" xfId="1" xr:uid="{00000000-0005-0000-0000-000001000000}"/>
    <cellStyle name="標準 3 2 2" xfId="2" xr:uid="{00000000-0005-0000-0000-000002000000}"/>
    <cellStyle name="標準 3 2 2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001\&#33337;&#33334;\MIYA\F-N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NIP"/>
      <sheetName val="顧客直近（Ⅱ事後）0403"/>
      <sheetName val="ﾏﾄﾒ表累年H1-H12"/>
      <sheetName val="項目リスト"/>
      <sheetName val="list"/>
      <sheetName val="社員リスト"/>
      <sheetName val="代車特約クラス"/>
      <sheetName val="リスト"/>
      <sheetName val="ｸﾞﾗﾌ雑危険計累年10年"/>
      <sheetName val="入力規則"/>
      <sheetName val="Sheet2"/>
      <sheetName val="イナズマ"/>
      <sheetName val="概算見積書"/>
      <sheetName val="変更管理一覧表"/>
      <sheetName val="作成条件"/>
      <sheetName val="進捗状況報告"/>
      <sheetName val="イナズマ.xls"/>
      <sheetName val="ﾄﾗｯｷﾝｸﾞﾁｪｯｸシート"/>
      <sheetName val="課題管理一覧表"/>
      <sheetName val="WKシート"/>
      <sheetName val="DS-700 "/>
      <sheetName val="DS-710 "/>
      <sheetName val="DS-715 "/>
      <sheetName val="DS-720"/>
      <sheetName val="DS-725"/>
      <sheetName val="×別紙1"/>
      <sheetName val="%E3%82%A4%E3%83%8A%E3%82%BA%E3%"/>
      <sheetName val="見積条件票"/>
      <sheetName val="PRM"/>
      <sheetName val="入力規制用"/>
      <sheetName val="テーブル"/>
      <sheetName val="DS-600"/>
      <sheetName val="雑危険計"/>
      <sheetName val="表"/>
      <sheetName val="Sheet1"/>
      <sheetName val="リスト&amp;サマリ"/>
      <sheetName val="参考（設定値）"/>
      <sheetName val="メイン"/>
      <sheetName val="データ"/>
      <sheetName val="【３版】β版 パス変換ツール"/>
      <sheetName val="【２版】パス変換ツール"/>
      <sheetName val="【初版】パス変換ツール"/>
      <sheetName val="master"/>
      <sheetName val="Config"/>
      <sheetName val="プルダウン"/>
      <sheetName val="ﾒﾓﾘ所要量"/>
      <sheetName val="マスタ"/>
      <sheetName val="管理表"/>
      <sheetName val="管理"/>
      <sheetName val="領域"/>
      <sheetName val="レビュー記録表（本紙）"/>
      <sheetName val="ＤＤ新旧対応"/>
      <sheetName val="団体Web"/>
      <sheetName val="データパターン"/>
      <sheetName val="header"/>
      <sheetName val="生人台帳"/>
      <sheetName val="Work"/>
      <sheetName val="表示文言一覧"/>
      <sheetName val="イナズマ_xls"/>
      <sheetName val="DS-700_"/>
      <sheetName val="DS-710_"/>
      <sheetName val="DS-715_"/>
      <sheetName val="リスト内容"/>
      <sheetName val="B票システムシート2"/>
      <sheetName val="B票システムシート1"/>
      <sheetName val="記入要領"/>
      <sheetName val="イナズマ_xls1"/>
      <sheetName val="DS-700_1"/>
      <sheetName val="DS-710_1"/>
      <sheetName val="DS-715_1"/>
      <sheetName val="【３版】β版_パス変換ツール"/>
      <sheetName val="データシート"/>
      <sheetName val="イナズマ_xls2"/>
      <sheetName val="DS-700_2"/>
      <sheetName val="DS-710_2"/>
      <sheetName val="DS-715_2"/>
      <sheetName val="【３版】β版_パス変換ツール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43"/>
  <sheetViews>
    <sheetView tabSelected="1" zoomScaleNormal="100" workbookViewId="0"/>
  </sheetViews>
  <sheetFormatPr defaultRowHeight="14.25" x14ac:dyDescent="0.25"/>
  <cols>
    <col min="1" max="1" width="0.75" style="16" customWidth="1"/>
    <col min="2" max="2" width="12.625" style="16" customWidth="1"/>
    <col min="3" max="3" width="14.375" style="16" customWidth="1"/>
    <col min="4" max="4" width="0.75" style="16" customWidth="1"/>
    <col min="5" max="5" width="2.625" style="28" customWidth="1"/>
    <col min="6" max="6" width="33.375" style="28" customWidth="1"/>
    <col min="7" max="7" width="2.625" style="28" customWidth="1"/>
    <col min="8" max="8" width="10.375" style="36" customWidth="1"/>
    <col min="9" max="10" width="20.625" style="28" customWidth="1"/>
    <col min="11" max="11" width="2.625" style="28" customWidth="1"/>
    <col min="12" max="12" width="11.25" style="36" bestFit="1" customWidth="1"/>
    <col min="13" max="13" width="20.625" style="28" customWidth="1"/>
    <col min="14" max="14" width="38.625" style="28" customWidth="1"/>
    <col min="15" max="15" width="11.25" style="36" customWidth="1"/>
    <col min="16" max="16" width="11.125" style="28" bestFit="1" customWidth="1"/>
    <col min="17" max="17" width="11.125" style="28" customWidth="1"/>
    <col min="18" max="18" width="4.75" style="36" bestFit="1" customWidth="1"/>
    <col min="19" max="19" width="12.875" style="28" customWidth="1"/>
    <col min="20" max="20" width="11.125" style="28" bestFit="1" customWidth="1"/>
    <col min="21" max="21" width="11.125" style="28" customWidth="1"/>
    <col min="22" max="22" width="24" style="28" customWidth="1"/>
    <col min="23" max="25" width="2.625" style="28" customWidth="1"/>
    <col min="26" max="16384" width="9" style="28"/>
  </cols>
  <sheetData>
    <row r="1" spans="1:25" s="16" customFormat="1" ht="4.5" customHeight="1" x14ac:dyDescent="0.25">
      <c r="A1" s="90"/>
      <c r="H1" s="17"/>
      <c r="I1" s="18"/>
      <c r="L1" s="17"/>
      <c r="N1" s="17"/>
      <c r="O1" s="17"/>
      <c r="R1" s="17"/>
      <c r="W1" s="17"/>
      <c r="Y1" s="17"/>
    </row>
    <row r="2" spans="1:25" s="19" customFormat="1" ht="12" x14ac:dyDescent="0.15">
      <c r="B2" s="19" t="s">
        <v>359</v>
      </c>
      <c r="H2" s="20"/>
      <c r="I2" s="21"/>
      <c r="L2" s="20"/>
      <c r="N2" s="20"/>
      <c r="O2" s="20"/>
      <c r="R2" s="20"/>
      <c r="V2" s="88" t="s">
        <v>289</v>
      </c>
      <c r="W2" s="20"/>
      <c r="Y2" s="20"/>
    </row>
    <row r="3" spans="1:25" s="22" customFormat="1" ht="19.5" x14ac:dyDescent="0.15">
      <c r="B3" s="23" t="s">
        <v>135</v>
      </c>
      <c r="F3" s="23"/>
      <c r="H3" s="24"/>
      <c r="I3" s="25"/>
      <c r="L3" s="24"/>
      <c r="N3" s="24"/>
      <c r="O3" s="24"/>
      <c r="R3" s="24"/>
      <c r="W3" s="24"/>
      <c r="Y3" s="24"/>
    </row>
    <row r="4" spans="1:25" s="16" customFormat="1" ht="4.5" customHeight="1" x14ac:dyDescent="0.25">
      <c r="H4" s="17"/>
      <c r="I4" s="18"/>
      <c r="L4" s="17"/>
      <c r="N4" s="17"/>
      <c r="O4" s="17"/>
      <c r="R4" s="17"/>
      <c r="T4" s="28"/>
      <c r="U4" s="28"/>
      <c r="V4" s="28"/>
      <c r="W4" s="28"/>
      <c r="X4" s="28"/>
      <c r="Y4" s="28"/>
    </row>
    <row r="5" spans="1:25" x14ac:dyDescent="0.25">
      <c r="B5" s="133" t="s">
        <v>208</v>
      </c>
      <c r="C5" s="134"/>
      <c r="E5" s="26" t="s">
        <v>214</v>
      </c>
      <c r="F5" s="61"/>
      <c r="G5" s="61"/>
      <c r="H5" s="61"/>
      <c r="I5" s="61"/>
      <c r="J5" s="27"/>
      <c r="K5" s="26" t="s">
        <v>209</v>
      </c>
      <c r="L5" s="61"/>
      <c r="M5" s="61"/>
      <c r="N5" s="61"/>
      <c r="O5" s="61"/>
      <c r="P5" s="27"/>
      <c r="R5" s="28"/>
      <c r="U5" s="29" t="s">
        <v>137</v>
      </c>
      <c r="V5" s="30">
        <v>46253</v>
      </c>
    </row>
    <row r="6" spans="1:25" ht="14.25" customHeight="1" x14ac:dyDescent="0.25">
      <c r="B6" s="131" t="s">
        <v>13</v>
      </c>
      <c r="C6" s="132"/>
      <c r="E6" s="144" t="s">
        <v>358</v>
      </c>
      <c r="F6" s="145"/>
      <c r="G6" s="145"/>
      <c r="H6" s="145"/>
      <c r="I6" s="145"/>
      <c r="J6" s="146"/>
      <c r="K6" s="135" t="s">
        <v>328</v>
      </c>
      <c r="L6" s="136"/>
      <c r="M6" s="136"/>
      <c r="N6" s="136"/>
      <c r="O6" s="136"/>
      <c r="P6" s="137"/>
      <c r="R6" s="28"/>
      <c r="U6" s="32" t="s">
        <v>138</v>
      </c>
      <c r="V6" s="33" t="s">
        <v>360</v>
      </c>
    </row>
    <row r="7" spans="1:25" ht="14.25" customHeight="1" x14ac:dyDescent="0.25">
      <c r="B7" s="90" t="str" cm="1">
        <f t="array" aca="1" ref="B7" ca="1">MID(CELL("filename"),SEARCH("[",CELL("filename"))+1,SEARCH("]",CELL("filename"))-SEARCH("[",CELL("filename"))-1)</f>
        <v>結合試験 試験手順書 AZ-110-38-001.xlsx</v>
      </c>
      <c r="E7" s="147"/>
      <c r="F7" s="148"/>
      <c r="G7" s="148"/>
      <c r="H7" s="148"/>
      <c r="I7" s="148"/>
      <c r="J7" s="149"/>
      <c r="K7" s="138"/>
      <c r="L7" s="139"/>
      <c r="M7" s="139"/>
      <c r="N7" s="139"/>
      <c r="O7" s="139"/>
      <c r="P7" s="140"/>
      <c r="R7" s="28"/>
      <c r="U7" s="29" t="s">
        <v>210</v>
      </c>
      <c r="V7" s="30"/>
    </row>
    <row r="8" spans="1:25" ht="14.25" customHeight="1" x14ac:dyDescent="0.25">
      <c r="B8" s="133" t="s">
        <v>136</v>
      </c>
      <c r="C8" s="134"/>
      <c r="E8" s="147"/>
      <c r="F8" s="148"/>
      <c r="G8" s="148"/>
      <c r="H8" s="148"/>
      <c r="I8" s="148"/>
      <c r="J8" s="149"/>
      <c r="K8" s="138"/>
      <c r="L8" s="139"/>
      <c r="M8" s="139"/>
      <c r="N8" s="139"/>
      <c r="O8" s="139"/>
      <c r="P8" s="140"/>
      <c r="R8" s="28"/>
      <c r="U8" s="32" t="s">
        <v>211</v>
      </c>
      <c r="V8" s="33"/>
    </row>
    <row r="9" spans="1:25" ht="14.25" customHeight="1" x14ac:dyDescent="0.25">
      <c r="B9" s="153" t="str">
        <f ca="1">_xlfn.TEXTBEFORE(_xlfn.TEXTAFTER(B7,"手順書 "),".xlsx")</f>
        <v>AZ-110-38-001</v>
      </c>
      <c r="C9" s="153"/>
      <c r="E9" s="150"/>
      <c r="F9" s="151"/>
      <c r="G9" s="151"/>
      <c r="H9" s="151"/>
      <c r="I9" s="151"/>
      <c r="J9" s="152"/>
      <c r="K9" s="141"/>
      <c r="L9" s="142"/>
      <c r="M9" s="142"/>
      <c r="N9" s="142"/>
      <c r="O9" s="142"/>
      <c r="P9" s="143"/>
      <c r="R9" s="28"/>
      <c r="U9" s="32" t="s">
        <v>212</v>
      </c>
      <c r="V9" s="72">
        <v>1</v>
      </c>
    </row>
    <row r="10" spans="1:25" s="16" customFormat="1" ht="4.5" customHeight="1" x14ac:dyDescent="0.25">
      <c r="B10" s="90"/>
      <c r="H10" s="17"/>
      <c r="I10" s="18"/>
      <c r="L10" s="17"/>
      <c r="N10" s="17"/>
      <c r="O10" s="17"/>
      <c r="R10" s="17"/>
      <c r="W10" s="17"/>
      <c r="Y10" s="17"/>
    </row>
    <row r="11" spans="1:25" x14ac:dyDescent="0.25">
      <c r="E11" s="37"/>
      <c r="F11" s="31"/>
      <c r="G11" s="37" t="s">
        <v>141</v>
      </c>
      <c r="H11" s="38"/>
      <c r="I11" s="39"/>
      <c r="J11" s="40"/>
      <c r="K11" s="39" t="s">
        <v>142</v>
      </c>
      <c r="L11" s="38"/>
      <c r="M11" s="39"/>
      <c r="N11" s="39"/>
      <c r="O11" s="38"/>
      <c r="P11" s="37" t="s">
        <v>143</v>
      </c>
      <c r="Q11" s="39"/>
      <c r="R11" s="38"/>
      <c r="S11" s="40"/>
      <c r="T11" s="39" t="s">
        <v>144</v>
      </c>
      <c r="U11" s="39"/>
      <c r="V11" s="31"/>
    </row>
    <row r="12" spans="1:25" ht="14.25" customHeight="1" x14ac:dyDescent="0.25">
      <c r="E12" s="41" t="s">
        <v>145</v>
      </c>
      <c r="F12" s="34" t="s">
        <v>146</v>
      </c>
      <c r="G12" s="41"/>
      <c r="H12" s="42" t="s">
        <v>147</v>
      </c>
      <c r="I12" s="39" t="s">
        <v>148</v>
      </c>
      <c r="J12" s="31" t="s">
        <v>149</v>
      </c>
      <c r="K12" s="43"/>
      <c r="L12" s="44" t="s">
        <v>150</v>
      </c>
      <c r="M12" s="31" t="s">
        <v>151</v>
      </c>
      <c r="N12" s="31" t="s">
        <v>149</v>
      </c>
      <c r="O12" s="38" t="s">
        <v>213</v>
      </c>
      <c r="P12" s="31"/>
      <c r="Q12" s="31"/>
      <c r="R12" s="44"/>
      <c r="S12" s="45" t="s">
        <v>152</v>
      </c>
      <c r="T12" s="31"/>
      <c r="U12" s="37"/>
      <c r="V12" s="34"/>
    </row>
    <row r="13" spans="1:25" ht="15" thickBot="1" x14ac:dyDescent="0.3">
      <c r="E13" s="46" t="s">
        <v>153</v>
      </c>
      <c r="F13" s="47" t="s">
        <v>154</v>
      </c>
      <c r="G13" s="46"/>
      <c r="H13" s="48" t="s">
        <v>155</v>
      </c>
      <c r="I13" s="49" t="s">
        <v>156</v>
      </c>
      <c r="J13" s="47" t="s">
        <v>157</v>
      </c>
      <c r="K13" s="50"/>
      <c r="L13" s="48" t="s">
        <v>155</v>
      </c>
      <c r="M13" s="47" t="s">
        <v>158</v>
      </c>
      <c r="N13" s="47" t="s">
        <v>157</v>
      </c>
      <c r="O13" s="48" t="s">
        <v>155</v>
      </c>
      <c r="P13" s="51" t="s">
        <v>159</v>
      </c>
      <c r="Q13" s="51" t="s">
        <v>160</v>
      </c>
      <c r="R13" s="52" t="s">
        <v>161</v>
      </c>
      <c r="S13" s="53" t="s">
        <v>162</v>
      </c>
      <c r="T13" s="51" t="s">
        <v>163</v>
      </c>
      <c r="U13" s="52" t="s">
        <v>164</v>
      </c>
      <c r="V13" s="54" t="s">
        <v>165</v>
      </c>
    </row>
    <row r="14" spans="1:25" ht="15" thickTop="1" x14ac:dyDescent="0.25">
      <c r="B14" s="29" t="s">
        <v>139</v>
      </c>
      <c r="C14" s="35" t="s">
        <v>327</v>
      </c>
      <c r="E14" s="73">
        <v>1</v>
      </c>
      <c r="F14" s="74" t="s">
        <v>17</v>
      </c>
      <c r="G14" s="73">
        <v>1</v>
      </c>
      <c r="H14" s="75" t="s">
        <v>329</v>
      </c>
      <c r="I14" s="74" t="s">
        <v>339</v>
      </c>
      <c r="J14" s="76"/>
      <c r="K14" s="77"/>
      <c r="L14" s="73"/>
      <c r="M14" s="74"/>
      <c r="N14" s="74"/>
      <c r="O14" s="78"/>
      <c r="P14" s="79"/>
      <c r="Q14" s="75"/>
      <c r="R14" s="73"/>
      <c r="S14" s="80"/>
      <c r="T14" s="79"/>
      <c r="U14" s="73"/>
      <c r="V14" s="74"/>
    </row>
    <row r="15" spans="1:25" x14ac:dyDescent="0.25">
      <c r="B15" s="29" t="s">
        <v>3</v>
      </c>
      <c r="C15" s="35" t="s">
        <v>27</v>
      </c>
      <c r="E15" s="73"/>
      <c r="F15" s="74"/>
      <c r="G15" s="73"/>
      <c r="H15" s="75"/>
      <c r="I15" s="74"/>
      <c r="J15" s="76"/>
      <c r="K15" s="77">
        <v>2</v>
      </c>
      <c r="L15" s="73" t="s">
        <v>170</v>
      </c>
      <c r="M15" s="74" t="s">
        <v>361</v>
      </c>
      <c r="N15" s="74" t="s">
        <v>330</v>
      </c>
      <c r="O15" s="78" t="s">
        <v>174</v>
      </c>
      <c r="P15" s="79"/>
      <c r="Q15" s="75"/>
      <c r="R15" s="73"/>
      <c r="S15" s="80"/>
      <c r="T15" s="79"/>
      <c r="U15" s="73"/>
      <c r="V15" s="74"/>
    </row>
    <row r="16" spans="1:25" ht="28.5" x14ac:dyDescent="0.25">
      <c r="B16" s="29" t="s">
        <v>140</v>
      </c>
      <c r="C16" s="35" t="s">
        <v>195</v>
      </c>
      <c r="E16" s="73">
        <v>2</v>
      </c>
      <c r="F16" s="74" t="s">
        <v>84</v>
      </c>
      <c r="G16" s="73">
        <v>1</v>
      </c>
      <c r="H16" s="75" t="s">
        <v>173</v>
      </c>
      <c r="I16" s="74" t="s">
        <v>337</v>
      </c>
      <c r="J16" s="112" t="s">
        <v>338</v>
      </c>
      <c r="K16" s="77"/>
      <c r="L16" s="73"/>
      <c r="M16" s="74"/>
      <c r="N16" s="74"/>
      <c r="O16" s="78"/>
      <c r="P16" s="79"/>
      <c r="Q16" s="75"/>
      <c r="R16" s="73"/>
      <c r="S16" s="80"/>
      <c r="T16" s="79"/>
      <c r="U16" s="73"/>
      <c r="V16" s="74"/>
    </row>
    <row r="17" spans="2:22" x14ac:dyDescent="0.25">
      <c r="E17" s="73"/>
      <c r="F17" s="74"/>
      <c r="G17" s="73">
        <v>2</v>
      </c>
      <c r="H17" s="75" t="s">
        <v>329</v>
      </c>
      <c r="I17" s="74" t="s">
        <v>362</v>
      </c>
      <c r="J17" s="76"/>
      <c r="K17" s="77"/>
      <c r="L17" s="73"/>
      <c r="M17" s="74"/>
      <c r="N17" s="113"/>
      <c r="O17" s="78"/>
      <c r="P17" s="79"/>
      <c r="Q17" s="75"/>
      <c r="R17" s="73"/>
      <c r="S17" s="80"/>
      <c r="T17" s="79"/>
      <c r="U17" s="73"/>
      <c r="V17" s="74"/>
    </row>
    <row r="18" spans="2:22" x14ac:dyDescent="0.25">
      <c r="B18" s="26" t="s">
        <v>197</v>
      </c>
      <c r="C18" s="65"/>
      <c r="E18" s="73"/>
      <c r="F18" s="74"/>
      <c r="G18" s="73">
        <v>3</v>
      </c>
      <c r="H18" s="75" t="s">
        <v>364</v>
      </c>
      <c r="I18" s="74" t="s">
        <v>363</v>
      </c>
      <c r="J18" s="76"/>
      <c r="K18" s="77"/>
      <c r="L18" s="73"/>
      <c r="M18" s="74"/>
      <c r="N18" s="74"/>
      <c r="O18" s="78"/>
      <c r="P18" s="79"/>
      <c r="Q18" s="75"/>
      <c r="R18" s="73"/>
      <c r="S18" s="80"/>
      <c r="T18" s="79"/>
      <c r="U18" s="73"/>
      <c r="V18" s="74"/>
    </row>
    <row r="19" spans="2:22" ht="28.5" x14ac:dyDescent="0.25">
      <c r="B19" s="26" t="s">
        <v>198</v>
      </c>
      <c r="C19" s="65"/>
      <c r="E19" s="73"/>
      <c r="F19" s="74"/>
      <c r="G19" s="73"/>
      <c r="H19" s="75"/>
      <c r="I19" s="74"/>
      <c r="J19" s="112"/>
      <c r="K19" s="77">
        <v>4</v>
      </c>
      <c r="L19" s="73" t="s">
        <v>170</v>
      </c>
      <c r="M19" s="74" t="s">
        <v>341</v>
      </c>
      <c r="N19" s="113" t="s">
        <v>342</v>
      </c>
      <c r="O19" s="78" t="s">
        <v>174</v>
      </c>
      <c r="P19" s="79"/>
      <c r="Q19" s="75"/>
      <c r="R19" s="73"/>
      <c r="S19" s="80"/>
      <c r="T19" s="79"/>
      <c r="U19" s="73"/>
      <c r="V19" s="74"/>
    </row>
    <row r="20" spans="2:22" x14ac:dyDescent="0.25">
      <c r="B20" s="26" t="s">
        <v>199</v>
      </c>
      <c r="C20" s="65"/>
      <c r="E20" s="73">
        <v>3</v>
      </c>
      <c r="F20" s="74" t="s">
        <v>48</v>
      </c>
      <c r="G20" s="73">
        <v>1</v>
      </c>
      <c r="H20" s="75" t="s">
        <v>329</v>
      </c>
      <c r="I20" s="74" t="s">
        <v>397</v>
      </c>
      <c r="J20" s="76"/>
      <c r="K20" s="77"/>
      <c r="L20" s="73"/>
      <c r="M20" s="74"/>
      <c r="N20" s="74"/>
      <c r="O20" s="78"/>
      <c r="P20" s="79"/>
      <c r="Q20" s="75"/>
      <c r="R20" s="73"/>
      <c r="S20" s="80"/>
      <c r="T20" s="79"/>
      <c r="U20" s="73"/>
      <c r="V20" s="74"/>
    </row>
    <row r="21" spans="2:22" ht="28.5" x14ac:dyDescent="0.25">
      <c r="E21" s="73"/>
      <c r="F21" s="74"/>
      <c r="G21" s="73"/>
      <c r="H21" s="75"/>
      <c r="I21" s="74"/>
      <c r="J21" s="112" t="s">
        <v>399</v>
      </c>
      <c r="K21" s="77">
        <v>2</v>
      </c>
      <c r="L21" s="73" t="s">
        <v>166</v>
      </c>
      <c r="M21" s="74" t="s">
        <v>341</v>
      </c>
      <c r="N21" s="113" t="s">
        <v>343</v>
      </c>
      <c r="O21" s="78" t="s">
        <v>174</v>
      </c>
      <c r="P21" s="79"/>
      <c r="Q21" s="75"/>
      <c r="R21" s="73"/>
      <c r="S21" s="80"/>
      <c r="T21" s="79"/>
      <c r="U21" s="73"/>
      <c r="V21" s="74"/>
    </row>
    <row r="22" spans="2:22" x14ac:dyDescent="0.25">
      <c r="B22" s="63" t="s">
        <v>207</v>
      </c>
      <c r="C22" s="64">
        <f>COUNTA(E14:E43)</f>
        <v>4</v>
      </c>
      <c r="E22" s="73"/>
      <c r="F22" s="74"/>
      <c r="G22" s="73">
        <v>3</v>
      </c>
      <c r="H22" s="75" t="s">
        <v>329</v>
      </c>
      <c r="I22" s="74" t="s">
        <v>382</v>
      </c>
      <c r="J22" s="76"/>
      <c r="K22" s="77"/>
      <c r="L22" s="73"/>
      <c r="M22" s="74"/>
      <c r="N22" s="113"/>
      <c r="O22" s="78"/>
      <c r="P22" s="79"/>
      <c r="Q22" s="75"/>
      <c r="R22" s="73"/>
      <c r="S22" s="80"/>
      <c r="T22" s="79"/>
      <c r="U22" s="73"/>
      <c r="V22" s="74"/>
    </row>
    <row r="23" spans="2:22" x14ac:dyDescent="0.25">
      <c r="B23" s="63" t="s">
        <v>206</v>
      </c>
      <c r="C23" s="64">
        <f>COUNTA(G14:G43)</f>
        <v>9</v>
      </c>
      <c r="E23" s="73"/>
      <c r="F23" s="74"/>
      <c r="G23" s="73"/>
      <c r="H23" s="75"/>
      <c r="I23" s="74"/>
      <c r="J23" s="76"/>
      <c r="K23" s="77">
        <v>4</v>
      </c>
      <c r="L23" s="73" t="s">
        <v>170</v>
      </c>
      <c r="M23" s="74" t="s">
        <v>383</v>
      </c>
      <c r="N23" s="74" t="s">
        <v>330</v>
      </c>
      <c r="O23" s="78" t="s">
        <v>174</v>
      </c>
      <c r="P23" s="79"/>
      <c r="Q23" s="75"/>
      <c r="R23" s="73"/>
      <c r="S23" s="80"/>
      <c r="T23" s="79"/>
      <c r="U23" s="73"/>
      <c r="V23" s="74"/>
    </row>
    <row r="24" spans="2:22" x14ac:dyDescent="0.25">
      <c r="B24" s="28"/>
      <c r="C24" s="28"/>
      <c r="E24" s="73">
        <v>4</v>
      </c>
      <c r="F24" s="74" t="s">
        <v>77</v>
      </c>
      <c r="G24" s="73">
        <v>1</v>
      </c>
      <c r="H24" s="75" t="s">
        <v>329</v>
      </c>
      <c r="I24" s="74" t="s">
        <v>384</v>
      </c>
      <c r="J24" s="76"/>
      <c r="K24" s="77"/>
      <c r="L24" s="73"/>
      <c r="M24" s="74"/>
      <c r="N24" s="113"/>
      <c r="O24" s="78"/>
      <c r="P24" s="79"/>
      <c r="Q24" s="75"/>
      <c r="R24" s="73"/>
      <c r="S24" s="80"/>
      <c r="T24" s="79"/>
      <c r="U24" s="73"/>
      <c r="V24" s="74"/>
    </row>
    <row r="25" spans="2:22" x14ac:dyDescent="0.25">
      <c r="B25" s="63" t="s">
        <v>200</v>
      </c>
      <c r="C25" s="64">
        <f>COUNTA(K14:K43)</f>
        <v>9</v>
      </c>
      <c r="E25" s="73"/>
      <c r="F25" s="74"/>
      <c r="G25" s="73">
        <v>2</v>
      </c>
      <c r="H25" s="75" t="s">
        <v>329</v>
      </c>
      <c r="I25" s="74" t="s">
        <v>385</v>
      </c>
      <c r="J25" s="76"/>
      <c r="K25" s="77"/>
      <c r="L25" s="73"/>
      <c r="M25" s="74"/>
      <c r="N25" s="113"/>
      <c r="O25" s="78"/>
      <c r="P25" s="79"/>
      <c r="Q25" s="75"/>
      <c r="R25" s="73"/>
      <c r="S25" s="80"/>
      <c r="T25" s="79"/>
      <c r="U25" s="73"/>
      <c r="V25" s="74"/>
    </row>
    <row r="26" spans="2:22" x14ac:dyDescent="0.25">
      <c r="E26" s="73"/>
      <c r="F26" s="74"/>
      <c r="G26" s="73">
        <v>3</v>
      </c>
      <c r="H26" s="75" t="s">
        <v>329</v>
      </c>
      <c r="I26" s="74" t="s">
        <v>386</v>
      </c>
      <c r="J26" s="112"/>
      <c r="K26" s="77"/>
      <c r="L26" s="73"/>
      <c r="M26" s="74"/>
      <c r="N26" s="113"/>
      <c r="O26" s="78"/>
      <c r="P26" s="79"/>
      <c r="Q26" s="75"/>
      <c r="R26" s="73"/>
      <c r="S26" s="80"/>
      <c r="T26" s="79"/>
      <c r="U26" s="73"/>
      <c r="V26" s="74"/>
    </row>
    <row r="27" spans="2:22" ht="28.5" x14ac:dyDescent="0.25">
      <c r="B27" s="62" t="s">
        <v>201</v>
      </c>
      <c r="C27" s="64">
        <f>SUM(C28:C30)</f>
        <v>0</v>
      </c>
      <c r="E27" s="73"/>
      <c r="F27" s="74"/>
      <c r="G27" s="73"/>
      <c r="H27" s="75"/>
      <c r="I27" s="74"/>
      <c r="J27" s="76"/>
      <c r="K27" s="77">
        <v>4</v>
      </c>
      <c r="L27" s="73" t="s">
        <v>170</v>
      </c>
      <c r="M27" s="74" t="s">
        <v>341</v>
      </c>
      <c r="N27" s="113" t="s">
        <v>398</v>
      </c>
      <c r="O27" s="78" t="s">
        <v>174</v>
      </c>
      <c r="P27" s="79"/>
      <c r="Q27" s="75"/>
      <c r="R27" s="73"/>
      <c r="S27" s="80"/>
      <c r="T27" s="79"/>
      <c r="U27" s="73"/>
      <c r="V27" s="74"/>
    </row>
    <row r="28" spans="2:22" x14ac:dyDescent="0.25">
      <c r="B28" s="66" t="s">
        <v>204</v>
      </c>
      <c r="C28" s="67">
        <f>COUNTIFS(R14:R43,Master!AV7)</f>
        <v>0</v>
      </c>
      <c r="E28" s="73"/>
      <c r="F28" s="74"/>
      <c r="G28" s="73"/>
      <c r="H28" s="75"/>
      <c r="I28" s="74"/>
      <c r="J28" s="76"/>
      <c r="K28" s="77">
        <v>5</v>
      </c>
      <c r="L28" s="73" t="s">
        <v>179</v>
      </c>
      <c r="M28" s="74" t="s">
        <v>353</v>
      </c>
      <c r="N28" s="113" t="s">
        <v>357</v>
      </c>
      <c r="O28" s="78" t="s">
        <v>344</v>
      </c>
      <c r="P28" s="79"/>
      <c r="Q28" s="75"/>
      <c r="R28" s="73"/>
      <c r="S28" s="80"/>
      <c r="T28" s="79"/>
      <c r="U28" s="73"/>
      <c r="V28" s="74"/>
    </row>
    <row r="29" spans="2:22" x14ac:dyDescent="0.25">
      <c r="B29" s="68" t="s">
        <v>203</v>
      </c>
      <c r="C29" s="69">
        <f>COUNTIFS(R14:R43,Master!AV8)</f>
        <v>0</v>
      </c>
      <c r="E29" s="73"/>
      <c r="F29" s="74"/>
      <c r="G29" s="73"/>
      <c r="H29" s="75"/>
      <c r="I29" s="74"/>
      <c r="J29" s="76"/>
      <c r="K29" s="77">
        <v>6</v>
      </c>
      <c r="L29" s="73" t="s">
        <v>179</v>
      </c>
      <c r="M29" s="74" t="s">
        <v>354</v>
      </c>
      <c r="N29" s="113" t="s">
        <v>357</v>
      </c>
      <c r="O29" s="78" t="s">
        <v>345</v>
      </c>
      <c r="P29" s="79"/>
      <c r="Q29" s="75"/>
      <c r="R29" s="73"/>
      <c r="S29" s="80"/>
      <c r="T29" s="79"/>
      <c r="U29" s="73"/>
      <c r="V29" s="74"/>
    </row>
    <row r="30" spans="2:22" x14ac:dyDescent="0.25">
      <c r="B30" s="70" t="s">
        <v>202</v>
      </c>
      <c r="C30" s="71">
        <f>COUNTIFS(R14:R43,Master!AV9)</f>
        <v>0</v>
      </c>
      <c r="E30" s="73"/>
      <c r="F30" s="74"/>
      <c r="G30" s="73"/>
      <c r="H30" s="75"/>
      <c r="I30" s="74"/>
      <c r="J30" s="112"/>
      <c r="K30" s="77">
        <v>7</v>
      </c>
      <c r="L30" s="73" t="s">
        <v>179</v>
      </c>
      <c r="M30" s="74" t="s">
        <v>355</v>
      </c>
      <c r="N30" s="113" t="s">
        <v>387</v>
      </c>
      <c r="O30" s="78" t="s">
        <v>346</v>
      </c>
      <c r="P30" s="79"/>
      <c r="Q30" s="75"/>
      <c r="R30" s="73"/>
      <c r="S30" s="80"/>
      <c r="T30" s="79"/>
      <c r="U30" s="73"/>
      <c r="V30" s="74"/>
    </row>
    <row r="31" spans="2:22" x14ac:dyDescent="0.25">
      <c r="B31" s="28"/>
      <c r="C31" s="28"/>
      <c r="E31" s="73"/>
      <c r="F31" s="74"/>
      <c r="G31" s="73"/>
      <c r="H31" s="75"/>
      <c r="I31" s="74"/>
      <c r="J31" s="76"/>
      <c r="K31" s="77">
        <v>8</v>
      </c>
      <c r="L31" s="73" t="s">
        <v>179</v>
      </c>
      <c r="M31" s="74" t="s">
        <v>356</v>
      </c>
      <c r="N31" s="113" t="s">
        <v>387</v>
      </c>
      <c r="O31" s="78" t="s">
        <v>346</v>
      </c>
      <c r="P31" s="79"/>
      <c r="Q31" s="75"/>
      <c r="R31" s="73"/>
      <c r="S31" s="80"/>
      <c r="T31" s="79"/>
      <c r="U31" s="73"/>
      <c r="V31" s="74"/>
    </row>
    <row r="32" spans="2:22" x14ac:dyDescent="0.25">
      <c r="B32" s="28"/>
      <c r="C32" s="28"/>
      <c r="E32" s="73"/>
      <c r="F32" s="74"/>
      <c r="G32" s="73"/>
      <c r="H32" s="75"/>
      <c r="I32" s="74"/>
      <c r="J32" s="76"/>
      <c r="K32" s="77"/>
      <c r="L32" s="73"/>
      <c r="M32" s="74"/>
      <c r="N32" s="113"/>
      <c r="O32" s="78"/>
      <c r="P32" s="79"/>
      <c r="Q32" s="75"/>
      <c r="R32" s="73"/>
      <c r="S32" s="80"/>
      <c r="T32" s="79"/>
      <c r="U32" s="73"/>
      <c r="V32" s="74"/>
    </row>
    <row r="33" spans="2:22" x14ac:dyDescent="0.25">
      <c r="B33" s="133" t="s">
        <v>260</v>
      </c>
      <c r="C33" s="134"/>
      <c r="E33" s="73"/>
      <c r="F33" s="74"/>
      <c r="G33" s="73"/>
      <c r="H33" s="75"/>
      <c r="I33" s="74"/>
      <c r="J33" s="76"/>
      <c r="K33" s="77"/>
      <c r="L33" s="73"/>
      <c r="M33" s="74"/>
      <c r="N33" s="113"/>
      <c r="O33" s="78"/>
      <c r="P33" s="79"/>
      <c r="Q33" s="75"/>
      <c r="R33" s="73"/>
      <c r="S33" s="80"/>
      <c r="T33" s="79"/>
      <c r="U33" s="73"/>
      <c r="V33" s="74"/>
    </row>
    <row r="34" spans="2:22" x14ac:dyDescent="0.25">
      <c r="B34" s="131" t="s">
        <v>390</v>
      </c>
      <c r="C34" s="132"/>
      <c r="E34" s="73"/>
      <c r="F34" s="74"/>
      <c r="G34" s="73"/>
      <c r="H34" s="75"/>
      <c r="I34" s="74"/>
      <c r="J34" s="112"/>
      <c r="K34" s="77"/>
      <c r="L34" s="73"/>
      <c r="M34" s="74"/>
      <c r="N34" s="113"/>
      <c r="O34" s="78"/>
      <c r="P34" s="79"/>
      <c r="Q34" s="75"/>
      <c r="R34" s="73"/>
      <c r="S34" s="80"/>
      <c r="T34" s="79"/>
      <c r="U34" s="73"/>
      <c r="V34" s="74"/>
    </row>
    <row r="35" spans="2:22" x14ac:dyDescent="0.25">
      <c r="B35" s="133" t="s">
        <v>261</v>
      </c>
      <c r="C35" s="134"/>
      <c r="E35" s="73"/>
      <c r="F35" s="74"/>
      <c r="G35" s="73"/>
      <c r="H35" s="75"/>
      <c r="I35" s="74"/>
      <c r="J35" s="76"/>
      <c r="K35" s="77"/>
      <c r="L35" s="73"/>
      <c r="M35" s="74"/>
      <c r="N35" s="113"/>
      <c r="O35" s="78"/>
      <c r="P35" s="79"/>
      <c r="Q35" s="75"/>
      <c r="R35" s="73"/>
      <c r="S35" s="80"/>
      <c r="T35" s="79"/>
      <c r="U35" s="73"/>
      <c r="V35" s="74"/>
    </row>
    <row r="36" spans="2:22" x14ac:dyDescent="0.25">
      <c r="B36" s="131" t="s">
        <v>391</v>
      </c>
      <c r="C36" s="132"/>
      <c r="E36" s="73"/>
      <c r="F36" s="74"/>
      <c r="G36" s="73"/>
      <c r="H36" s="75"/>
      <c r="I36" s="74"/>
      <c r="J36" s="76"/>
      <c r="K36" s="77"/>
      <c r="L36" s="73"/>
      <c r="M36" s="74"/>
      <c r="N36" s="113"/>
      <c r="O36" s="78"/>
      <c r="P36" s="79"/>
      <c r="Q36" s="75"/>
      <c r="R36" s="73"/>
      <c r="S36" s="80"/>
      <c r="T36" s="79"/>
      <c r="U36" s="73"/>
      <c r="V36" s="74"/>
    </row>
    <row r="37" spans="2:22" x14ac:dyDescent="0.25">
      <c r="B37" s="28"/>
      <c r="C37" s="28"/>
      <c r="E37" s="73"/>
      <c r="F37" s="74"/>
      <c r="G37" s="73"/>
      <c r="H37" s="75"/>
      <c r="I37" s="74"/>
      <c r="J37" s="112"/>
      <c r="K37" s="77"/>
      <c r="L37" s="73"/>
      <c r="M37" s="74"/>
      <c r="N37" s="74"/>
      <c r="O37" s="78"/>
      <c r="P37" s="79"/>
      <c r="Q37" s="75"/>
      <c r="R37" s="73"/>
      <c r="S37" s="80"/>
      <c r="T37" s="79"/>
      <c r="U37" s="73"/>
      <c r="V37" s="74"/>
    </row>
    <row r="38" spans="2:22" x14ac:dyDescent="0.25">
      <c r="B38" s="28"/>
      <c r="C38" s="28"/>
      <c r="E38" s="73"/>
      <c r="F38" s="74"/>
      <c r="G38" s="73"/>
      <c r="H38" s="75"/>
      <c r="I38" s="74"/>
      <c r="J38" s="76"/>
      <c r="K38" s="77"/>
      <c r="L38" s="73"/>
      <c r="M38" s="74"/>
      <c r="N38" s="74"/>
      <c r="O38" s="78"/>
      <c r="P38" s="79"/>
      <c r="Q38" s="75"/>
      <c r="R38" s="73"/>
      <c r="S38" s="80"/>
      <c r="T38" s="79"/>
      <c r="U38" s="73"/>
      <c r="V38" s="74"/>
    </row>
    <row r="39" spans="2:22" x14ac:dyDescent="0.25">
      <c r="B39" s="28"/>
      <c r="C39" s="28"/>
      <c r="E39" s="73"/>
      <c r="F39" s="74"/>
      <c r="G39" s="73"/>
      <c r="H39" s="75"/>
      <c r="I39" s="74"/>
      <c r="J39" s="76"/>
      <c r="K39" s="77"/>
      <c r="L39" s="73"/>
      <c r="M39" s="74"/>
      <c r="N39" s="113"/>
      <c r="O39" s="78"/>
      <c r="P39" s="79"/>
      <c r="Q39" s="75"/>
      <c r="R39" s="73"/>
      <c r="S39" s="80"/>
      <c r="T39" s="79"/>
      <c r="U39" s="73"/>
      <c r="V39" s="74"/>
    </row>
    <row r="40" spans="2:22" x14ac:dyDescent="0.25">
      <c r="B40" s="28"/>
      <c r="C40" s="28"/>
      <c r="E40" s="73"/>
      <c r="F40" s="74"/>
      <c r="G40" s="73"/>
      <c r="H40" s="75"/>
      <c r="I40" s="74"/>
      <c r="J40" s="76"/>
      <c r="K40" s="77"/>
      <c r="L40" s="73"/>
      <c r="M40" s="74"/>
      <c r="N40" s="74"/>
      <c r="O40" s="78"/>
      <c r="P40" s="79"/>
      <c r="Q40" s="75"/>
      <c r="R40" s="73"/>
      <c r="S40" s="80"/>
      <c r="T40" s="79"/>
      <c r="U40" s="73"/>
      <c r="V40" s="74"/>
    </row>
    <row r="41" spans="2:22" x14ac:dyDescent="0.25">
      <c r="B41" s="28"/>
      <c r="C41" s="28"/>
      <c r="E41" s="73"/>
      <c r="F41" s="74"/>
      <c r="G41" s="73"/>
      <c r="H41" s="75"/>
      <c r="I41" s="74"/>
      <c r="J41" s="76"/>
      <c r="K41" s="77"/>
      <c r="L41" s="73"/>
      <c r="M41" s="74"/>
      <c r="N41" s="113"/>
      <c r="O41" s="78"/>
      <c r="P41" s="79"/>
      <c r="Q41" s="75"/>
      <c r="R41" s="73"/>
      <c r="S41" s="80"/>
      <c r="T41" s="79"/>
      <c r="U41" s="73"/>
      <c r="V41" s="74"/>
    </row>
    <row r="42" spans="2:22" x14ac:dyDescent="0.25">
      <c r="B42" s="28"/>
      <c r="C42" s="28"/>
      <c r="E42" s="73"/>
      <c r="F42" s="74"/>
      <c r="G42" s="73"/>
      <c r="H42" s="75"/>
      <c r="I42" s="74"/>
      <c r="J42" s="76"/>
      <c r="K42" s="77"/>
      <c r="L42" s="73"/>
      <c r="M42" s="74"/>
      <c r="N42" s="74"/>
      <c r="O42" s="78"/>
      <c r="P42" s="79"/>
      <c r="Q42" s="75"/>
      <c r="R42" s="73"/>
      <c r="S42" s="80"/>
      <c r="T42" s="79"/>
      <c r="U42" s="73"/>
      <c r="V42" s="74"/>
    </row>
    <row r="43" spans="2:22" x14ac:dyDescent="0.25">
      <c r="E43" s="81"/>
      <c r="F43" s="82"/>
      <c r="G43" s="81"/>
      <c r="H43" s="83"/>
      <c r="I43" s="82"/>
      <c r="J43" s="84"/>
      <c r="K43" s="83"/>
      <c r="L43" s="81"/>
      <c r="M43" s="82"/>
      <c r="N43" s="82"/>
      <c r="O43" s="85"/>
      <c r="P43" s="86"/>
      <c r="Q43" s="83"/>
      <c r="R43" s="81"/>
      <c r="S43" s="87"/>
      <c r="T43" s="86"/>
      <c r="U43" s="81"/>
      <c r="V43" s="82"/>
    </row>
  </sheetData>
  <mergeCells count="10">
    <mergeCell ref="B5:C5"/>
    <mergeCell ref="B8:C8"/>
    <mergeCell ref="E6:J9"/>
    <mergeCell ref="B33:C33"/>
    <mergeCell ref="B9:C9"/>
    <mergeCell ref="B34:C34"/>
    <mergeCell ref="B35:C35"/>
    <mergeCell ref="B36:C36"/>
    <mergeCell ref="K6:P9"/>
    <mergeCell ref="B6:C6"/>
  </mergeCells>
  <phoneticPr fontId="10"/>
  <pageMargins left="0.25" right="0.25" top="0.75" bottom="0.75" header="0.3" footer="0.3"/>
  <pageSetup paperSize="8" scale="79" fitToHeight="0" orientation="landscape" horizontalDpi="4294967294" verticalDpi="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4000000}">
          <x14:formula1>
            <xm:f>Master!$C$7:$C$10</xm:f>
          </x14:formula1>
          <xm:sqref>B6</xm:sqref>
        </x14:dataValidation>
        <x14:dataValidation type="list" allowBlank="1" showInputMessage="1" showErrorMessage="1" xr:uid="{00000000-0002-0000-0000-000005000000}">
          <x14:formula1>
            <xm:f>Master!$AY$7:$AY$11</xm:f>
          </x14:formula1>
          <xm:sqref>C14</xm:sqref>
        </x14:dataValidation>
        <x14:dataValidation type="list" allowBlank="1" showInputMessage="1" showErrorMessage="1" xr:uid="{00000000-0002-0000-0000-000006000000}">
          <x14:formula1>
            <xm:f>Master!$L$7:$L$38</xm:f>
          </x14:formula1>
          <xm:sqref>C15</xm:sqref>
        </x14:dataValidation>
        <x14:dataValidation type="list" allowBlank="1" showInputMessage="1" showErrorMessage="1" xr:uid="{00000000-0002-0000-0000-000007000000}">
          <x14:formula1>
            <xm:f>Master!$BB$7:$BB$11</xm:f>
          </x14:formula1>
          <xm:sqref>C16</xm:sqref>
        </x14:dataValidation>
        <x14:dataValidation type="list" allowBlank="1" showInputMessage="1" showErrorMessage="1" xr:uid="{00000000-0002-0000-0000-000001000000}">
          <x14:formula1>
            <xm:f>Master!$AS$7:$AS$18</xm:f>
          </x14:formula1>
          <xm:sqref>O14:O43</xm:sqref>
        </x14:dataValidation>
        <x14:dataValidation type="list" allowBlank="1" showInputMessage="1" showErrorMessage="1" xr:uid="{00000000-0002-0000-0000-000000000000}">
          <x14:formula1>
            <xm:f>Master!$AV$7:$AV$10</xm:f>
          </x14:formula1>
          <xm:sqref>R14:R43</xm:sqref>
        </x14:dataValidation>
        <x14:dataValidation type="list" allowBlank="1" showInputMessage="1" showErrorMessage="1" xr:uid="{00000000-0002-0000-0000-000002000000}">
          <x14:formula1>
            <xm:f>Master!$AP$7:$AP$11</xm:f>
          </x14:formula1>
          <xm:sqref>L14:L43</xm:sqref>
        </x14:dataValidation>
        <x14:dataValidation type="list" allowBlank="1" showInputMessage="1" showErrorMessage="1" xr:uid="{00000000-0002-0000-0000-000003000000}">
          <x14:formula1>
            <xm:f>Master!$AM$7:$AM$12</xm:f>
          </x14:formula1>
          <xm:sqref>H14:H43</xm:sqref>
        </x14:dataValidation>
        <x14:dataValidation type="list" allowBlank="1" showInputMessage="1" showErrorMessage="1" xr:uid="{00000000-0002-0000-0000-000008000000}">
          <x14:formula1>
            <xm:f>Master!$O$7:$O$130</xm:f>
          </x14:formula1>
          <xm:sqref>F14:F43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F15C-4C14-4417-91FB-836317874BE3}">
  <dimension ref="B2:AG8"/>
  <sheetViews>
    <sheetView zoomScaleNormal="100" workbookViewId="0"/>
  </sheetViews>
  <sheetFormatPr defaultColWidth="2.625" defaultRowHeight="14.25" x14ac:dyDescent="0.25"/>
  <cols>
    <col min="1" max="1" width="2.625" style="16"/>
    <col min="2" max="2" width="2.875" style="16" bestFit="1" customWidth="1"/>
    <col min="3" max="9" width="2.625" style="16"/>
    <col min="10" max="10" width="2.625" style="16" customWidth="1"/>
    <col min="11" max="26" width="2.625" style="16"/>
    <col min="27" max="28" width="2.625" style="16" customWidth="1"/>
    <col min="29" max="42" width="2.625" style="16"/>
    <col min="43" max="43" width="2.625" style="16" customWidth="1"/>
    <col min="44" max="16384" width="2.625" style="16"/>
  </cols>
  <sheetData>
    <row r="2" spans="2:33" x14ac:dyDescent="0.25">
      <c r="B2" s="16" t="s">
        <v>332</v>
      </c>
    </row>
    <row r="3" spans="2:33" x14ac:dyDescent="0.25">
      <c r="C3" s="115" t="s">
        <v>389</v>
      </c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</row>
    <row r="5" spans="2:33" x14ac:dyDescent="0.25">
      <c r="B5" s="16" t="s">
        <v>331</v>
      </c>
    </row>
    <row r="6" spans="2:33" ht="15" thickBot="1" x14ac:dyDescent="0.3"/>
    <row r="7" spans="2:33" ht="16.5" customHeight="1" x14ac:dyDescent="0.25">
      <c r="B7" s="91">
        <v>1</v>
      </c>
      <c r="C7" s="92" t="s">
        <v>333</v>
      </c>
      <c r="D7" s="93"/>
      <c r="E7" s="93"/>
      <c r="F7" s="93"/>
      <c r="G7" s="93"/>
      <c r="H7" s="93"/>
      <c r="I7" s="94"/>
      <c r="J7" s="95" t="s">
        <v>392</v>
      </c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7"/>
      <c r="AG7" s="16" t="s">
        <v>334</v>
      </c>
    </row>
    <row r="8" spans="2:33" ht="16.5" customHeight="1" thickBot="1" x14ac:dyDescent="0.3">
      <c r="B8" s="105"/>
      <c r="C8" s="108" t="s">
        <v>335</v>
      </c>
      <c r="D8" s="109"/>
      <c r="E8" s="109"/>
      <c r="F8" s="109"/>
      <c r="G8" s="109"/>
      <c r="H8" s="109"/>
      <c r="I8" s="110"/>
      <c r="J8" s="116" t="s">
        <v>393</v>
      </c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7"/>
      <c r="AG8" s="16" t="s">
        <v>336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7DA5-C114-4F00-87B9-D50B9BEB339A}">
  <dimension ref="B2:AF23"/>
  <sheetViews>
    <sheetView zoomScaleNormal="100" workbookViewId="0"/>
  </sheetViews>
  <sheetFormatPr defaultColWidth="2.625" defaultRowHeight="14.25" x14ac:dyDescent="0.25"/>
  <cols>
    <col min="1" max="1" width="2.625" style="16"/>
    <col min="2" max="2" width="2.875" style="16" bestFit="1" customWidth="1"/>
    <col min="3" max="8" width="2.625" style="16"/>
    <col min="9" max="9" width="2.625" style="16" customWidth="1"/>
    <col min="10" max="25" width="2.625" style="16"/>
    <col min="26" max="27" width="2.625" style="16" customWidth="1"/>
    <col min="28" max="16384" width="2.625" style="16"/>
  </cols>
  <sheetData>
    <row r="2" spans="2:31" x14ac:dyDescent="0.25">
      <c r="B2" s="16" t="s">
        <v>347</v>
      </c>
    </row>
    <row r="3" spans="2:31" ht="15" thickBot="1" x14ac:dyDescent="0.3"/>
    <row r="4" spans="2:31" ht="16.5" customHeight="1" x14ac:dyDescent="0.25">
      <c r="B4" s="91">
        <v>1</v>
      </c>
      <c r="C4" s="92" t="s">
        <v>365</v>
      </c>
      <c r="D4" s="93"/>
      <c r="E4" s="93"/>
      <c r="F4" s="93"/>
      <c r="G4" s="93"/>
      <c r="H4" s="94"/>
      <c r="I4" s="95" t="s">
        <v>376</v>
      </c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7"/>
    </row>
    <row r="5" spans="2:31" ht="16.5" customHeight="1" x14ac:dyDescent="0.25">
      <c r="B5" s="98"/>
      <c r="C5" s="117" t="s">
        <v>366</v>
      </c>
      <c r="D5" s="118"/>
      <c r="E5" s="118"/>
      <c r="F5" s="118"/>
      <c r="G5" s="118"/>
      <c r="H5" s="119"/>
      <c r="I5" s="120" t="s">
        <v>367</v>
      </c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2"/>
    </row>
    <row r="6" spans="2:31" ht="16.5" customHeight="1" x14ac:dyDescent="0.25">
      <c r="B6" s="98"/>
      <c r="C6" s="117" t="s">
        <v>368</v>
      </c>
      <c r="D6" s="118"/>
      <c r="E6" s="118"/>
      <c r="F6" s="118"/>
      <c r="G6" s="118"/>
      <c r="H6" s="119"/>
      <c r="I6" s="120" t="s">
        <v>395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2"/>
    </row>
    <row r="7" spans="2:31" ht="16.5" customHeight="1" x14ac:dyDescent="0.25">
      <c r="B7" s="98"/>
      <c r="C7" s="117" t="s">
        <v>369</v>
      </c>
      <c r="D7" s="118"/>
      <c r="E7" s="118"/>
      <c r="F7" s="118"/>
      <c r="G7" s="118"/>
      <c r="H7" s="119"/>
      <c r="I7" s="120" t="s">
        <v>396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2"/>
    </row>
    <row r="8" spans="2:31" ht="16.5" customHeight="1" x14ac:dyDescent="0.25">
      <c r="B8" s="98"/>
      <c r="C8" s="117" t="s">
        <v>333</v>
      </c>
      <c r="D8" s="118"/>
      <c r="E8" s="118"/>
      <c r="F8" s="118"/>
      <c r="G8" s="118"/>
      <c r="H8" s="119"/>
      <c r="I8" s="120" t="s">
        <v>392</v>
      </c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2"/>
    </row>
    <row r="9" spans="2:31" ht="16.5" customHeight="1" x14ac:dyDescent="0.25">
      <c r="B9" s="98"/>
      <c r="C9" s="117" t="s">
        <v>335</v>
      </c>
      <c r="D9" s="118"/>
      <c r="E9" s="118"/>
      <c r="F9" s="118"/>
      <c r="G9" s="118"/>
      <c r="H9" s="119"/>
      <c r="I9" s="126" t="s">
        <v>393</v>
      </c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3"/>
    </row>
    <row r="10" spans="2:31" ht="16.5" customHeight="1" x14ac:dyDescent="0.25">
      <c r="B10" s="98"/>
      <c r="C10" s="117" t="s">
        <v>370</v>
      </c>
      <c r="D10" s="118"/>
      <c r="E10" s="118"/>
      <c r="F10" s="118"/>
      <c r="G10" s="118"/>
      <c r="H10" s="119"/>
      <c r="I10" s="123" t="s">
        <v>377</v>
      </c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2"/>
    </row>
    <row r="11" spans="2:31" ht="16.5" customHeight="1" x14ac:dyDescent="0.25">
      <c r="B11" s="98"/>
      <c r="C11" s="117" t="s">
        <v>371</v>
      </c>
      <c r="D11" s="118"/>
      <c r="E11" s="118"/>
      <c r="F11" s="118"/>
      <c r="G11" s="118"/>
      <c r="H11" s="119"/>
      <c r="I11" s="123" t="s">
        <v>378</v>
      </c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2"/>
    </row>
    <row r="12" spans="2:31" ht="16.5" customHeight="1" x14ac:dyDescent="0.25">
      <c r="B12" s="98"/>
      <c r="C12" s="99" t="s">
        <v>379</v>
      </c>
      <c r="D12" s="100"/>
      <c r="E12" s="100"/>
      <c r="F12" s="100"/>
      <c r="G12" s="100"/>
      <c r="H12" s="101"/>
      <c r="I12" s="104" t="s">
        <v>372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3"/>
    </row>
    <row r="13" spans="2:31" ht="16.5" customHeight="1" x14ac:dyDescent="0.25">
      <c r="B13" s="98"/>
      <c r="C13" s="99" t="s">
        <v>373</v>
      </c>
      <c r="D13" s="100"/>
      <c r="E13" s="100"/>
      <c r="F13" s="100"/>
      <c r="G13" s="100"/>
      <c r="H13" s="101"/>
      <c r="I13" s="104" t="s">
        <v>394</v>
      </c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3"/>
    </row>
    <row r="14" spans="2:31" ht="16.5" customHeight="1" x14ac:dyDescent="0.25">
      <c r="B14" s="98"/>
      <c r="C14" s="99" t="s">
        <v>374</v>
      </c>
      <c r="D14" s="100"/>
      <c r="E14" s="100"/>
      <c r="F14" s="100"/>
      <c r="G14" s="100"/>
      <c r="H14" s="101"/>
      <c r="I14" s="104" t="s">
        <v>375</v>
      </c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</row>
    <row r="15" spans="2:31" ht="16.5" customHeight="1" x14ac:dyDescent="0.25">
      <c r="B15" s="98"/>
      <c r="C15" s="99" t="s">
        <v>348</v>
      </c>
      <c r="D15" s="100"/>
      <c r="E15" s="100"/>
      <c r="F15" s="100"/>
      <c r="G15" s="100"/>
      <c r="H15" s="101"/>
      <c r="I15" s="104" t="s">
        <v>375</v>
      </c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3"/>
    </row>
    <row r="16" spans="2:31" ht="16.5" customHeight="1" x14ac:dyDescent="0.25">
      <c r="B16" s="98"/>
      <c r="C16" s="99" t="s">
        <v>349</v>
      </c>
      <c r="D16" s="100"/>
      <c r="E16" s="100"/>
      <c r="F16" s="100"/>
      <c r="G16" s="100"/>
      <c r="H16" s="101"/>
      <c r="I16" s="104" t="s">
        <v>388</v>
      </c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3"/>
    </row>
    <row r="17" spans="2:32" ht="16.5" customHeight="1" thickBot="1" x14ac:dyDescent="0.3">
      <c r="B17" s="98"/>
      <c r="C17" s="99" t="s">
        <v>351</v>
      </c>
      <c r="D17" s="100"/>
      <c r="E17" s="100"/>
      <c r="F17" s="100"/>
      <c r="G17" s="100"/>
      <c r="H17" s="101"/>
      <c r="I17" s="104" t="s">
        <v>381</v>
      </c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3"/>
    </row>
    <row r="18" spans="2:32" x14ac:dyDescent="0.25">
      <c r="B18" s="91">
        <v>2</v>
      </c>
      <c r="C18" s="127" t="s">
        <v>348</v>
      </c>
      <c r="D18" s="128"/>
      <c r="E18" s="128"/>
      <c r="F18" s="128"/>
      <c r="G18" s="128"/>
      <c r="H18" s="129"/>
      <c r="I18" s="130" t="s">
        <v>375</v>
      </c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5"/>
      <c r="AF18" s="114" t="s">
        <v>352</v>
      </c>
    </row>
    <row r="19" spans="2:32" x14ac:dyDescent="0.25">
      <c r="B19" s="98"/>
      <c r="C19" s="99" t="s">
        <v>349</v>
      </c>
      <c r="D19" s="100"/>
      <c r="E19" s="100"/>
      <c r="F19" s="100"/>
      <c r="G19" s="100"/>
      <c r="H19" s="101"/>
      <c r="I19" s="104" t="s">
        <v>388</v>
      </c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3"/>
      <c r="AF19" s="114" t="s">
        <v>352</v>
      </c>
    </row>
    <row r="20" spans="2:32" ht="15" thickBot="1" x14ac:dyDescent="0.3">
      <c r="B20" s="105"/>
      <c r="C20" s="108" t="s">
        <v>380</v>
      </c>
      <c r="D20" s="109"/>
      <c r="E20" s="109"/>
      <c r="F20" s="109"/>
      <c r="G20" s="109"/>
      <c r="H20" s="110"/>
      <c r="I20" s="111" t="s">
        <v>350</v>
      </c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7"/>
      <c r="AF20" s="114" t="s">
        <v>352</v>
      </c>
    </row>
    <row r="21" spans="2:32" x14ac:dyDescent="0.25">
      <c r="B21" s="91">
        <v>3</v>
      </c>
      <c r="C21" s="127" t="s">
        <v>348</v>
      </c>
      <c r="D21" s="128"/>
      <c r="E21" s="128"/>
      <c r="F21" s="128"/>
      <c r="G21" s="128"/>
      <c r="H21" s="129"/>
      <c r="I21" s="130" t="s">
        <v>375</v>
      </c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5"/>
      <c r="AF21" s="114" t="s">
        <v>352</v>
      </c>
    </row>
    <row r="22" spans="2:32" x14ac:dyDescent="0.25">
      <c r="B22" s="98"/>
      <c r="C22" s="99" t="s">
        <v>349</v>
      </c>
      <c r="D22" s="100"/>
      <c r="E22" s="100"/>
      <c r="F22" s="100"/>
      <c r="G22" s="100"/>
      <c r="H22" s="101"/>
      <c r="I22" s="104" t="s">
        <v>388</v>
      </c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3"/>
      <c r="AF22" s="114" t="s">
        <v>352</v>
      </c>
    </row>
    <row r="23" spans="2:32" ht="15" thickBot="1" x14ac:dyDescent="0.3">
      <c r="B23" s="105"/>
      <c r="C23" s="108" t="s">
        <v>380</v>
      </c>
      <c r="D23" s="109"/>
      <c r="E23" s="109"/>
      <c r="F23" s="109"/>
      <c r="G23" s="109"/>
      <c r="H23" s="110"/>
      <c r="I23" s="111" t="s">
        <v>350</v>
      </c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7"/>
      <c r="AF23" s="114" t="s">
        <v>352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A133"/>
  <sheetViews>
    <sheetView zoomScale="85" zoomScaleNormal="85" workbookViewId="0"/>
  </sheetViews>
  <sheetFormatPr defaultColWidth="2.625" defaultRowHeight="14.25" x14ac:dyDescent="0.25"/>
  <cols>
    <col min="1" max="1" width="0.75" style="1" customWidth="1"/>
    <col min="2" max="2" width="2.625" style="11"/>
    <col min="3" max="3" width="15.375" style="11" customWidth="1"/>
    <col min="4" max="5" width="2.5" style="11" customWidth="1"/>
    <col min="6" max="6" width="15.375" style="11" customWidth="1"/>
    <col min="7" max="8" width="2.5" style="11" customWidth="1"/>
    <col min="9" max="9" width="14.75" style="11" bestFit="1" customWidth="1"/>
    <col min="10" max="10" width="2.5" style="14" customWidth="1"/>
    <col min="11" max="11" width="2.5" style="11" customWidth="1"/>
    <col min="12" max="12" width="17.25" style="11" bestFit="1" customWidth="1"/>
    <col min="13" max="13" width="2.5" style="14" customWidth="1"/>
    <col min="14" max="14" width="2.5" style="11" customWidth="1"/>
    <col min="15" max="15" width="34.625" style="11" customWidth="1"/>
    <col min="16" max="16" width="2.5" style="14" customWidth="1"/>
    <col min="17" max="17" width="2.5" style="11" customWidth="1"/>
    <col min="18" max="18" width="18.625" style="11" customWidth="1"/>
    <col min="19" max="19" width="2.5" style="14" customWidth="1"/>
    <col min="20" max="20" width="2.5" style="11" customWidth="1"/>
    <col min="21" max="21" width="11.125" style="11" customWidth="1"/>
    <col min="22" max="22" width="2.5" style="14" customWidth="1"/>
    <col min="23" max="23" width="2.5" style="11" customWidth="1"/>
    <col min="24" max="24" width="16.125" style="11" bestFit="1" customWidth="1"/>
    <col min="25" max="25" width="2.5" style="14" customWidth="1"/>
    <col min="26" max="26" width="2.5" style="11" customWidth="1"/>
    <col min="27" max="27" width="16.5" style="11" bestFit="1" customWidth="1"/>
    <col min="28" max="28" width="2.5" style="14" customWidth="1"/>
    <col min="29" max="29" width="2.5" style="11" customWidth="1"/>
    <col min="30" max="30" width="12.5" style="11" bestFit="1" customWidth="1"/>
    <col min="31" max="31" width="2.5" style="14" customWidth="1"/>
    <col min="32" max="32" width="2.5" style="11" customWidth="1"/>
    <col min="33" max="33" width="12.5" style="11" bestFit="1" customWidth="1"/>
    <col min="34" max="34" width="2.5" style="14" customWidth="1"/>
    <col min="35" max="35" width="2.5" style="11" customWidth="1"/>
    <col min="36" max="36" width="12.5" style="11" bestFit="1" customWidth="1"/>
    <col min="37" max="37" width="2.5" style="14" customWidth="1"/>
    <col min="38" max="38" width="2.5" style="11" customWidth="1"/>
    <col min="39" max="39" width="12.5" style="58" bestFit="1" customWidth="1"/>
    <col min="40" max="40" width="2.5" style="14" customWidth="1"/>
    <col min="41" max="41" width="2.5" style="11" customWidth="1"/>
    <col min="42" max="42" width="12.5" style="58" bestFit="1" customWidth="1"/>
    <col min="43" max="43" width="2.5" style="14" customWidth="1"/>
    <col min="44" max="44" width="2.5" style="11" customWidth="1"/>
    <col min="45" max="45" width="12.5" style="58" bestFit="1" customWidth="1"/>
    <col min="46" max="46" width="2.5" style="14" customWidth="1"/>
    <col min="47" max="47" width="2.5" style="11" customWidth="1"/>
    <col min="48" max="48" width="12.5" style="58" bestFit="1" customWidth="1"/>
    <col min="49" max="49" width="2.5" style="14" customWidth="1"/>
    <col min="50" max="50" width="2.5" style="11" customWidth="1"/>
    <col min="51" max="51" width="12.5" style="58" bestFit="1" customWidth="1"/>
    <col min="52" max="52" width="2.5" style="14" customWidth="1"/>
    <col min="53" max="53" width="2.5" style="11" customWidth="1"/>
    <col min="54" max="54" width="12.5" style="58" bestFit="1" customWidth="1"/>
    <col min="55" max="16384" width="2.625" style="11"/>
  </cols>
  <sheetData>
    <row r="1" spans="2:131" s="1" customFormat="1" ht="4.5" customHeight="1" x14ac:dyDescent="0.25">
      <c r="J1" s="2"/>
      <c r="M1" s="2"/>
      <c r="P1" s="2"/>
      <c r="S1" s="2"/>
      <c r="V1" s="2"/>
      <c r="Y1" s="2"/>
      <c r="AB1" s="2"/>
      <c r="AE1" s="2"/>
      <c r="AH1" s="2"/>
      <c r="AK1" s="2"/>
      <c r="AM1" s="55"/>
      <c r="AN1" s="2"/>
      <c r="AP1" s="55"/>
      <c r="AQ1" s="2"/>
      <c r="AS1" s="55"/>
      <c r="AT1" s="2"/>
      <c r="AV1" s="55"/>
      <c r="AW1" s="2"/>
      <c r="AY1" s="55"/>
      <c r="AZ1" s="2"/>
      <c r="BB1" s="55"/>
      <c r="BD1" s="3"/>
      <c r="BE1" s="3"/>
      <c r="BF1" s="3"/>
      <c r="BG1" s="3"/>
      <c r="BH1" s="3"/>
      <c r="BR1" s="3"/>
      <c r="CI1" s="3"/>
      <c r="CU1" s="3"/>
      <c r="CV1" s="3"/>
      <c r="CW1" s="3"/>
      <c r="CX1" s="3"/>
      <c r="CY1" s="3"/>
      <c r="CZ1" s="3"/>
    </row>
    <row r="2" spans="2:131" s="4" customFormat="1" ht="12" x14ac:dyDescent="0.15">
      <c r="B2" s="19" t="str">
        <f>試験手順書!B2</f>
        <v>申込書品質管理・異例取扱管理 サーバ保守切れ対応</v>
      </c>
      <c r="J2" s="5"/>
      <c r="M2" s="5"/>
      <c r="P2" s="5"/>
      <c r="S2" s="5"/>
      <c r="V2" s="5"/>
      <c r="Y2" s="5"/>
      <c r="AB2" s="5"/>
      <c r="AE2" s="5"/>
      <c r="AH2" s="5"/>
      <c r="AK2" s="5"/>
      <c r="AM2" s="56"/>
      <c r="AN2" s="5"/>
      <c r="AP2" s="56"/>
      <c r="AQ2" s="5"/>
      <c r="AS2" s="56"/>
      <c r="AT2" s="5"/>
      <c r="AV2" s="56"/>
      <c r="AW2" s="5"/>
      <c r="AY2" s="56"/>
      <c r="AZ2" s="5"/>
      <c r="BB2" s="56"/>
      <c r="BD2" s="6"/>
      <c r="BE2" s="6"/>
      <c r="BF2" s="6"/>
      <c r="BG2" s="6"/>
      <c r="BH2" s="6"/>
      <c r="BR2" s="6"/>
      <c r="CI2" s="6"/>
      <c r="CU2" s="6"/>
      <c r="CV2" s="6"/>
      <c r="CW2" s="6"/>
      <c r="CX2" s="6"/>
      <c r="CY2" s="6"/>
      <c r="CZ2" s="6"/>
    </row>
    <row r="3" spans="2:131" s="8" customFormat="1" ht="19.5" x14ac:dyDescent="0.25">
      <c r="B3" s="7" t="s">
        <v>191</v>
      </c>
      <c r="J3" s="9"/>
      <c r="M3" s="9"/>
      <c r="P3" s="9"/>
      <c r="S3" s="9"/>
      <c r="V3" s="9"/>
      <c r="Y3" s="9"/>
      <c r="AB3" s="9"/>
      <c r="AE3" s="9"/>
      <c r="AH3" s="9"/>
      <c r="AK3" s="9"/>
      <c r="AM3" s="57"/>
      <c r="AN3" s="9"/>
      <c r="AP3" s="57"/>
      <c r="AQ3" s="9"/>
      <c r="AS3" s="57"/>
      <c r="AT3" s="9"/>
      <c r="AV3" s="57"/>
      <c r="AW3" s="9"/>
      <c r="AY3" s="57"/>
      <c r="AZ3" s="9"/>
      <c r="BB3" s="57"/>
      <c r="BD3" s="10"/>
      <c r="BE3" s="10"/>
      <c r="BF3" s="10"/>
      <c r="BG3" s="10"/>
      <c r="BH3" s="10"/>
      <c r="BR3" s="10"/>
      <c r="CI3" s="10"/>
      <c r="CU3" s="10"/>
      <c r="CV3" s="10"/>
      <c r="CW3" s="10"/>
      <c r="CX3" s="10"/>
      <c r="CY3" s="10"/>
      <c r="CZ3" s="10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</row>
    <row r="6" spans="2:131" x14ac:dyDescent="0.25">
      <c r="C6" s="12" t="s">
        <v>0</v>
      </c>
      <c r="D6" s="12"/>
      <c r="E6" s="12"/>
      <c r="F6" s="12" t="s">
        <v>1</v>
      </c>
      <c r="G6" s="12"/>
      <c r="H6" s="12"/>
      <c r="I6" s="12" t="s">
        <v>2</v>
      </c>
      <c r="J6" s="13"/>
      <c r="K6" s="12"/>
      <c r="L6" s="12" t="s">
        <v>3</v>
      </c>
      <c r="M6" s="13"/>
      <c r="N6" s="12"/>
      <c r="O6" s="12" t="s">
        <v>4</v>
      </c>
      <c r="P6" s="13"/>
      <c r="Q6" s="12"/>
      <c r="R6" s="12" t="s">
        <v>5</v>
      </c>
      <c r="S6" s="13"/>
      <c r="T6" s="12"/>
      <c r="U6" s="12" t="s">
        <v>6</v>
      </c>
      <c r="V6" s="13"/>
      <c r="W6" s="12"/>
      <c r="X6" s="12" t="s">
        <v>7</v>
      </c>
      <c r="Y6" s="13"/>
      <c r="Z6" s="12"/>
      <c r="AA6" s="12" t="s">
        <v>8</v>
      </c>
      <c r="AB6" s="13"/>
      <c r="AC6" s="12"/>
      <c r="AD6" s="12" t="s">
        <v>9</v>
      </c>
      <c r="AE6" s="13"/>
      <c r="AF6" s="12"/>
      <c r="AG6" s="12" t="s">
        <v>10</v>
      </c>
      <c r="AH6" s="13"/>
      <c r="AI6" s="12"/>
      <c r="AJ6" s="12" t="s">
        <v>11</v>
      </c>
      <c r="AK6" s="13"/>
      <c r="AL6" s="12"/>
      <c r="AM6" s="60" t="s">
        <v>167</v>
      </c>
      <c r="AN6" s="13"/>
      <c r="AO6" s="12"/>
      <c r="AP6" s="60" t="s">
        <v>168</v>
      </c>
      <c r="AQ6" s="13"/>
      <c r="AR6" s="12"/>
      <c r="AS6" s="60" t="s">
        <v>169</v>
      </c>
      <c r="AT6" s="13"/>
      <c r="AU6" s="12"/>
      <c r="AV6" s="60" t="s">
        <v>161</v>
      </c>
      <c r="AW6" s="13"/>
      <c r="AX6" s="12"/>
      <c r="AY6" s="60" t="s">
        <v>139</v>
      </c>
      <c r="AZ6" s="13"/>
      <c r="BA6" s="12"/>
      <c r="BB6" s="60" t="s">
        <v>140</v>
      </c>
    </row>
    <row r="7" spans="2:131" x14ac:dyDescent="0.25">
      <c r="C7" s="11" t="s">
        <v>12</v>
      </c>
      <c r="F7" s="11" t="s">
        <v>12</v>
      </c>
      <c r="I7" s="11" t="s">
        <v>12</v>
      </c>
      <c r="L7" s="11" t="s">
        <v>12</v>
      </c>
      <c r="O7" s="11" t="s">
        <v>12</v>
      </c>
      <c r="R7" s="11" t="s">
        <v>12</v>
      </c>
      <c r="U7" s="11" t="s">
        <v>12</v>
      </c>
      <c r="X7" s="11" t="s">
        <v>12</v>
      </c>
      <c r="AA7" s="11" t="s">
        <v>12</v>
      </c>
      <c r="AD7" s="11" t="s">
        <v>12</v>
      </c>
      <c r="AG7" s="11" t="s">
        <v>12</v>
      </c>
      <c r="AJ7" s="11" t="s">
        <v>12</v>
      </c>
      <c r="AM7" s="59" t="s">
        <v>170</v>
      </c>
      <c r="AP7" s="59" t="s">
        <v>166</v>
      </c>
      <c r="AS7" s="59" t="s">
        <v>171</v>
      </c>
      <c r="AV7" s="59" t="s">
        <v>172</v>
      </c>
      <c r="AY7" s="11" t="s">
        <v>12</v>
      </c>
      <c r="BB7" s="11" t="s">
        <v>12</v>
      </c>
    </row>
    <row r="8" spans="2:131" x14ac:dyDescent="0.25">
      <c r="C8" s="11" t="s">
        <v>13</v>
      </c>
      <c r="F8" s="11" t="s">
        <v>14</v>
      </c>
      <c r="I8" s="11" t="s">
        <v>15</v>
      </c>
      <c r="L8" s="11" t="s">
        <v>16</v>
      </c>
      <c r="O8" s="11" t="s">
        <v>17</v>
      </c>
      <c r="R8" s="11" t="s">
        <v>18</v>
      </c>
      <c r="U8" s="11" t="s">
        <v>19</v>
      </c>
      <c r="X8" s="11" t="s">
        <v>20</v>
      </c>
      <c r="AA8" s="11" t="s">
        <v>21</v>
      </c>
      <c r="AD8" s="11" t="s">
        <v>22</v>
      </c>
      <c r="AG8" s="11" t="s">
        <v>23</v>
      </c>
      <c r="AJ8" s="11" t="s">
        <v>23</v>
      </c>
      <c r="AM8" s="59" t="s">
        <v>173</v>
      </c>
      <c r="AP8" s="59" t="s">
        <v>170</v>
      </c>
      <c r="AS8" s="59" t="s">
        <v>174</v>
      </c>
      <c r="AV8" s="59" t="s">
        <v>175</v>
      </c>
      <c r="AY8" s="59" t="s">
        <v>192</v>
      </c>
      <c r="BB8" s="59" t="s">
        <v>195</v>
      </c>
    </row>
    <row r="9" spans="2:131" x14ac:dyDescent="0.25">
      <c r="C9" s="11" t="s">
        <v>24</v>
      </c>
      <c r="F9" s="11" t="s">
        <v>25</v>
      </c>
      <c r="I9" s="11" t="s">
        <v>26</v>
      </c>
      <c r="L9" s="11" t="s">
        <v>27</v>
      </c>
      <c r="O9" s="11" t="s">
        <v>28</v>
      </c>
      <c r="R9" s="11" t="s">
        <v>29</v>
      </c>
      <c r="U9" s="11" t="s">
        <v>30</v>
      </c>
      <c r="X9" s="11" t="s">
        <v>31</v>
      </c>
      <c r="AA9" s="11" t="s">
        <v>32</v>
      </c>
      <c r="AD9" s="11" t="s">
        <v>33</v>
      </c>
      <c r="AG9" s="11" t="s">
        <v>34</v>
      </c>
      <c r="AJ9" s="11" t="s">
        <v>34</v>
      </c>
      <c r="AM9" s="59" t="s">
        <v>176</v>
      </c>
      <c r="AP9" s="59" t="s">
        <v>177</v>
      </c>
      <c r="AS9" s="59" t="s">
        <v>178</v>
      </c>
      <c r="AV9" s="59" t="s">
        <v>205</v>
      </c>
      <c r="AY9" s="59" t="s">
        <v>193</v>
      </c>
      <c r="BB9" s="59" t="s">
        <v>196</v>
      </c>
    </row>
    <row r="10" spans="2:131" x14ac:dyDescent="0.25">
      <c r="C10" s="11" t="s">
        <v>35</v>
      </c>
      <c r="F10" s="11" t="s">
        <v>36</v>
      </c>
      <c r="I10" s="11" t="s">
        <v>37</v>
      </c>
      <c r="L10" s="11" t="s">
        <v>38</v>
      </c>
      <c r="O10" s="11" t="s">
        <v>84</v>
      </c>
      <c r="R10" s="11" t="s">
        <v>40</v>
      </c>
      <c r="U10" s="11" t="s">
        <v>41</v>
      </c>
      <c r="X10" s="11" t="s">
        <v>42</v>
      </c>
      <c r="AA10" s="11" t="s">
        <v>43</v>
      </c>
      <c r="AD10" s="11" t="s">
        <v>44</v>
      </c>
      <c r="AG10" s="11" t="s">
        <v>45</v>
      </c>
      <c r="AJ10" s="11" t="s">
        <v>45</v>
      </c>
      <c r="AM10" s="59" t="s">
        <v>180</v>
      </c>
      <c r="AP10" s="59" t="s">
        <v>181</v>
      </c>
      <c r="AS10" s="59" t="s">
        <v>182</v>
      </c>
      <c r="AV10" s="59" t="s">
        <v>179</v>
      </c>
      <c r="AY10" s="58" t="s">
        <v>194</v>
      </c>
      <c r="BB10" s="59" t="s">
        <v>259</v>
      </c>
    </row>
    <row r="11" spans="2:131" x14ac:dyDescent="0.25">
      <c r="I11" s="11" t="s">
        <v>46</v>
      </c>
      <c r="L11" s="11" t="s">
        <v>47</v>
      </c>
      <c r="O11" s="11" t="s">
        <v>39</v>
      </c>
      <c r="R11" s="11" t="s">
        <v>49</v>
      </c>
      <c r="U11" s="11" t="s">
        <v>50</v>
      </c>
      <c r="X11" s="11" t="s">
        <v>51</v>
      </c>
      <c r="AA11" s="11" t="s">
        <v>52</v>
      </c>
      <c r="AD11" s="11" t="s">
        <v>53</v>
      </c>
      <c r="AG11" s="11" t="s">
        <v>54</v>
      </c>
      <c r="AJ11" s="11" t="s">
        <v>54</v>
      </c>
      <c r="AM11" s="59" t="s">
        <v>183</v>
      </c>
      <c r="AP11" s="59" t="s">
        <v>179</v>
      </c>
      <c r="AS11" s="59" t="s">
        <v>184</v>
      </c>
      <c r="AY11" s="59" t="s">
        <v>179</v>
      </c>
      <c r="BB11" s="59" t="s">
        <v>179</v>
      </c>
    </row>
    <row r="12" spans="2:131" x14ac:dyDescent="0.25">
      <c r="I12" s="11" t="s">
        <v>55</v>
      </c>
      <c r="L12" s="11" t="s">
        <v>56</v>
      </c>
      <c r="O12" s="11" t="s">
        <v>48</v>
      </c>
      <c r="R12" s="11" t="s">
        <v>57</v>
      </c>
      <c r="U12" s="11" t="s">
        <v>58</v>
      </c>
      <c r="X12" s="11" t="s">
        <v>59</v>
      </c>
      <c r="AA12" s="11" t="s">
        <v>60</v>
      </c>
      <c r="AD12" s="11" t="s">
        <v>61</v>
      </c>
      <c r="AM12" s="59" t="s">
        <v>179</v>
      </c>
      <c r="AS12" s="59" t="s">
        <v>185</v>
      </c>
    </row>
    <row r="13" spans="2:131" x14ac:dyDescent="0.25">
      <c r="I13" s="11" t="s">
        <v>62</v>
      </c>
      <c r="L13" s="11" t="s">
        <v>63</v>
      </c>
      <c r="O13" s="11" t="s">
        <v>275</v>
      </c>
      <c r="R13" s="11" t="s">
        <v>64</v>
      </c>
      <c r="U13" s="11" t="s">
        <v>65</v>
      </c>
      <c r="X13" s="11" t="s">
        <v>66</v>
      </c>
      <c r="AA13" s="11" t="s">
        <v>67</v>
      </c>
      <c r="AD13" s="11" t="s">
        <v>68</v>
      </c>
      <c r="AS13" s="59" t="s">
        <v>186</v>
      </c>
    </row>
    <row r="14" spans="2:131" x14ac:dyDescent="0.25">
      <c r="I14" s="11" t="s">
        <v>69</v>
      </c>
      <c r="L14" s="11" t="s">
        <v>89</v>
      </c>
      <c r="O14" s="11" t="s">
        <v>215</v>
      </c>
      <c r="R14" s="11" t="s">
        <v>71</v>
      </c>
      <c r="U14" s="11" t="s">
        <v>72</v>
      </c>
      <c r="X14" s="11" t="s">
        <v>73</v>
      </c>
      <c r="AA14" s="11" t="s">
        <v>74</v>
      </c>
      <c r="AD14" s="11" t="s">
        <v>75</v>
      </c>
      <c r="AS14" s="59" t="s">
        <v>187</v>
      </c>
    </row>
    <row r="15" spans="2:131" x14ac:dyDescent="0.25">
      <c r="I15" s="11" t="s">
        <v>76</v>
      </c>
      <c r="L15" s="11" t="s">
        <v>95</v>
      </c>
      <c r="O15" s="11" t="s">
        <v>70</v>
      </c>
      <c r="R15" s="11" t="s">
        <v>78</v>
      </c>
      <c r="U15" s="11" t="s">
        <v>79</v>
      </c>
      <c r="X15" s="11" t="s">
        <v>80</v>
      </c>
      <c r="AA15" s="11" t="s">
        <v>81</v>
      </c>
      <c r="AD15" s="11" t="s">
        <v>82</v>
      </c>
      <c r="AS15" s="59" t="s">
        <v>188</v>
      </c>
    </row>
    <row r="16" spans="2:131" x14ac:dyDescent="0.25">
      <c r="I16" s="11" t="s">
        <v>83</v>
      </c>
      <c r="L16" s="11" t="s">
        <v>262</v>
      </c>
      <c r="O16" s="11" t="s">
        <v>216</v>
      </c>
      <c r="R16" s="11" t="s">
        <v>80</v>
      </c>
      <c r="U16" s="11" t="s">
        <v>85</v>
      </c>
      <c r="AA16" s="11" t="s">
        <v>86</v>
      </c>
      <c r="AD16" s="11" t="s">
        <v>87</v>
      </c>
      <c r="AS16" s="59" t="s">
        <v>189</v>
      </c>
    </row>
    <row r="17" spans="9:45" x14ac:dyDescent="0.25">
      <c r="I17" s="11" t="s">
        <v>88</v>
      </c>
      <c r="L17" s="11" t="s">
        <v>101</v>
      </c>
      <c r="O17" s="11" t="s">
        <v>77</v>
      </c>
      <c r="U17" s="11" t="s">
        <v>91</v>
      </c>
      <c r="AA17" s="11" t="s">
        <v>92</v>
      </c>
      <c r="AD17" s="11" t="s">
        <v>93</v>
      </c>
      <c r="AS17" s="59" t="s">
        <v>190</v>
      </c>
    </row>
    <row r="18" spans="9:45" x14ac:dyDescent="0.25">
      <c r="I18" s="11" t="s">
        <v>94</v>
      </c>
      <c r="L18" s="11" t="s">
        <v>105</v>
      </c>
      <c r="O18" s="11" t="s">
        <v>284</v>
      </c>
      <c r="U18" s="11" t="s">
        <v>97</v>
      </c>
      <c r="AA18" s="11" t="s">
        <v>98</v>
      </c>
      <c r="AD18" s="11" t="s">
        <v>99</v>
      </c>
      <c r="AS18" s="59" t="s">
        <v>179</v>
      </c>
    </row>
    <row r="19" spans="9:45" x14ac:dyDescent="0.25">
      <c r="I19" s="11" t="s">
        <v>100</v>
      </c>
      <c r="L19" s="11" t="s">
        <v>108</v>
      </c>
      <c r="O19" s="11" t="s">
        <v>281</v>
      </c>
      <c r="U19" s="11" t="s">
        <v>80</v>
      </c>
      <c r="AA19" s="11" t="s">
        <v>102</v>
      </c>
      <c r="AD19" s="11" t="s">
        <v>103</v>
      </c>
    </row>
    <row r="20" spans="9:45" x14ac:dyDescent="0.25">
      <c r="I20" s="11" t="s">
        <v>104</v>
      </c>
      <c r="L20" s="11" t="s">
        <v>255</v>
      </c>
      <c r="O20" s="11" t="s">
        <v>279</v>
      </c>
      <c r="AA20" s="11" t="s">
        <v>107</v>
      </c>
      <c r="AD20" s="11" t="s">
        <v>80</v>
      </c>
    </row>
    <row r="21" spans="9:45" x14ac:dyDescent="0.25">
      <c r="L21" s="11" t="s">
        <v>256</v>
      </c>
      <c r="O21" s="11" t="s">
        <v>217</v>
      </c>
      <c r="AA21" s="11" t="s">
        <v>109</v>
      </c>
    </row>
    <row r="22" spans="9:45" x14ac:dyDescent="0.25">
      <c r="L22" s="11" t="s">
        <v>257</v>
      </c>
      <c r="O22" s="58" t="s">
        <v>90</v>
      </c>
      <c r="AA22" s="11" t="s">
        <v>110</v>
      </c>
    </row>
    <row r="23" spans="9:45" x14ac:dyDescent="0.25">
      <c r="L23" s="11" t="s">
        <v>258</v>
      </c>
      <c r="O23" s="11" t="s">
        <v>96</v>
      </c>
      <c r="AA23" s="11" t="s">
        <v>111</v>
      </c>
    </row>
    <row r="24" spans="9:45" x14ac:dyDescent="0.25">
      <c r="L24" s="15" t="s">
        <v>263</v>
      </c>
      <c r="O24" s="11" t="s">
        <v>218</v>
      </c>
      <c r="AA24" s="11" t="s">
        <v>112</v>
      </c>
    </row>
    <row r="25" spans="9:45" x14ac:dyDescent="0.25">
      <c r="L25" s="11" t="s">
        <v>318</v>
      </c>
      <c r="O25" s="11" t="s">
        <v>106</v>
      </c>
      <c r="AA25" s="11" t="s">
        <v>113</v>
      </c>
    </row>
    <row r="26" spans="9:45" x14ac:dyDescent="0.25">
      <c r="L26" s="11" t="s">
        <v>319</v>
      </c>
      <c r="O26" s="89" t="s">
        <v>265</v>
      </c>
      <c r="AA26" s="11" t="s">
        <v>114</v>
      </c>
    </row>
    <row r="27" spans="9:45" x14ac:dyDescent="0.25">
      <c r="L27" s="11" t="s">
        <v>320</v>
      </c>
      <c r="O27" s="89" t="s">
        <v>266</v>
      </c>
      <c r="AA27" s="11" t="s">
        <v>115</v>
      </c>
    </row>
    <row r="28" spans="9:45" x14ac:dyDescent="0.25">
      <c r="L28" s="11" t="s">
        <v>321</v>
      </c>
      <c r="O28" s="89" t="s">
        <v>267</v>
      </c>
      <c r="AA28" s="11" t="s">
        <v>116</v>
      </c>
    </row>
    <row r="29" spans="9:45" x14ac:dyDescent="0.25">
      <c r="L29" s="11" t="s">
        <v>320</v>
      </c>
      <c r="O29" s="11" t="s">
        <v>280</v>
      </c>
      <c r="AA29" s="11" t="s">
        <v>117</v>
      </c>
    </row>
    <row r="30" spans="9:45" x14ac:dyDescent="0.25">
      <c r="L30" s="11" t="s">
        <v>321</v>
      </c>
      <c r="O30" s="11" t="s">
        <v>340</v>
      </c>
      <c r="AA30" s="11" t="s">
        <v>119</v>
      </c>
    </row>
    <row r="31" spans="9:45" x14ac:dyDescent="0.25">
      <c r="L31" s="11" t="s">
        <v>322</v>
      </c>
      <c r="O31" s="11" t="s">
        <v>219</v>
      </c>
      <c r="AA31" s="11" t="s">
        <v>120</v>
      </c>
    </row>
    <row r="32" spans="9:45" x14ac:dyDescent="0.25">
      <c r="L32" s="11" t="s">
        <v>323</v>
      </c>
      <c r="O32" s="11" t="s">
        <v>220</v>
      </c>
      <c r="AA32" s="11" t="s">
        <v>80</v>
      </c>
    </row>
    <row r="33" spans="12:15" x14ac:dyDescent="0.25">
      <c r="L33" s="11" t="s">
        <v>324</v>
      </c>
      <c r="O33" s="11" t="s">
        <v>221</v>
      </c>
    </row>
    <row r="34" spans="12:15" x14ac:dyDescent="0.25">
      <c r="L34" s="15" t="s">
        <v>263</v>
      </c>
      <c r="O34" s="11" t="s">
        <v>118</v>
      </c>
    </row>
    <row r="35" spans="12:15" x14ac:dyDescent="0.25">
      <c r="L35" s="11" t="s">
        <v>121</v>
      </c>
      <c r="O35" s="11" t="s">
        <v>222</v>
      </c>
    </row>
    <row r="36" spans="12:15" x14ac:dyDescent="0.25">
      <c r="L36" s="11" t="s">
        <v>264</v>
      </c>
      <c r="O36" s="11" t="s">
        <v>223</v>
      </c>
    </row>
    <row r="37" spans="12:15" x14ac:dyDescent="0.25">
      <c r="L37" s="11" t="s">
        <v>122</v>
      </c>
      <c r="O37" s="11" t="s">
        <v>224</v>
      </c>
    </row>
    <row r="38" spans="12:15" x14ac:dyDescent="0.25">
      <c r="O38" s="11" t="s">
        <v>225</v>
      </c>
    </row>
    <row r="39" spans="12:15" x14ac:dyDescent="0.25">
      <c r="O39" s="11" t="s">
        <v>226</v>
      </c>
    </row>
    <row r="40" spans="12:15" x14ac:dyDescent="0.25">
      <c r="O40" s="11" t="s">
        <v>227</v>
      </c>
    </row>
    <row r="41" spans="12:15" x14ac:dyDescent="0.25">
      <c r="O41" s="11" t="s">
        <v>228</v>
      </c>
    </row>
    <row r="42" spans="12:15" x14ac:dyDescent="0.25">
      <c r="O42" s="11" t="s">
        <v>229</v>
      </c>
    </row>
    <row r="43" spans="12:15" x14ac:dyDescent="0.25">
      <c r="O43" s="11" t="s">
        <v>276</v>
      </c>
    </row>
    <row r="44" spans="12:15" x14ac:dyDescent="0.25">
      <c r="O44" s="11" t="s">
        <v>230</v>
      </c>
    </row>
    <row r="45" spans="12:15" x14ac:dyDescent="0.25">
      <c r="O45" s="11" t="s">
        <v>231</v>
      </c>
    </row>
    <row r="46" spans="12:15" x14ac:dyDescent="0.25">
      <c r="O46" s="11" t="s">
        <v>232</v>
      </c>
    </row>
    <row r="47" spans="12:15" x14ac:dyDescent="0.25">
      <c r="O47" s="11" t="s">
        <v>123</v>
      </c>
    </row>
    <row r="48" spans="12:15" x14ac:dyDescent="0.25">
      <c r="O48" s="11" t="s">
        <v>233</v>
      </c>
    </row>
    <row r="49" spans="15:15" x14ac:dyDescent="0.25">
      <c r="O49" s="11" t="s">
        <v>234</v>
      </c>
    </row>
    <row r="50" spans="15:15" x14ac:dyDescent="0.25">
      <c r="O50" s="11" t="s">
        <v>235</v>
      </c>
    </row>
    <row r="51" spans="15:15" x14ac:dyDescent="0.25">
      <c r="O51" s="11" t="s">
        <v>236</v>
      </c>
    </row>
    <row r="52" spans="15:15" x14ac:dyDescent="0.25">
      <c r="O52" s="11" t="s">
        <v>237</v>
      </c>
    </row>
    <row r="53" spans="15:15" x14ac:dyDescent="0.25">
      <c r="O53" s="11" t="s">
        <v>285</v>
      </c>
    </row>
    <row r="54" spans="15:15" x14ac:dyDescent="0.25">
      <c r="O54" s="11" t="s">
        <v>286</v>
      </c>
    </row>
    <row r="55" spans="15:15" x14ac:dyDescent="0.25">
      <c r="O55" s="11" t="s">
        <v>287</v>
      </c>
    </row>
    <row r="56" spans="15:15" x14ac:dyDescent="0.25">
      <c r="O56" s="11" t="s">
        <v>288</v>
      </c>
    </row>
    <row r="57" spans="15:15" x14ac:dyDescent="0.25">
      <c r="O57" s="11" t="s">
        <v>238</v>
      </c>
    </row>
    <row r="58" spans="15:15" x14ac:dyDescent="0.25">
      <c r="O58" s="11" t="s">
        <v>239</v>
      </c>
    </row>
    <row r="59" spans="15:15" x14ac:dyDescent="0.25">
      <c r="O59" s="11" t="s">
        <v>240</v>
      </c>
    </row>
    <row r="60" spans="15:15" x14ac:dyDescent="0.25">
      <c r="O60" s="11" t="s">
        <v>241</v>
      </c>
    </row>
    <row r="61" spans="15:15" x14ac:dyDescent="0.25">
      <c r="O61" s="11" t="s">
        <v>242</v>
      </c>
    </row>
    <row r="62" spans="15:15" x14ac:dyDescent="0.25">
      <c r="O62" s="11" t="s">
        <v>243</v>
      </c>
    </row>
    <row r="63" spans="15:15" x14ac:dyDescent="0.25">
      <c r="O63" s="11" t="s">
        <v>244</v>
      </c>
    </row>
    <row r="64" spans="15:15" x14ac:dyDescent="0.25">
      <c r="O64" s="11" t="s">
        <v>245</v>
      </c>
    </row>
    <row r="65" spans="15:15" x14ac:dyDescent="0.25">
      <c r="O65" s="11" t="s">
        <v>282</v>
      </c>
    </row>
    <row r="66" spans="15:15" x14ac:dyDescent="0.25">
      <c r="O66" s="11" t="s">
        <v>124</v>
      </c>
    </row>
    <row r="67" spans="15:15" x14ac:dyDescent="0.25">
      <c r="O67" s="11" t="s">
        <v>246</v>
      </c>
    </row>
    <row r="68" spans="15:15" x14ac:dyDescent="0.25">
      <c r="O68" s="11" t="s">
        <v>125</v>
      </c>
    </row>
    <row r="69" spans="15:15" x14ac:dyDescent="0.25">
      <c r="O69" s="11" t="s">
        <v>126</v>
      </c>
    </row>
    <row r="70" spans="15:15" x14ac:dyDescent="0.25">
      <c r="O70" s="11" t="s">
        <v>127</v>
      </c>
    </row>
    <row r="71" spans="15:15" x14ac:dyDescent="0.25">
      <c r="O71" s="11" t="s">
        <v>128</v>
      </c>
    </row>
    <row r="72" spans="15:15" x14ac:dyDescent="0.25">
      <c r="O72" s="11" t="s">
        <v>129</v>
      </c>
    </row>
    <row r="73" spans="15:15" x14ac:dyDescent="0.25">
      <c r="O73" s="11" t="s">
        <v>130</v>
      </c>
    </row>
    <row r="74" spans="15:15" x14ac:dyDescent="0.25">
      <c r="O74" s="11" t="s">
        <v>134</v>
      </c>
    </row>
    <row r="75" spans="15:15" x14ac:dyDescent="0.25">
      <c r="O75" s="11" t="s">
        <v>131</v>
      </c>
    </row>
    <row r="76" spans="15:15" x14ac:dyDescent="0.25">
      <c r="O76" s="11" t="s">
        <v>247</v>
      </c>
    </row>
    <row r="77" spans="15:15" x14ac:dyDescent="0.25">
      <c r="O77" s="89" t="s">
        <v>268</v>
      </c>
    </row>
    <row r="78" spans="15:15" x14ac:dyDescent="0.25">
      <c r="O78" s="89" t="s">
        <v>269</v>
      </c>
    </row>
    <row r="79" spans="15:15" x14ac:dyDescent="0.25">
      <c r="O79" s="89" t="s">
        <v>278</v>
      </c>
    </row>
    <row r="80" spans="15:15" x14ac:dyDescent="0.25">
      <c r="O80" s="89" t="s">
        <v>325</v>
      </c>
    </row>
    <row r="81" spans="15:15" x14ac:dyDescent="0.25">
      <c r="O81" s="89" t="s">
        <v>326</v>
      </c>
    </row>
    <row r="82" spans="15:15" x14ac:dyDescent="0.25">
      <c r="O82" s="11" t="s">
        <v>248</v>
      </c>
    </row>
    <row r="83" spans="15:15" x14ac:dyDescent="0.25">
      <c r="O83" s="11" t="s">
        <v>249</v>
      </c>
    </row>
    <row r="84" spans="15:15" x14ac:dyDescent="0.25">
      <c r="O84" s="11" t="s">
        <v>290</v>
      </c>
    </row>
    <row r="85" spans="15:15" x14ac:dyDescent="0.25">
      <c r="O85" s="11" t="s">
        <v>270</v>
      </c>
    </row>
    <row r="86" spans="15:15" x14ac:dyDescent="0.25">
      <c r="O86" s="11" t="s">
        <v>250</v>
      </c>
    </row>
    <row r="87" spans="15:15" x14ac:dyDescent="0.25">
      <c r="O87" s="11" t="s">
        <v>251</v>
      </c>
    </row>
    <row r="88" spans="15:15" x14ac:dyDescent="0.25">
      <c r="O88" s="11" t="s">
        <v>252</v>
      </c>
    </row>
    <row r="89" spans="15:15" x14ac:dyDescent="0.25">
      <c r="O89" s="11" t="s">
        <v>253</v>
      </c>
    </row>
    <row r="90" spans="15:15" x14ac:dyDescent="0.25">
      <c r="O90" s="11" t="s">
        <v>277</v>
      </c>
    </row>
    <row r="91" spans="15:15" x14ac:dyDescent="0.25">
      <c r="O91" s="11" t="s">
        <v>271</v>
      </c>
    </row>
    <row r="92" spans="15:15" x14ac:dyDescent="0.25">
      <c r="O92" s="11" t="s">
        <v>291</v>
      </c>
    </row>
    <row r="93" spans="15:15" x14ac:dyDescent="0.25">
      <c r="O93" s="15" t="s">
        <v>292</v>
      </c>
    </row>
    <row r="94" spans="15:15" x14ac:dyDescent="0.25">
      <c r="O94" s="11" t="s">
        <v>272</v>
      </c>
    </row>
    <row r="95" spans="15:15" x14ac:dyDescent="0.25">
      <c r="O95" s="11" t="s">
        <v>254</v>
      </c>
    </row>
    <row r="96" spans="15:15" x14ac:dyDescent="0.25">
      <c r="O96" s="11" t="s">
        <v>273</v>
      </c>
    </row>
    <row r="97" spans="15:15" x14ac:dyDescent="0.25">
      <c r="O97" s="11" t="s">
        <v>274</v>
      </c>
    </row>
    <row r="98" spans="15:15" x14ac:dyDescent="0.25">
      <c r="O98" s="89" t="s">
        <v>283</v>
      </c>
    </row>
    <row r="99" spans="15:15" x14ac:dyDescent="0.25">
      <c r="O99" s="11" t="s">
        <v>132</v>
      </c>
    </row>
    <row r="100" spans="15:15" x14ac:dyDescent="0.25">
      <c r="O100" s="11" t="s">
        <v>293</v>
      </c>
    </row>
    <row r="101" spans="15:15" x14ac:dyDescent="0.25">
      <c r="O101" s="11" t="s">
        <v>294</v>
      </c>
    </row>
    <row r="102" spans="15:15" x14ac:dyDescent="0.25">
      <c r="O102" s="11" t="s">
        <v>295</v>
      </c>
    </row>
    <row r="103" spans="15:15" x14ac:dyDescent="0.25">
      <c r="O103" s="11" t="s">
        <v>296</v>
      </c>
    </row>
    <row r="104" spans="15:15" x14ac:dyDescent="0.25">
      <c r="O104" s="11" t="s">
        <v>297</v>
      </c>
    </row>
    <row r="105" spans="15:15" x14ac:dyDescent="0.25">
      <c r="O105" s="11" t="s">
        <v>298</v>
      </c>
    </row>
    <row r="106" spans="15:15" x14ac:dyDescent="0.25">
      <c r="O106" s="11" t="s">
        <v>299</v>
      </c>
    </row>
    <row r="107" spans="15:15" x14ac:dyDescent="0.25">
      <c r="O107" s="11" t="s">
        <v>300</v>
      </c>
    </row>
    <row r="108" spans="15:15" x14ac:dyDescent="0.25">
      <c r="O108" s="11" t="s">
        <v>301</v>
      </c>
    </row>
    <row r="109" spans="15:15" x14ac:dyDescent="0.25">
      <c r="O109" s="11" t="s">
        <v>302</v>
      </c>
    </row>
    <row r="110" spans="15:15" x14ac:dyDescent="0.25">
      <c r="O110" s="11" t="s">
        <v>303</v>
      </c>
    </row>
    <row r="111" spans="15:15" x14ac:dyDescent="0.25">
      <c r="O111" s="11" t="s">
        <v>304</v>
      </c>
    </row>
    <row r="112" spans="15:15" x14ac:dyDescent="0.25">
      <c r="O112" s="11" t="s">
        <v>305</v>
      </c>
    </row>
    <row r="113" spans="15:15" x14ac:dyDescent="0.25">
      <c r="O113" s="11" t="s">
        <v>306</v>
      </c>
    </row>
    <row r="114" spans="15:15" x14ac:dyDescent="0.25">
      <c r="O114" s="11" t="s">
        <v>307</v>
      </c>
    </row>
    <row r="115" spans="15:15" x14ac:dyDescent="0.25">
      <c r="O115" s="11" t="s">
        <v>308</v>
      </c>
    </row>
    <row r="116" spans="15:15" x14ac:dyDescent="0.25">
      <c r="O116" s="11" t="s">
        <v>309</v>
      </c>
    </row>
    <row r="117" spans="15:15" x14ac:dyDescent="0.25">
      <c r="O117" s="11" t="s">
        <v>310</v>
      </c>
    </row>
    <row r="118" spans="15:15" x14ac:dyDescent="0.25">
      <c r="O118" s="11" t="s">
        <v>311</v>
      </c>
    </row>
    <row r="119" spans="15:15" x14ac:dyDescent="0.25">
      <c r="O119" s="11" t="s">
        <v>312</v>
      </c>
    </row>
    <row r="120" spans="15:15" x14ac:dyDescent="0.25">
      <c r="O120" s="11" t="s">
        <v>313</v>
      </c>
    </row>
    <row r="121" spans="15:15" x14ac:dyDescent="0.25">
      <c r="O121" s="11" t="s">
        <v>314</v>
      </c>
    </row>
    <row r="122" spans="15:15" x14ac:dyDescent="0.25">
      <c r="O122" s="15" t="s">
        <v>315</v>
      </c>
    </row>
    <row r="123" spans="15:15" x14ac:dyDescent="0.25">
      <c r="O123" s="11" t="s">
        <v>316</v>
      </c>
    </row>
    <row r="124" spans="15:15" x14ac:dyDescent="0.25">
      <c r="O124" s="11" t="s">
        <v>133</v>
      </c>
    </row>
    <row r="125" spans="15:15" x14ac:dyDescent="0.25">
      <c r="O125" s="11" t="s">
        <v>134</v>
      </c>
    </row>
    <row r="126" spans="15:15" x14ac:dyDescent="0.25">
      <c r="O126" s="11" t="s">
        <v>132</v>
      </c>
    </row>
    <row r="127" spans="15:15" x14ac:dyDescent="0.25">
      <c r="O127" s="11" t="s">
        <v>293</v>
      </c>
    </row>
    <row r="128" spans="15:15" x14ac:dyDescent="0.25">
      <c r="O128" s="11" t="s">
        <v>121</v>
      </c>
    </row>
    <row r="129" spans="15:15" x14ac:dyDescent="0.25">
      <c r="O129" s="11" t="s">
        <v>317</v>
      </c>
    </row>
    <row r="130" spans="15:15" x14ac:dyDescent="0.25">
      <c r="O130" s="11" t="s">
        <v>122</v>
      </c>
    </row>
    <row r="133" spans="15:15" x14ac:dyDescent="0.25">
      <c r="O133" s="15"/>
    </row>
  </sheetData>
  <phoneticPr fontId="5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1BE4B2A833D84B9ABC10E87565E672" ma:contentTypeVersion="0" ma:contentTypeDescription="新しいドキュメントを作成します。" ma:contentTypeScope="" ma:versionID="ace65380178c259a8f337cf1813a292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440AAB-E388-437D-AA8E-5726B2A074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E3C043-7ED5-4A94-9F02-339D09121031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402CC24-0F4F-4751-878B-3C88391FAC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試験手順書</vt:lpstr>
      <vt:lpstr>【別紙】操作内容</vt:lpstr>
      <vt:lpstr>【別紙】表示内容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2026-08-19T08:24:34Z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0x010100AC1BE4B2A833D84B9ABC10E87565E672</vt:lpwstr>
  </property>
</Properties>
</file>