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ttd-fs5\hitb3$\24_第二開発\dev-serv3\togo2\000_事務商品\16_申込書品質管理\99_work\2027年度 サーバ更改対応\600 結合試験工程\A602 シナリオ一覧\_お客様RV\02 提出資料\2026-08-25_お客様RV依頼（品管、異例）\"/>
    </mc:Choice>
  </mc:AlternateContent>
  <xr:revisionPtr revIDLastSave="0" documentId="13_ncr:1_{319C0F28-3E2A-468C-AF40-C88E0B831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結合試験 シナリオ一覧 (業務) " sheetId="22" r:id="rId1"/>
    <sheet name="結合試験 シナリオ実施順序（業務）" sheetId="20" r:id="rId2"/>
    <sheet name="タイムゾーン確認" sheetId="23" r:id="rId3"/>
  </sheets>
  <externalReferences>
    <externalReference r:id="rId4"/>
  </externalReferences>
  <definedNames>
    <definedName name="_1__123Graph_Aｸﾞﾗﾌ_1" hidden="1">#REF!</definedName>
    <definedName name="_2__123Graph_Aｸﾞﾗﾌ_1" hidden="1">#REF!</definedName>
    <definedName name="_2__123Graph_Xｸﾞﾗﾌ_1" hidden="1">#REF!</definedName>
    <definedName name="_4__123Graph_Xｸﾞﾗﾌ_1" hidden="1">#REF!</definedName>
    <definedName name="_Dist_Bin" hidden="1">'[1]F-NIP'!#REF!</definedName>
    <definedName name="_Dist_Values" hidden="1">'[1]F-NIP'!#REF!</definedName>
    <definedName name="_Fill" hidden="1">#REF!</definedName>
    <definedName name="_xlnm._FilterDatabase" localSheetId="0" hidden="1">'結合試験 シナリオ一覧 (業務) '!$C$19:$CL$24</definedName>
    <definedName name="_Key1" hidden="1">#REF!</definedName>
    <definedName name="_Key2" hidden="1">#REF!</definedName>
    <definedName name="_Order1" hidden="1">255</definedName>
    <definedName name="_Order2" hidden="1">1</definedName>
    <definedName name="_Parse_In" hidden="1">#REF!</definedName>
    <definedName name="_Parse_Out" hidden="1">#REF!</definedName>
    <definedName name="_Regression_Int" hidden="1">1</definedName>
    <definedName name="_Regression_X" hidden="1">#REF!</definedName>
    <definedName name="_Sort" hidden="1">#REF!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" localSheetId="1" hidden="1">{"ID名称",#N/A,FALSE,"進捗状況";"prog予定",#N/A,FALSE,"進捗状況"}</definedName>
    <definedName name="aa" hidden="1">{"ID名称",#N/A,FALSE,"進捗状況";"prog予定",#N/A,FALSE,"進捗状況"}</definedName>
    <definedName name="aaaa" localSheetId="1" hidden="1">{"ID名称",#N/A,FALSE,"進捗状況";"prog予定",#N/A,FALSE,"進捗状況"}</definedName>
    <definedName name="aaaa" hidden="1">{"ID名称",#N/A,FALSE,"進捗状況";"prog予定",#N/A,FALSE,"進捗状況"}</definedName>
    <definedName name="aaaaa" hidden="1">#REF!</definedName>
    <definedName name="AccessDatabase" hidden="1">"E:\三井海上\一般･地区社員 給与開発\概要設計\旧給与マスター･明細レイアウト.mdb"</definedName>
    <definedName name="AX" hidden="1">#REF!</definedName>
    <definedName name="B" localSheetId="1" hidden="1">{"ID名称",#N/A,FALSE,"進捗状況";"prog予定",#N/A,FALSE,"進捗状況"}</definedName>
    <definedName name="B" hidden="1">{"ID名称",#N/A,FALSE,"進捗状況";"prog予定",#N/A,FALSE,"進捗状況"}</definedName>
    <definedName name="BBB" hidden="1">#REF!</definedName>
    <definedName name="bbbbb" hidden="1">#REF!</definedName>
    <definedName name="BBBBBBBBB" hidden="1">'[1]F-NIP'!#REF!</definedName>
    <definedName name="CCC" hidden="1">#REF!</definedName>
    <definedName name="ＧＷメッセージ一覧" hidden="1">#REF!</definedName>
    <definedName name="HTML_CodePage" hidden="1">932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"[PF見積もり.xls]価格リスト!$D$3:$K$44"</definedName>
    <definedName name="HTML1_10" hidden="1">""</definedName>
    <definedName name="HTML1_11" hidden="1">1</definedName>
    <definedName name="HTML1_12" hidden="1">"C:\yamauchi\業務\PF見積もり.htm"</definedName>
    <definedName name="HTML1_2" hidden="1">1</definedName>
    <definedName name="HTML1_3" hidden="1">"PF見積もり.xls"</definedName>
    <definedName name="HTML1_4" hidden="1">"価格リスト"</definedName>
    <definedName name="HTML1_5" hidden="1">""</definedName>
    <definedName name="HTML1_6" hidden="1">1</definedName>
    <definedName name="HTML1_7" hidden="1">1</definedName>
    <definedName name="HTML1_8" hidden="1">"99/04/28"</definedName>
    <definedName name="HTML1_9" hidden="1">"山内　勇"</definedName>
    <definedName name="HTMLCount" hidden="1">1</definedName>
    <definedName name="ｓｓ" hidden="1">#REF!</definedName>
    <definedName name="T" hidden="1">#REF!</definedName>
    <definedName name="VV" hidden="1">#REF!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あ" hidden="1">#REF!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サンプル" hidden="1">#REF!</definedName>
    <definedName name="シート３" hidden="1">#REF!</definedName>
    <definedName name="たいうおう" hidden="1">{"'表紙'!$A$1:$W$39"}</definedName>
    <definedName name="タスクドキュメント１" hidden="1">#REF!</definedName>
    <definedName name="っっj" hidden="1">{"'表紙'!$A$1:$W$39"}</definedName>
    <definedName name="マスタ" hidden="1">{"'表紙'!$A$1:$W$39"}</definedName>
    <definedName name="安藤" hidden="1">#REF!</definedName>
    <definedName name="改革" hidden="1">{"'表紙'!$A$1:$W$39"}</definedName>
    <definedName name="関連表" hidden="1">#REF!</definedName>
    <definedName name="計画" hidden="1">{"'表紙'!$A$1:$W$39"}</definedName>
    <definedName name="責任体制" hidden="1">{"'表紙'!$A$1:$W$39"}</definedName>
    <definedName name="全体" localSheetId="1" hidden="1">{"ID名称",#N/A,FALSE,"進捗状況";"prog予定",#N/A,FALSE,"進捗状況"}</definedName>
    <definedName name="全体" hidden="1">{"ID名称",#N/A,FALSE,"進捗状況";"prog予定",#N/A,FALSE,"進捗状況"}</definedName>
    <definedName name="束原" hidden="1">#REF!</definedName>
    <definedName name="体制" hidden="1">{"'表紙'!$A$1:$W$39"}</definedName>
    <definedName name="導入時期う" hidden="1">#REF!</definedName>
    <definedName name="品質" hidden="1">{"'表紙'!$A$1:$W$39"}</definedName>
    <definedName name="不支払区分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R227" i="20" l="1"/>
  <c r="HR220" i="20"/>
  <c r="HR213" i="20"/>
  <c r="HR206" i="20"/>
  <c r="HR199" i="20"/>
  <c r="HR192" i="20"/>
  <c r="HR185" i="20"/>
  <c r="HR178" i="20"/>
  <c r="HR171" i="20"/>
  <c r="HR164" i="20"/>
  <c r="HR157" i="20"/>
  <c r="AD227" i="20"/>
  <c r="AD220" i="20"/>
  <c r="AD213" i="20"/>
  <c r="AD206" i="20"/>
  <c r="AD199" i="20"/>
  <c r="AD192" i="20"/>
  <c r="AD185" i="20"/>
  <c r="AD178" i="20"/>
  <c r="AD171" i="20"/>
  <c r="AD164" i="20"/>
  <c r="AD157" i="20"/>
  <c r="HR150" i="20"/>
  <c r="AD150" i="20"/>
  <c r="HK142" i="20"/>
  <c r="HD142" i="20"/>
  <c r="GW142" i="20"/>
  <c r="GP142" i="20"/>
  <c r="GI142" i="20"/>
  <c r="GB142" i="20"/>
  <c r="FU142" i="20"/>
  <c r="FN142" i="20"/>
  <c r="FG142" i="20"/>
  <c r="EZ142" i="20"/>
  <c r="ES142" i="20"/>
  <c r="EL142" i="20"/>
  <c r="EE142" i="20"/>
  <c r="DX142" i="20"/>
  <c r="DQ142" i="20"/>
  <c r="DJ142" i="20"/>
  <c r="DC142" i="20"/>
  <c r="CV142" i="20"/>
  <c r="CO142" i="20"/>
  <c r="CH142" i="20"/>
  <c r="CA142" i="20"/>
  <c r="BT142" i="20"/>
  <c r="BM142" i="20"/>
  <c r="BF142" i="20"/>
  <c r="AY142" i="20"/>
  <c r="AR142" i="20"/>
  <c r="AK142" i="20"/>
  <c r="AD142" i="20"/>
  <c r="HK135" i="20"/>
  <c r="HD135" i="20"/>
  <c r="GW135" i="20"/>
  <c r="GP135" i="20"/>
  <c r="GI135" i="20"/>
  <c r="GB135" i="20"/>
  <c r="FU135" i="20"/>
  <c r="FN135" i="20"/>
  <c r="FG135" i="20"/>
  <c r="EZ135" i="20"/>
  <c r="ES135" i="20"/>
  <c r="EL135" i="20"/>
  <c r="EE135" i="20"/>
  <c r="DX135" i="20"/>
  <c r="DQ135" i="20"/>
  <c r="DJ135" i="20"/>
  <c r="DC135" i="20"/>
  <c r="CV135" i="20"/>
  <c r="CO135" i="20"/>
  <c r="CH135" i="20"/>
  <c r="CA135" i="20"/>
  <c r="BT135" i="20"/>
  <c r="BM135" i="20"/>
  <c r="BF135" i="20"/>
  <c r="AY135" i="20"/>
  <c r="AR135" i="20"/>
  <c r="AK135" i="20"/>
  <c r="AD135" i="20"/>
  <c r="HK128" i="20"/>
  <c r="HD128" i="20"/>
  <c r="GW128" i="20"/>
  <c r="GP128" i="20"/>
  <c r="GI128" i="20"/>
  <c r="GB128" i="20"/>
  <c r="FU128" i="20"/>
  <c r="FN128" i="20"/>
  <c r="FG128" i="20"/>
  <c r="EZ128" i="20"/>
  <c r="ES128" i="20"/>
  <c r="EL128" i="20"/>
  <c r="EE128" i="20"/>
  <c r="DX128" i="20"/>
  <c r="DQ128" i="20"/>
  <c r="DJ128" i="20"/>
  <c r="DC128" i="20"/>
  <c r="CV128" i="20"/>
  <c r="CO128" i="20"/>
  <c r="CH128" i="20"/>
  <c r="CA128" i="20"/>
  <c r="BT128" i="20"/>
  <c r="BM128" i="20"/>
  <c r="BF128" i="20"/>
  <c r="AY128" i="20"/>
  <c r="AR128" i="20"/>
  <c r="AK128" i="20"/>
  <c r="AD128" i="20"/>
  <c r="HK121" i="20"/>
  <c r="HD121" i="20"/>
  <c r="GW121" i="20"/>
  <c r="GP121" i="20"/>
  <c r="GI121" i="20"/>
  <c r="GB121" i="20"/>
  <c r="FU121" i="20"/>
  <c r="FN121" i="20"/>
  <c r="FG121" i="20"/>
  <c r="EZ121" i="20"/>
  <c r="ES121" i="20"/>
  <c r="EL121" i="20"/>
  <c r="EE121" i="20"/>
  <c r="DX121" i="20"/>
  <c r="DQ121" i="20"/>
  <c r="DJ121" i="20"/>
  <c r="DC121" i="20"/>
  <c r="CV121" i="20"/>
  <c r="CO121" i="20"/>
  <c r="CH121" i="20"/>
  <c r="CA121" i="20"/>
  <c r="BT121" i="20"/>
  <c r="BM121" i="20"/>
  <c r="BF121" i="20"/>
  <c r="AY121" i="20"/>
  <c r="AR121" i="20"/>
  <c r="AK121" i="20"/>
  <c r="AD121" i="20"/>
  <c r="HK114" i="20"/>
  <c r="HD114" i="20"/>
  <c r="GW114" i="20"/>
  <c r="GP114" i="20"/>
  <c r="GI114" i="20"/>
  <c r="GB114" i="20"/>
  <c r="FU114" i="20"/>
  <c r="FN114" i="20"/>
  <c r="FG114" i="20"/>
  <c r="EZ114" i="20"/>
  <c r="ES114" i="20"/>
  <c r="EL114" i="20"/>
  <c r="EE114" i="20"/>
  <c r="DX114" i="20"/>
  <c r="DQ114" i="20"/>
  <c r="DJ114" i="20"/>
  <c r="DC114" i="20"/>
  <c r="CV114" i="20"/>
  <c r="CO114" i="20"/>
  <c r="CH114" i="20"/>
  <c r="CA114" i="20"/>
  <c r="BT114" i="20"/>
  <c r="BM114" i="20"/>
  <c r="BF114" i="20"/>
  <c r="AY114" i="20"/>
  <c r="AR114" i="20"/>
  <c r="AK114" i="20"/>
  <c r="AD114" i="20"/>
  <c r="HK107" i="20"/>
  <c r="HD107" i="20"/>
  <c r="GW107" i="20"/>
  <c r="GP107" i="20"/>
  <c r="GI107" i="20"/>
  <c r="GB107" i="20"/>
  <c r="FU107" i="20"/>
  <c r="FN107" i="20"/>
  <c r="FG107" i="20"/>
  <c r="EZ107" i="20"/>
  <c r="ES107" i="20"/>
  <c r="EL107" i="20"/>
  <c r="EE107" i="20"/>
  <c r="DX107" i="20"/>
  <c r="DQ107" i="20"/>
  <c r="DJ107" i="20"/>
  <c r="DC107" i="20"/>
  <c r="CV107" i="20"/>
  <c r="CO107" i="20"/>
  <c r="CH107" i="20"/>
  <c r="CA107" i="20"/>
  <c r="BT107" i="20"/>
  <c r="BM107" i="20"/>
  <c r="BF107" i="20"/>
  <c r="AY107" i="20"/>
  <c r="AR107" i="20"/>
  <c r="AK107" i="20"/>
  <c r="AD107" i="20"/>
  <c r="HK100" i="20"/>
  <c r="HD100" i="20"/>
  <c r="GW100" i="20"/>
  <c r="GP100" i="20"/>
  <c r="GI100" i="20"/>
  <c r="GB100" i="20"/>
  <c r="FU100" i="20"/>
  <c r="FN100" i="20"/>
  <c r="FG100" i="20"/>
  <c r="EZ100" i="20"/>
  <c r="ES100" i="20"/>
  <c r="EL100" i="20"/>
  <c r="EE100" i="20"/>
  <c r="DX100" i="20"/>
  <c r="DQ100" i="20"/>
  <c r="DJ100" i="20"/>
  <c r="DC100" i="20"/>
  <c r="CV100" i="20"/>
  <c r="CO100" i="20"/>
  <c r="CH100" i="20"/>
  <c r="CA100" i="20"/>
  <c r="BT100" i="20"/>
  <c r="BM100" i="20"/>
  <c r="BF100" i="20"/>
  <c r="AY100" i="20"/>
  <c r="AR100" i="20"/>
  <c r="AK100" i="20"/>
  <c r="AD100" i="20"/>
  <c r="HK93" i="20"/>
  <c r="HD93" i="20"/>
  <c r="GW93" i="20"/>
  <c r="GP93" i="20"/>
  <c r="GI93" i="20"/>
  <c r="GB93" i="20"/>
  <c r="FU93" i="20"/>
  <c r="FN93" i="20"/>
  <c r="FG93" i="20"/>
  <c r="EZ93" i="20"/>
  <c r="ES93" i="20"/>
  <c r="EL93" i="20"/>
  <c r="EE93" i="20"/>
  <c r="DX93" i="20"/>
  <c r="DQ93" i="20"/>
  <c r="DJ93" i="20"/>
  <c r="DC93" i="20"/>
  <c r="CV93" i="20"/>
  <c r="CO93" i="20"/>
  <c r="CH93" i="20"/>
  <c r="CA93" i="20"/>
  <c r="BT93" i="20"/>
  <c r="BM93" i="20"/>
  <c r="BF93" i="20"/>
  <c r="AY93" i="20"/>
  <c r="AR93" i="20"/>
  <c r="AK93" i="20"/>
  <c r="AD93" i="20"/>
  <c r="HK86" i="20"/>
  <c r="HD86" i="20"/>
  <c r="GW86" i="20"/>
  <c r="GP86" i="20"/>
  <c r="GI86" i="20"/>
  <c r="GB86" i="20"/>
  <c r="FU86" i="20"/>
  <c r="FN86" i="20"/>
  <c r="FG86" i="20"/>
  <c r="EZ86" i="20"/>
  <c r="ES86" i="20"/>
  <c r="EL86" i="20"/>
  <c r="EE86" i="20"/>
  <c r="DX86" i="20"/>
  <c r="DQ86" i="20"/>
  <c r="DJ86" i="20"/>
  <c r="DC86" i="20"/>
  <c r="CV86" i="20"/>
  <c r="CO86" i="20"/>
  <c r="CH86" i="20"/>
  <c r="CA86" i="20"/>
  <c r="BT86" i="20"/>
  <c r="BM86" i="20"/>
  <c r="BF86" i="20"/>
  <c r="AY86" i="20"/>
  <c r="AR86" i="20"/>
  <c r="AK86" i="20"/>
  <c r="AD86" i="20"/>
  <c r="HK79" i="20"/>
  <c r="HD79" i="20"/>
  <c r="GW79" i="20"/>
  <c r="GP79" i="20"/>
  <c r="GI79" i="20"/>
  <c r="GB79" i="20"/>
  <c r="FU79" i="20"/>
  <c r="FN79" i="20"/>
  <c r="FG79" i="20"/>
  <c r="EZ79" i="20"/>
  <c r="ES79" i="20"/>
  <c r="EL79" i="20"/>
  <c r="EE79" i="20"/>
  <c r="DX79" i="20"/>
  <c r="DQ79" i="20"/>
  <c r="DJ79" i="20"/>
  <c r="DC79" i="20"/>
  <c r="CV79" i="20"/>
  <c r="CO79" i="20"/>
  <c r="CH79" i="20"/>
  <c r="CA79" i="20"/>
  <c r="BT79" i="20"/>
  <c r="BM79" i="20"/>
  <c r="BF79" i="20"/>
  <c r="AY79" i="20"/>
  <c r="AR79" i="20"/>
  <c r="AK79" i="20"/>
  <c r="AD79" i="20"/>
  <c r="HK72" i="20"/>
  <c r="HD72" i="20"/>
  <c r="GW72" i="20"/>
  <c r="GP72" i="20"/>
  <c r="GI72" i="20"/>
  <c r="GB72" i="20"/>
  <c r="FU72" i="20"/>
  <c r="FN72" i="20"/>
  <c r="FG72" i="20"/>
  <c r="EZ72" i="20"/>
  <c r="ES72" i="20"/>
  <c r="EL72" i="20"/>
  <c r="EE72" i="20"/>
  <c r="DX72" i="20"/>
  <c r="DQ72" i="20"/>
  <c r="DJ72" i="20"/>
  <c r="DC72" i="20"/>
  <c r="CV72" i="20"/>
  <c r="CO72" i="20"/>
  <c r="CH72" i="20"/>
  <c r="CA72" i="20"/>
  <c r="BT72" i="20"/>
  <c r="BM72" i="20"/>
  <c r="BF72" i="20"/>
  <c r="AY72" i="20"/>
  <c r="AR72" i="20"/>
  <c r="AK72" i="20"/>
  <c r="AD72" i="20"/>
  <c r="HK65" i="20"/>
  <c r="HD65" i="20"/>
  <c r="GW65" i="20"/>
  <c r="GP65" i="20"/>
  <c r="GI65" i="20"/>
  <c r="GB65" i="20"/>
  <c r="FU65" i="20"/>
  <c r="FN65" i="20"/>
  <c r="FG65" i="20"/>
  <c r="EZ65" i="20"/>
  <c r="ES65" i="20"/>
  <c r="EL65" i="20"/>
  <c r="EE65" i="20"/>
  <c r="DX65" i="20"/>
  <c r="DQ65" i="20"/>
  <c r="DJ65" i="20"/>
  <c r="DC65" i="20"/>
  <c r="CV65" i="20"/>
  <c r="CO65" i="20"/>
  <c r="CH65" i="20"/>
  <c r="CA65" i="20"/>
  <c r="BT65" i="20"/>
  <c r="BM65" i="20"/>
  <c r="BF65" i="20"/>
  <c r="AY65" i="20"/>
  <c r="AR65" i="20"/>
  <c r="AK65" i="20"/>
  <c r="AD65" i="20"/>
  <c r="HK58" i="20"/>
  <c r="HD58" i="20"/>
  <c r="GW58" i="20"/>
  <c r="GP58" i="20"/>
  <c r="GI58" i="20"/>
  <c r="GB58" i="20"/>
  <c r="FU58" i="20"/>
  <c r="FN58" i="20"/>
  <c r="FG58" i="20"/>
  <c r="EZ58" i="20"/>
  <c r="ES58" i="20"/>
  <c r="EL58" i="20"/>
  <c r="EE58" i="20"/>
  <c r="DX58" i="20"/>
  <c r="DQ58" i="20"/>
  <c r="DJ58" i="20"/>
  <c r="DC58" i="20"/>
  <c r="CV58" i="20"/>
  <c r="CO58" i="20"/>
  <c r="CH58" i="20"/>
  <c r="CA58" i="20"/>
  <c r="BT58" i="20"/>
  <c r="BM58" i="20"/>
  <c r="BF58" i="20"/>
  <c r="AY58" i="20"/>
  <c r="AR58" i="20"/>
  <c r="AK58" i="20"/>
  <c r="AD58" i="20"/>
  <c r="HK51" i="20"/>
  <c r="HD51" i="20"/>
  <c r="GW51" i="20"/>
  <c r="GP51" i="20"/>
  <c r="GI51" i="20"/>
  <c r="GB51" i="20"/>
  <c r="FU51" i="20"/>
  <c r="FN51" i="20"/>
  <c r="FG51" i="20"/>
  <c r="EZ51" i="20"/>
  <c r="ES51" i="20"/>
  <c r="EL51" i="20"/>
  <c r="EE51" i="20"/>
  <c r="DX51" i="20"/>
  <c r="DQ51" i="20"/>
  <c r="DJ51" i="20"/>
  <c r="DC51" i="20"/>
  <c r="CV51" i="20"/>
  <c r="CO51" i="20"/>
  <c r="CH51" i="20"/>
  <c r="CA51" i="20"/>
  <c r="BT51" i="20"/>
  <c r="BM51" i="20"/>
  <c r="BF51" i="20"/>
  <c r="AY51" i="20"/>
  <c r="AR51" i="20"/>
  <c r="AK51" i="20"/>
  <c r="AD51" i="20"/>
  <c r="HK44" i="20"/>
  <c r="HD44" i="20"/>
  <c r="GW44" i="20"/>
  <c r="GP44" i="20"/>
  <c r="GI44" i="20"/>
  <c r="GB44" i="20"/>
  <c r="FU44" i="20"/>
  <c r="FN44" i="20"/>
  <c r="FG44" i="20"/>
  <c r="EZ44" i="20"/>
  <c r="ES44" i="20"/>
  <c r="EL44" i="20"/>
  <c r="EE44" i="20"/>
  <c r="DX44" i="20"/>
  <c r="DQ44" i="20"/>
  <c r="DJ44" i="20"/>
  <c r="DC44" i="20"/>
  <c r="CV44" i="20"/>
  <c r="CO44" i="20"/>
  <c r="CH44" i="20"/>
  <c r="CA44" i="20"/>
  <c r="BT44" i="20"/>
  <c r="BM44" i="20"/>
  <c r="BF44" i="20"/>
  <c r="AY44" i="20"/>
  <c r="AR44" i="20"/>
  <c r="AK44" i="20"/>
  <c r="AD44" i="20"/>
  <c r="HK37" i="20"/>
  <c r="HD37" i="20"/>
  <c r="GW37" i="20"/>
  <c r="GP37" i="20"/>
  <c r="GI37" i="20"/>
  <c r="GB37" i="20"/>
  <c r="FU37" i="20"/>
  <c r="FN37" i="20"/>
  <c r="FG37" i="20"/>
  <c r="EZ37" i="20"/>
  <c r="ES37" i="20"/>
  <c r="EL37" i="20"/>
  <c r="EE37" i="20"/>
  <c r="DX37" i="20"/>
  <c r="DQ37" i="20"/>
  <c r="DJ37" i="20"/>
  <c r="DC37" i="20"/>
  <c r="CV37" i="20"/>
  <c r="CO37" i="20"/>
  <c r="CH37" i="20"/>
  <c r="CA37" i="20"/>
  <c r="BT37" i="20"/>
  <c r="BM37" i="20"/>
  <c r="BF37" i="20"/>
  <c r="AY37" i="20"/>
  <c r="AR37" i="20"/>
  <c r="AK37" i="20"/>
  <c r="AD37" i="20"/>
  <c r="HK30" i="20"/>
  <c r="HD30" i="20"/>
  <c r="GW30" i="20"/>
  <c r="GP30" i="20"/>
  <c r="GI30" i="20"/>
  <c r="GB30" i="20"/>
  <c r="FU30" i="20"/>
  <c r="FN30" i="20"/>
  <c r="FG30" i="20"/>
  <c r="EZ30" i="20"/>
  <c r="ES30" i="20"/>
  <c r="EL30" i="20"/>
  <c r="EE30" i="20"/>
  <c r="DX30" i="20"/>
  <c r="DQ30" i="20"/>
  <c r="DJ30" i="20"/>
  <c r="DC30" i="20"/>
  <c r="CV30" i="20"/>
  <c r="CO30" i="20"/>
  <c r="CH30" i="20"/>
  <c r="CA30" i="20"/>
  <c r="BT30" i="20"/>
  <c r="BM30" i="20"/>
  <c r="BF30" i="20"/>
  <c r="AY30" i="20"/>
  <c r="AR30" i="20"/>
  <c r="AK30" i="20"/>
  <c r="AD30" i="20"/>
  <c r="HK23" i="20"/>
  <c r="HD23" i="20"/>
  <c r="GW23" i="20"/>
  <c r="GP23" i="20"/>
  <c r="GI23" i="20"/>
  <c r="GB23" i="20"/>
  <c r="FU23" i="20"/>
  <c r="FN23" i="20"/>
  <c r="FG23" i="20"/>
  <c r="EZ23" i="20"/>
  <c r="ES23" i="20"/>
  <c r="EL23" i="20"/>
  <c r="EE23" i="20"/>
  <c r="DX23" i="20"/>
  <c r="DQ23" i="20"/>
  <c r="DJ23" i="20"/>
  <c r="DC23" i="20"/>
  <c r="CV23" i="20"/>
  <c r="CO23" i="20"/>
  <c r="CH23" i="20"/>
  <c r="CA23" i="20"/>
  <c r="BT23" i="20"/>
  <c r="BM23" i="20"/>
  <c r="BF23" i="20"/>
  <c r="AY23" i="20"/>
  <c r="AR23" i="20"/>
  <c r="AK23" i="20"/>
  <c r="AD23" i="20"/>
  <c r="C227" i="20"/>
  <c r="C220" i="20"/>
  <c r="C213" i="20"/>
  <c r="C206" i="20"/>
  <c r="C199" i="20"/>
  <c r="C192" i="20"/>
  <c r="C185" i="20"/>
  <c r="C178" i="20"/>
  <c r="C171" i="20"/>
  <c r="C164" i="20"/>
  <c r="C157" i="20"/>
  <c r="C30" i="20"/>
  <c r="C37" i="20" s="1"/>
  <c r="C44" i="20" s="1"/>
  <c r="C51" i="20" s="1"/>
  <c r="C58" i="20" s="1"/>
  <c r="C65" i="20" s="1"/>
  <c r="C72" i="20" s="1"/>
  <c r="C79" i="20" s="1"/>
  <c r="C86" i="20" s="1"/>
  <c r="C93" i="20" s="1"/>
  <c r="C100" i="20" s="1"/>
  <c r="C107" i="20" s="1"/>
  <c r="C114" i="20" s="1"/>
  <c r="C121" i="20" s="1"/>
  <c r="C128" i="20" s="1"/>
  <c r="C135" i="20" s="1"/>
  <c r="C142" i="20" s="1"/>
  <c r="BU20" i="23" l="1"/>
  <c r="BT20" i="23"/>
  <c r="FT116" i="20" l="1"/>
  <c r="FT102" i="20"/>
  <c r="FT67" i="20"/>
  <c r="BS95" i="20"/>
  <c r="BS102" i="20"/>
  <c r="BS116" i="20"/>
  <c r="BS67" i="20"/>
  <c r="FT81" i="20"/>
  <c r="FT74" i="20"/>
  <c r="FT60" i="20"/>
  <c r="FT18" i="20"/>
  <c r="BL102" i="20"/>
  <c r="BS60" i="20"/>
  <c r="BS88" i="20"/>
  <c r="BS81" i="20"/>
  <c r="BS74" i="20"/>
  <c r="BS18" i="20"/>
  <c r="FT137" i="20" l="1"/>
  <c r="FT130" i="20"/>
  <c r="FT123" i="20"/>
  <c r="FM222" i="20" l="1"/>
  <c r="FM215" i="20"/>
  <c r="FM208" i="20"/>
  <c r="FM201" i="20"/>
  <c r="FM194" i="20"/>
  <c r="FM187" i="20"/>
  <c r="FM180" i="20"/>
  <c r="FM173" i="20"/>
  <c r="FM166" i="20"/>
  <c r="FM159" i="20"/>
  <c r="FM152" i="20"/>
  <c r="FM145" i="20"/>
  <c r="FM137" i="20"/>
  <c r="FM130" i="20"/>
  <c r="FM123" i="20"/>
  <c r="FM116" i="20"/>
  <c r="FM109" i="20"/>
  <c r="FM102" i="20"/>
  <c r="FM95" i="20"/>
  <c r="FM88" i="20"/>
  <c r="FM81" i="20"/>
  <c r="FM74" i="20"/>
  <c r="FM67" i="20"/>
  <c r="FM60" i="20"/>
  <c r="FM53" i="20"/>
  <c r="FM46" i="20"/>
  <c r="FM39" i="20"/>
  <c r="FM32" i="20"/>
  <c r="FM25" i="20"/>
  <c r="FM18" i="20"/>
  <c r="BS137" i="20"/>
  <c r="BS130" i="20"/>
  <c r="BS123" i="20"/>
  <c r="BL222" i="20" l="1"/>
  <c r="BL215" i="20"/>
  <c r="BL208" i="20"/>
  <c r="BL201" i="20"/>
  <c r="BL194" i="20"/>
  <c r="BL187" i="20"/>
  <c r="BL180" i="20"/>
  <c r="BL173" i="20"/>
  <c r="BL166" i="20"/>
  <c r="BL159" i="20"/>
  <c r="BL152" i="20"/>
  <c r="BL145" i="20"/>
  <c r="BL137" i="20"/>
  <c r="BL130" i="20"/>
  <c r="BL123" i="20"/>
  <c r="BL116" i="20"/>
  <c r="BL109" i="20"/>
  <c r="BL95" i="20"/>
  <c r="BL88" i="20"/>
  <c r="BL81" i="20"/>
  <c r="BL74" i="20"/>
  <c r="BL67" i="20"/>
  <c r="BL60" i="20"/>
  <c r="BL53" i="20"/>
  <c r="BL46" i="20"/>
  <c r="BL39" i="20"/>
  <c r="BL32" i="20"/>
  <c r="BL25" i="20"/>
  <c r="BL18" i="20"/>
  <c r="BW405" i="22" l="1"/>
  <c r="CA405" i="22" s="1"/>
  <c r="BW394" i="22"/>
  <c r="CA394" i="22" s="1"/>
  <c r="BW378" i="22"/>
  <c r="CA378" i="22" s="1"/>
  <c r="BW44" i="22"/>
  <c r="CA44" i="22" s="1"/>
  <c r="BW33" i="22"/>
  <c r="BV33" i="22" s="1"/>
  <c r="CA33" i="22" l="1"/>
  <c r="X405" i="22"/>
  <c r="BV405" i="22"/>
  <c r="X394" i="22"/>
  <c r="BV394" i="22"/>
  <c r="BW362" i="22" l="1"/>
  <c r="CA362" i="22" s="1"/>
  <c r="BV378" i="22"/>
  <c r="BW353" i="22"/>
  <c r="CA353" i="22" s="1"/>
  <c r="X378" i="22" l="1"/>
  <c r="X362" i="22"/>
  <c r="BV362" i="22" l="1"/>
  <c r="BW334" i="22"/>
  <c r="BW327" i="22"/>
  <c r="CA327" i="22" s="1"/>
  <c r="CA334" i="22" l="1"/>
  <c r="X334" i="22"/>
  <c r="BW20" i="22"/>
  <c r="BW57" i="22"/>
  <c r="CA57" i="22" s="1"/>
  <c r="BW62" i="22"/>
  <c r="CA62" i="22" s="1"/>
  <c r="BW75" i="22"/>
  <c r="CA75" i="22" s="1"/>
  <c r="BW88" i="22"/>
  <c r="CA88" i="22" s="1"/>
  <c r="BW107" i="22"/>
  <c r="BW110" i="22"/>
  <c r="X107" i="22" l="1"/>
  <c r="CA107" i="22"/>
  <c r="X110" i="22"/>
  <c r="CA110" i="22"/>
  <c r="X20" i="22"/>
  <c r="CA20" i="22"/>
  <c r="X88" i="22"/>
  <c r="BV114" i="22" l="1"/>
  <c r="BV112" i="22"/>
  <c r="BV111" i="22"/>
  <c r="BV109" i="22"/>
  <c r="BV108" i="22"/>
  <c r="BV106" i="22"/>
  <c r="BV103" i="22"/>
  <c r="BV102" i="22"/>
  <c r="BV101" i="22"/>
  <c r="BV100" i="22"/>
  <c r="BV99" i="22"/>
  <c r="BV98" i="22"/>
  <c r="BV97" i="22"/>
  <c r="BV96" i="22"/>
  <c r="BV95" i="22"/>
  <c r="BV94" i="22"/>
  <c r="BV93" i="22"/>
  <c r="BV92" i="22"/>
  <c r="BV91" i="22"/>
  <c r="BW116" i="22"/>
  <c r="X75" i="22"/>
  <c r="BV90" i="22"/>
  <c r="BV89" i="22"/>
  <c r="BV87" i="22"/>
  <c r="BV86" i="22"/>
  <c r="BV74" i="22"/>
  <c r="BV73" i="22"/>
  <c r="BV72" i="22"/>
  <c r="BV71" i="22"/>
  <c r="BV70" i="22"/>
  <c r="BV69" i="22"/>
  <c r="BV68" i="22"/>
  <c r="BV67" i="22"/>
  <c r="BV66" i="22"/>
  <c r="BV65" i="22"/>
  <c r="BV64" i="22"/>
  <c r="BV63" i="22"/>
  <c r="BV61" i="22"/>
  <c r="BV60" i="22"/>
  <c r="BV83" i="22"/>
  <c r="BV82" i="22"/>
  <c r="BV81" i="22"/>
  <c r="BV80" i="22"/>
  <c r="BV79" i="22"/>
  <c r="BV78" i="22"/>
  <c r="BV77" i="22"/>
  <c r="BV76" i="22"/>
  <c r="BV85" i="22"/>
  <c r="BV84" i="22"/>
  <c r="X116" i="22" l="1"/>
  <c r="CA116" i="22"/>
  <c r="BV432" i="22"/>
  <c r="BV418" i="22"/>
  <c r="BV417" i="22"/>
  <c r="BV416" i="22"/>
  <c r="BW414" i="22"/>
  <c r="BV357" i="22"/>
  <c r="BV356" i="22"/>
  <c r="BV355" i="22"/>
  <c r="X353" i="22"/>
  <c r="BW342" i="22"/>
  <c r="X327" i="22"/>
  <c r="BW320" i="22"/>
  <c r="BW310" i="22"/>
  <c r="BW301" i="22"/>
  <c r="BW294" i="22"/>
  <c r="BW287" i="22"/>
  <c r="BW278" i="22"/>
  <c r="BW269" i="22"/>
  <c r="BW260" i="22"/>
  <c r="BW251" i="22"/>
  <c r="BW238" i="22"/>
  <c r="BW228" i="22"/>
  <c r="BW219" i="22"/>
  <c r="BW212" i="22"/>
  <c r="BW205" i="22"/>
  <c r="BW196" i="22"/>
  <c r="BW186" i="22"/>
  <c r="BW177" i="22"/>
  <c r="BV171" i="22"/>
  <c r="BV170" i="22"/>
  <c r="BW168" i="22"/>
  <c r="BV167" i="22"/>
  <c r="BV161" i="22"/>
  <c r="BV154" i="22"/>
  <c r="BV153" i="22"/>
  <c r="BW151" i="22"/>
  <c r="BV150" i="22"/>
  <c r="BV144" i="22"/>
  <c r="BV141" i="22"/>
  <c r="BV140" i="22"/>
  <c r="BW138" i="22"/>
  <c r="BW129" i="22"/>
  <c r="BV115" i="22"/>
  <c r="BV59" i="22"/>
  <c r="BV56" i="22"/>
  <c r="BV53" i="22"/>
  <c r="BV48" i="22"/>
  <c r="BV47" i="22"/>
  <c r="BV46" i="22"/>
  <c r="X44" i="22"/>
  <c r="BV43" i="22"/>
  <c r="BV42" i="22"/>
  <c r="BV37" i="22"/>
  <c r="BV36" i="22"/>
  <c r="BV35" i="22"/>
  <c r="X33" i="22"/>
  <c r="CA342" i="22" l="1"/>
  <c r="X342" i="22"/>
  <c r="CA414" i="22"/>
  <c r="BW14" i="22"/>
  <c r="X301" i="22"/>
  <c r="CA301" i="22"/>
  <c r="X260" i="22"/>
  <c r="CA260" i="22"/>
  <c r="X129" i="22"/>
  <c r="CA129" i="22"/>
  <c r="X219" i="22"/>
  <c r="CA219" i="22"/>
  <c r="X228" i="22"/>
  <c r="CA228" i="22"/>
  <c r="X196" i="22"/>
  <c r="CA196" i="22"/>
  <c r="X251" i="22"/>
  <c r="CA251" i="22"/>
  <c r="X168" i="22"/>
  <c r="CA168" i="22"/>
  <c r="X205" i="22"/>
  <c r="CA205" i="22"/>
  <c r="X310" i="22"/>
  <c r="CA310" i="22"/>
  <c r="X151" i="22"/>
  <c r="CA151" i="22"/>
  <c r="X212" i="22"/>
  <c r="CA212" i="22"/>
  <c r="X269" i="22"/>
  <c r="CA269" i="22"/>
  <c r="X320" i="22"/>
  <c r="CA320" i="22"/>
  <c r="X138" i="22"/>
  <c r="CA138" i="22"/>
  <c r="X278" i="22"/>
  <c r="CA278" i="22"/>
  <c r="X177" i="22"/>
  <c r="CA177" i="22"/>
  <c r="X287" i="22"/>
  <c r="CA287" i="22"/>
  <c r="X186" i="22"/>
  <c r="CA186" i="22"/>
  <c r="X238" i="22"/>
  <c r="CA238" i="22"/>
  <c r="X294" i="22"/>
  <c r="CA294" i="22"/>
  <c r="BV278" i="22"/>
  <c r="BV414" i="22"/>
  <c r="BV269" i="22"/>
  <c r="BV320" i="22"/>
  <c r="BV334" i="22"/>
  <c r="BV219" i="22"/>
  <c r="BV228" i="22"/>
  <c r="BV238" i="22"/>
  <c r="BV327" i="22"/>
  <c r="BV353" i="22"/>
  <c r="BV205" i="22"/>
  <c r="BV287" i="22"/>
  <c r="BV294" i="22"/>
  <c r="BV301" i="22"/>
  <c r="BV342" i="22"/>
  <c r="BV196" i="22"/>
  <c r="BV186" i="22"/>
  <c r="BV212" i="22"/>
  <c r="BV260" i="22"/>
  <c r="BV251" i="22"/>
  <c r="BV310" i="22"/>
  <c r="X414" i="22"/>
  <c r="X57" i="22"/>
  <c r="BV177" i="22" l="1"/>
  <c r="BV168" i="22" l="1"/>
  <c r="BV129" i="22" l="1"/>
  <c r="BV107" i="22"/>
  <c r="BV151" i="22"/>
  <c r="BV138" i="22" l="1"/>
  <c r="BV110" i="22" l="1"/>
  <c r="BV88" i="22"/>
  <c r="BV116" i="22"/>
  <c r="BV57" i="22" l="1"/>
  <c r="BV62" i="22"/>
  <c r="BV75" i="22"/>
  <c r="BV20" i="22" l="1"/>
  <c r="CA14" i="22"/>
  <c r="HC222" i="20" l="1"/>
  <c r="HC215" i="20"/>
  <c r="HC208" i="20"/>
  <c r="HC201" i="20"/>
  <c r="HC194" i="20"/>
  <c r="HC187" i="20"/>
  <c r="HC180" i="20"/>
  <c r="HC173" i="20"/>
  <c r="HC166" i="20"/>
  <c r="HC159" i="20"/>
  <c r="HC152" i="20"/>
  <c r="HC145" i="20"/>
  <c r="HC137" i="20"/>
  <c r="HC130" i="20"/>
  <c r="HC123" i="20"/>
  <c r="HC116" i="20"/>
  <c r="HC109" i="20"/>
  <c r="HC102" i="20"/>
  <c r="HC95" i="20"/>
  <c r="HC88" i="20"/>
  <c r="HC81" i="20"/>
  <c r="HC74" i="20"/>
  <c r="HC67" i="20"/>
  <c r="HC60" i="20"/>
  <c r="HC53" i="20"/>
  <c r="HC46" i="20"/>
  <c r="HC39" i="20"/>
  <c r="HC32" i="20"/>
  <c r="HC25" i="20"/>
  <c r="HC18" i="20"/>
  <c r="DP222" i="20"/>
  <c r="DP215" i="20"/>
  <c r="DP208" i="20"/>
  <c r="DP201" i="20"/>
  <c r="DP194" i="20"/>
  <c r="DP187" i="20"/>
  <c r="DP180" i="20"/>
  <c r="DP173" i="20"/>
  <c r="DP166" i="20"/>
  <c r="DP159" i="20"/>
  <c r="DP152" i="20"/>
  <c r="DP145" i="20"/>
  <c r="DP137" i="20"/>
  <c r="DP130" i="20"/>
  <c r="DP123" i="20"/>
  <c r="DP116" i="20"/>
  <c r="DP109" i="20"/>
  <c r="DP102" i="20"/>
  <c r="DP95" i="20"/>
  <c r="DP88" i="20"/>
  <c r="DP81" i="20"/>
  <c r="DP74" i="20"/>
  <c r="DP67" i="20"/>
  <c r="DP60" i="20"/>
  <c r="DP53" i="20"/>
  <c r="DP46" i="20"/>
  <c r="DP39" i="20"/>
  <c r="DP32" i="20"/>
  <c r="DP25" i="20"/>
  <c r="DP18" i="20"/>
  <c r="ED222" i="20"/>
  <c r="ED215" i="20"/>
  <c r="ED208" i="20"/>
  <c r="ED201" i="20"/>
  <c r="ED194" i="20"/>
  <c r="ED187" i="20"/>
  <c r="ED180" i="20"/>
  <c r="ED173" i="20"/>
  <c r="ED166" i="20"/>
  <c r="ED159" i="20"/>
  <c r="ED152" i="20"/>
  <c r="ED145" i="20"/>
  <c r="ED137" i="20"/>
  <c r="ED130" i="20"/>
  <c r="ED123" i="20"/>
  <c r="ED116" i="20"/>
  <c r="ED109" i="20"/>
  <c r="ED102" i="20"/>
  <c r="ED95" i="20"/>
  <c r="ED88" i="20"/>
  <c r="ED81" i="20"/>
  <c r="ED74" i="20"/>
  <c r="ED67" i="20"/>
  <c r="ED60" i="20"/>
  <c r="ED53" i="20"/>
  <c r="ED46" i="20"/>
  <c r="ED39" i="20"/>
  <c r="ED32" i="20"/>
  <c r="ED25" i="20"/>
  <c r="ED18" i="20"/>
  <c r="CU222" i="20"/>
  <c r="CU215" i="20"/>
  <c r="CU208" i="20"/>
  <c r="CU201" i="20"/>
  <c r="CU194" i="20"/>
  <c r="CU187" i="20"/>
  <c r="CU180" i="20"/>
  <c r="CU173" i="20"/>
  <c r="CU166" i="20"/>
  <c r="CU159" i="20"/>
  <c r="CU152" i="20"/>
  <c r="CU145" i="20"/>
  <c r="CU137" i="20"/>
  <c r="CU130" i="20"/>
  <c r="CU123" i="20"/>
  <c r="CU116" i="20"/>
  <c r="CU109" i="20"/>
  <c r="CU102" i="20"/>
  <c r="CU95" i="20"/>
  <c r="CU88" i="20"/>
  <c r="CU81" i="20"/>
  <c r="CU74" i="20"/>
  <c r="CU67" i="20"/>
  <c r="CU60" i="20"/>
  <c r="CU53" i="20"/>
  <c r="CU46" i="20"/>
  <c r="CU39" i="20"/>
  <c r="CU32" i="20"/>
  <c r="CU25" i="20"/>
  <c r="CU18" i="20"/>
  <c r="DI222" i="20"/>
  <c r="DI215" i="20"/>
  <c r="DI208" i="20"/>
  <c r="DI201" i="20"/>
  <c r="DI194" i="20"/>
  <c r="DI187" i="20"/>
  <c r="DI180" i="20"/>
  <c r="DI173" i="20"/>
  <c r="DI166" i="20"/>
  <c r="DI159" i="20"/>
  <c r="DI152" i="20"/>
  <c r="DI145" i="20"/>
  <c r="DI137" i="20"/>
  <c r="DI130" i="20"/>
  <c r="DI123" i="20"/>
  <c r="DI116" i="20"/>
  <c r="DI109" i="20"/>
  <c r="DI102" i="20"/>
  <c r="DI95" i="20"/>
  <c r="DI88" i="20"/>
  <c r="DI81" i="20"/>
  <c r="DI74" i="20"/>
  <c r="DI67" i="20"/>
  <c r="DI60" i="20"/>
  <c r="DI53" i="20"/>
  <c r="DI46" i="20"/>
  <c r="DI39" i="20"/>
  <c r="DI32" i="20"/>
  <c r="DI25" i="20"/>
  <c r="DI18" i="20"/>
  <c r="BZ222" i="20"/>
  <c r="BZ215" i="20"/>
  <c r="BZ208" i="20"/>
  <c r="BZ201" i="20"/>
  <c r="BZ194" i="20"/>
  <c r="BZ187" i="20"/>
  <c r="BZ180" i="20"/>
  <c r="BZ173" i="20"/>
  <c r="BZ166" i="20"/>
  <c r="BZ159" i="20"/>
  <c r="BZ152" i="20"/>
  <c r="BZ145" i="20"/>
  <c r="BZ137" i="20"/>
  <c r="BZ130" i="20"/>
  <c r="BZ123" i="20"/>
  <c r="BZ116" i="20"/>
  <c r="BZ109" i="20"/>
  <c r="BZ102" i="20"/>
  <c r="BZ95" i="20"/>
  <c r="BZ88" i="20"/>
  <c r="BZ81" i="20"/>
  <c r="BZ74" i="20"/>
  <c r="BZ67" i="20"/>
  <c r="BZ60" i="20"/>
  <c r="BZ53" i="20"/>
  <c r="BZ46" i="20"/>
  <c r="BZ39" i="20"/>
  <c r="BZ32" i="20"/>
  <c r="BZ25" i="20"/>
  <c r="BZ18" i="20"/>
  <c r="HX18" i="20" l="1"/>
  <c r="HX222" i="20"/>
  <c r="HX215" i="20"/>
  <c r="HX208" i="20"/>
  <c r="HX201" i="20"/>
  <c r="HX194" i="20"/>
  <c r="HX187" i="20"/>
  <c r="HX180" i="20"/>
  <c r="HX173" i="20"/>
  <c r="HX166" i="20"/>
  <c r="HX159" i="20"/>
  <c r="HX152" i="20"/>
  <c r="HX145" i="20"/>
  <c r="GV137" i="20" l="1"/>
  <c r="GV130" i="20"/>
  <c r="GV123" i="20"/>
  <c r="GV116" i="20"/>
  <c r="GV109" i="20"/>
  <c r="GV102" i="20"/>
  <c r="GV95" i="20"/>
  <c r="GV88" i="20"/>
  <c r="GV81" i="20"/>
  <c r="GV74" i="20"/>
  <c r="GV67" i="20"/>
  <c r="GV60" i="20"/>
  <c r="GV53" i="20"/>
  <c r="GV46" i="20"/>
  <c r="GV39" i="20"/>
  <c r="GV32" i="20"/>
  <c r="GV25" i="20"/>
  <c r="GV18" i="20"/>
  <c r="HJ137" i="20"/>
  <c r="HJ130" i="20"/>
  <c r="HJ123" i="20"/>
  <c r="HJ116" i="20"/>
  <c r="HJ109" i="20"/>
  <c r="HJ102" i="20"/>
  <c r="HJ95" i="20"/>
  <c r="HJ88" i="20"/>
  <c r="HJ81" i="20"/>
  <c r="HJ74" i="20"/>
  <c r="HJ67" i="20"/>
  <c r="HJ60" i="20"/>
  <c r="HJ53" i="20"/>
  <c r="HJ46" i="20"/>
  <c r="HJ39" i="20"/>
  <c r="HJ32" i="20"/>
  <c r="HJ25" i="20" l="1"/>
  <c r="HJ18" i="20"/>
  <c r="HX137" i="20"/>
  <c r="HX130" i="20"/>
  <c r="HX123" i="20"/>
  <c r="HX116" i="20"/>
  <c r="HX109" i="20"/>
  <c r="HX102" i="20"/>
  <c r="HX95" i="20"/>
  <c r="HX88" i="20"/>
  <c r="HX81" i="20"/>
  <c r="HX74" i="20"/>
  <c r="HX67" i="20"/>
  <c r="HX60" i="20"/>
  <c r="HX53" i="20"/>
  <c r="HX46" i="20"/>
  <c r="HX39" i="20"/>
  <c r="HX32" i="20"/>
  <c r="HX25" i="20"/>
  <c r="FT222" i="20"/>
  <c r="FT215" i="20"/>
  <c r="FT208" i="20"/>
  <c r="FT201" i="20"/>
  <c r="FT194" i="20"/>
  <c r="FT187" i="20"/>
  <c r="FT180" i="20"/>
  <c r="FT173" i="20"/>
  <c r="FT166" i="20"/>
  <c r="FT159" i="20"/>
  <c r="FT152" i="20"/>
  <c r="FT145" i="20"/>
  <c r="FT109" i="20"/>
  <c r="FT95" i="20"/>
  <c r="FT53" i="20"/>
  <c r="FT46" i="20"/>
  <c r="FT39" i="20"/>
  <c r="FT32" i="20"/>
  <c r="FT25" i="20"/>
  <c r="HQ137" i="20"/>
  <c r="HQ130" i="20"/>
  <c r="HQ123" i="20"/>
  <c r="HQ116" i="20"/>
  <c r="HQ109" i="20"/>
  <c r="HQ102" i="20"/>
  <c r="HQ95" i="20"/>
  <c r="HQ88" i="20"/>
  <c r="HQ81" i="20"/>
  <c r="HQ74" i="20"/>
  <c r="HQ67" i="20"/>
  <c r="HQ60" i="20"/>
  <c r="HQ53" i="20"/>
  <c r="HQ46" i="20"/>
  <c r="HQ39" i="20"/>
  <c r="HQ32" i="20"/>
  <c r="HQ18" i="20"/>
  <c r="GO137" i="20"/>
  <c r="GO130" i="20"/>
  <c r="GO123" i="20"/>
  <c r="GO116" i="20"/>
  <c r="GO109" i="20"/>
  <c r="GO102" i="20"/>
  <c r="GO95" i="20"/>
  <c r="GO88" i="20"/>
  <c r="GO81" i="20"/>
  <c r="GO74" i="20"/>
  <c r="GO67" i="20"/>
  <c r="GO60" i="20"/>
  <c r="GO53" i="20"/>
  <c r="GO46" i="20"/>
  <c r="GO39" i="20"/>
  <c r="GO32" i="20"/>
  <c r="GO25" i="20"/>
  <c r="GO18" i="20"/>
  <c r="GV222" i="20"/>
  <c r="GV215" i="20"/>
  <c r="GV208" i="20"/>
  <c r="GV201" i="20"/>
  <c r="GV194" i="20"/>
  <c r="GV187" i="20"/>
  <c r="GV180" i="20"/>
  <c r="GV173" i="20"/>
  <c r="GV166" i="20"/>
  <c r="GV159" i="20"/>
  <c r="GV152" i="20"/>
  <c r="GV145" i="20"/>
  <c r="HJ222" i="20"/>
  <c r="HJ215" i="20"/>
  <c r="HJ208" i="20"/>
  <c r="HJ201" i="20"/>
  <c r="HJ194" i="20"/>
  <c r="HJ187" i="20"/>
  <c r="HJ180" i="20"/>
  <c r="HJ173" i="20"/>
  <c r="HJ166" i="20"/>
  <c r="HJ159" i="20"/>
  <c r="HJ152" i="20"/>
  <c r="HJ145" i="20"/>
  <c r="HQ222" i="20"/>
  <c r="HQ215" i="20"/>
  <c r="HQ208" i="20"/>
  <c r="HQ201" i="20"/>
  <c r="HQ194" i="20"/>
  <c r="HQ187" i="20"/>
  <c r="HQ180" i="20"/>
  <c r="HQ173" i="20"/>
  <c r="HQ166" i="20"/>
  <c r="HQ159" i="20"/>
  <c r="HQ152" i="20"/>
  <c r="HQ145" i="20"/>
  <c r="HQ25" i="20"/>
  <c r="GH137" i="20"/>
  <c r="GH130" i="20"/>
  <c r="GH123" i="20"/>
  <c r="GH116" i="20"/>
  <c r="GH109" i="20"/>
  <c r="GH102" i="20"/>
  <c r="GH95" i="20"/>
  <c r="GH88" i="20"/>
  <c r="GH81" i="20"/>
  <c r="GH74" i="20"/>
  <c r="GH67" i="20"/>
  <c r="GH60" i="20"/>
  <c r="GH53" i="20"/>
  <c r="GH46" i="20"/>
  <c r="GH39" i="20"/>
  <c r="GH32" i="20"/>
  <c r="GH25" i="20"/>
  <c r="GH18" i="20"/>
  <c r="GA137" i="20"/>
  <c r="GA130" i="20"/>
  <c r="GA123" i="20"/>
  <c r="GA116" i="20"/>
  <c r="GA109" i="20"/>
  <c r="GA102" i="20"/>
  <c r="GA95" i="20"/>
  <c r="GA88" i="20"/>
  <c r="GA81" i="20"/>
  <c r="GA74" i="20"/>
  <c r="GA67" i="20"/>
  <c r="GA60" i="20"/>
  <c r="GA53" i="20"/>
  <c r="GA46" i="20"/>
  <c r="GA39" i="20"/>
  <c r="GA32" i="20"/>
  <c r="GA25" i="20"/>
  <c r="GA18" i="20" l="1"/>
  <c r="FF137" i="20"/>
  <c r="FF130" i="20"/>
  <c r="FF123" i="20"/>
  <c r="FF116" i="20"/>
  <c r="FF109" i="20"/>
  <c r="FF102" i="20"/>
  <c r="FF95" i="20"/>
  <c r="FF88" i="20"/>
  <c r="FF81" i="20"/>
  <c r="FF74" i="20"/>
  <c r="FF67" i="20"/>
  <c r="FF60" i="20"/>
  <c r="FF53" i="20"/>
  <c r="FF46" i="20"/>
  <c r="FF39" i="20"/>
  <c r="FF32" i="20"/>
  <c r="FF18" i="20"/>
  <c r="EY137" i="20"/>
  <c r="EY130" i="20"/>
  <c r="EY123" i="20"/>
  <c r="EY116" i="20"/>
  <c r="EY109" i="20"/>
  <c r="EY102" i="20"/>
  <c r="EY95" i="20"/>
  <c r="EY88" i="20"/>
  <c r="EY81" i="20"/>
  <c r="EY74" i="20"/>
  <c r="EY67" i="20"/>
  <c r="EY60" i="20"/>
  <c r="EY53" i="20"/>
  <c r="EY46" i="20"/>
  <c r="EY39" i="20"/>
  <c r="EY32" i="20"/>
  <c r="EY25" i="20"/>
  <c r="GO222" i="20"/>
  <c r="GO215" i="20"/>
  <c r="GO208" i="20"/>
  <c r="GO201" i="20"/>
  <c r="GO194" i="20"/>
  <c r="GO187" i="20"/>
  <c r="GO180" i="20"/>
  <c r="GO173" i="20"/>
  <c r="GO166" i="20"/>
  <c r="GO159" i="20"/>
  <c r="GO152" i="20"/>
  <c r="GO145" i="20"/>
  <c r="GH222" i="20"/>
  <c r="GH215" i="20"/>
  <c r="GH208" i="20"/>
  <c r="GH201" i="20"/>
  <c r="GH194" i="20"/>
  <c r="GH187" i="20"/>
  <c r="GH180" i="20"/>
  <c r="GH173" i="20"/>
  <c r="GH166" i="20"/>
  <c r="GH159" i="20"/>
  <c r="GH152" i="20"/>
  <c r="GH145" i="20"/>
  <c r="GA222" i="20"/>
  <c r="GA215" i="20"/>
  <c r="GA208" i="20"/>
  <c r="GA201" i="20"/>
  <c r="GA194" i="20"/>
  <c r="GA187" i="20"/>
  <c r="GA180" i="20"/>
  <c r="GA173" i="20"/>
  <c r="GA166" i="20"/>
  <c r="GA159" i="20"/>
  <c r="GA152" i="20"/>
  <c r="GA145" i="20"/>
  <c r="EY18" i="20"/>
  <c r="FF222" i="20" l="1"/>
  <c r="FF215" i="20"/>
  <c r="FF208" i="20"/>
  <c r="FF201" i="20"/>
  <c r="FF194" i="20"/>
  <c r="FF187" i="20"/>
  <c r="FF180" i="20"/>
  <c r="FF173" i="20"/>
  <c r="FF166" i="20"/>
  <c r="FF159" i="20"/>
  <c r="FF152" i="20"/>
  <c r="FF145" i="20"/>
  <c r="FF25" i="20"/>
  <c r="EY222" i="20"/>
  <c r="EY215" i="20"/>
  <c r="EY208" i="20"/>
  <c r="EY201" i="20"/>
  <c r="EY194" i="20"/>
  <c r="EY187" i="20"/>
  <c r="EY180" i="20"/>
  <c r="EY173" i="20"/>
  <c r="EY166" i="20"/>
  <c r="EY159" i="20"/>
  <c r="EY152" i="20"/>
  <c r="EY145" i="20"/>
  <c r="DW137" i="20"/>
  <c r="DW130" i="20"/>
  <c r="DW123" i="20"/>
  <c r="DW116" i="20"/>
  <c r="DW109" i="20"/>
  <c r="DW102" i="20"/>
  <c r="DW95" i="20"/>
  <c r="DW88" i="20"/>
  <c r="DW81" i="20"/>
  <c r="DW74" i="20"/>
  <c r="DW67" i="20"/>
  <c r="DW60" i="20"/>
  <c r="DW53" i="20"/>
  <c r="DW46" i="20"/>
  <c r="DW39" i="20"/>
  <c r="DW32" i="20"/>
  <c r="DW25" i="20"/>
  <c r="EK137" i="20" l="1"/>
  <c r="EK130" i="20"/>
  <c r="EK123" i="20"/>
  <c r="EK116" i="20"/>
  <c r="EK109" i="20"/>
  <c r="EK102" i="20"/>
  <c r="EK95" i="20"/>
  <c r="EK88" i="20"/>
  <c r="EK81" i="20"/>
  <c r="EK74" i="20"/>
  <c r="EK67" i="20"/>
  <c r="EK60" i="20"/>
  <c r="EK53" i="20"/>
  <c r="EK46" i="20"/>
  <c r="EK39" i="20"/>
  <c r="EK32" i="20"/>
  <c r="EK25" i="20"/>
  <c r="ER109" i="20"/>
  <c r="ER137" i="20"/>
  <c r="ER130" i="20"/>
  <c r="ER123" i="20"/>
  <c r="ER116" i="20"/>
  <c r="ER102" i="20"/>
  <c r="ER95" i="20"/>
  <c r="ER88" i="20"/>
  <c r="ER81" i="20"/>
  <c r="ER74" i="20"/>
  <c r="ER67" i="20"/>
  <c r="ER60" i="20"/>
  <c r="ER53" i="20"/>
  <c r="ER46" i="20"/>
  <c r="ER39" i="20"/>
  <c r="ER32" i="20"/>
  <c r="ER25" i="20"/>
  <c r="BS222" i="20"/>
  <c r="BS215" i="20"/>
  <c r="BS208" i="20"/>
  <c r="BS201" i="20"/>
  <c r="BS194" i="20"/>
  <c r="BS187" i="20"/>
  <c r="BS180" i="20"/>
  <c r="BS173" i="20"/>
  <c r="BS166" i="20"/>
  <c r="BS159" i="20"/>
  <c r="BS152" i="20"/>
  <c r="BS145" i="20"/>
  <c r="BS109" i="20"/>
  <c r="BS53" i="20"/>
  <c r="BS46" i="20"/>
  <c r="BS39" i="20"/>
  <c r="BS32" i="20"/>
  <c r="BS25" i="20"/>
  <c r="DW222" i="20"/>
  <c r="DW215" i="20"/>
  <c r="DW208" i="20"/>
  <c r="DW201" i="20"/>
  <c r="DW194" i="20"/>
  <c r="DW187" i="20"/>
  <c r="DW180" i="20"/>
  <c r="DW173" i="20"/>
  <c r="DW166" i="20"/>
  <c r="DW159" i="20"/>
  <c r="DW152" i="20"/>
  <c r="DW145" i="20"/>
  <c r="DW18" i="20"/>
  <c r="EK222" i="20"/>
  <c r="EK215" i="20"/>
  <c r="EK208" i="20"/>
  <c r="EK201" i="20"/>
  <c r="EK194" i="20"/>
  <c r="EK187" i="20"/>
  <c r="EK180" i="20"/>
  <c r="EK173" i="20"/>
  <c r="EK166" i="20"/>
  <c r="EK159" i="20"/>
  <c r="EK152" i="20"/>
  <c r="EK145" i="20"/>
  <c r="EK18" i="20"/>
  <c r="ER18" i="20"/>
  <c r="CN137" i="20"/>
  <c r="CN130" i="20"/>
  <c r="CN123" i="20"/>
  <c r="CN116" i="20"/>
  <c r="CN109" i="20"/>
  <c r="CN102" i="20"/>
  <c r="CN95" i="20"/>
  <c r="CN88" i="20"/>
  <c r="CN81" i="20"/>
  <c r="CN74" i="20"/>
  <c r="CN67" i="20"/>
  <c r="CN60" i="20"/>
  <c r="CN53" i="20"/>
  <c r="CN46" i="20"/>
  <c r="CN39" i="20"/>
  <c r="CN32" i="20"/>
  <c r="CN25" i="20"/>
  <c r="CN18" i="20"/>
  <c r="CG137" i="20"/>
  <c r="CG130" i="20"/>
  <c r="CG123" i="20"/>
  <c r="CG116" i="20"/>
  <c r="CG109" i="20"/>
  <c r="CG102" i="20"/>
  <c r="CG95" i="20"/>
  <c r="CG88" i="20"/>
  <c r="CG81" i="20"/>
  <c r="CG74" i="20"/>
  <c r="CG67" i="20"/>
  <c r="CG60" i="20"/>
  <c r="CG53" i="20"/>
  <c r="CG46" i="20"/>
  <c r="CG39" i="20"/>
  <c r="CG32" i="20"/>
  <c r="CG25" i="20"/>
  <c r="CG18" i="20" l="1"/>
  <c r="ER222" i="20"/>
  <c r="ER215" i="20"/>
  <c r="ER208" i="20"/>
  <c r="ER201" i="20"/>
  <c r="ER194" i="20"/>
  <c r="ER187" i="20"/>
  <c r="ER180" i="20"/>
  <c r="ER173" i="20"/>
  <c r="ER166" i="20"/>
  <c r="ER159" i="20"/>
  <c r="ER152" i="20"/>
  <c r="ER145" i="20"/>
  <c r="CN222" i="20"/>
  <c r="CN215" i="20"/>
  <c r="CN208" i="20"/>
  <c r="CN201" i="20"/>
  <c r="CN194" i="20"/>
  <c r="CN187" i="20"/>
  <c r="CN180" i="20"/>
  <c r="CN173" i="20"/>
  <c r="CN166" i="20"/>
  <c r="CN159" i="20"/>
  <c r="CN152" i="20"/>
  <c r="CN145" i="20"/>
  <c r="DB137" i="20"/>
  <c r="DB130" i="20"/>
  <c r="DB123" i="20"/>
  <c r="DB116" i="20"/>
  <c r="DB109" i="20"/>
  <c r="DB102" i="20"/>
  <c r="DB95" i="20"/>
  <c r="DB88" i="20"/>
  <c r="DB81" i="20"/>
  <c r="DB74" i="20"/>
  <c r="DB67" i="20"/>
  <c r="DB60" i="20"/>
  <c r="DB53" i="20"/>
  <c r="DB46" i="20"/>
  <c r="DB39" i="20"/>
  <c r="DB32" i="20"/>
  <c r="DB25" i="20"/>
  <c r="DB18" i="20"/>
  <c r="BE137" i="20" l="1"/>
  <c r="BE130" i="20"/>
  <c r="BE123" i="20"/>
  <c r="BE116" i="20"/>
  <c r="BE109" i="20"/>
  <c r="BE102" i="20"/>
  <c r="BE95" i="20"/>
  <c r="BE88" i="20"/>
  <c r="BE81" i="20"/>
  <c r="BE74" i="20"/>
  <c r="BE67" i="20"/>
  <c r="BE60" i="20"/>
  <c r="BE53" i="20"/>
  <c r="BE46" i="20"/>
  <c r="BE39" i="20"/>
  <c r="BE32" i="20"/>
  <c r="BE25" i="20"/>
  <c r="BE18" i="20"/>
  <c r="AX137" i="20" l="1"/>
  <c r="AX130" i="20"/>
  <c r="AX123" i="20"/>
  <c r="AX116" i="20"/>
  <c r="AX102" i="20"/>
  <c r="AX109" i="20"/>
  <c r="AX95" i="20"/>
  <c r="AX88" i="20"/>
  <c r="AX81" i="20"/>
  <c r="AX74" i="20"/>
  <c r="AX67" i="20"/>
  <c r="AX60" i="20"/>
  <c r="AX53" i="20"/>
  <c r="AX46" i="20"/>
  <c r="AX39" i="20"/>
  <c r="AX32" i="20"/>
  <c r="AQ137" i="20"/>
  <c r="AQ130" i="20"/>
  <c r="AQ123" i="20"/>
  <c r="AQ116" i="20"/>
  <c r="AQ109" i="20"/>
  <c r="AQ102" i="20"/>
  <c r="AQ95" i="20"/>
  <c r="AQ88" i="20"/>
  <c r="AQ81" i="20"/>
  <c r="AQ74" i="20"/>
  <c r="AQ67" i="20"/>
  <c r="AQ60" i="20"/>
  <c r="AQ53" i="20"/>
  <c r="AQ46" i="20"/>
  <c r="AQ39" i="20"/>
  <c r="AQ32" i="20"/>
  <c r="AJ88" i="20" l="1"/>
  <c r="CG222" i="20"/>
  <c r="DB222" i="20"/>
  <c r="BE222" i="20"/>
  <c r="AX222" i="20"/>
  <c r="AQ222" i="20"/>
  <c r="AJ222" i="20"/>
  <c r="CG215" i="20"/>
  <c r="DB215" i="20"/>
  <c r="BE215" i="20"/>
  <c r="AX215" i="20"/>
  <c r="AQ215" i="20"/>
  <c r="AJ215" i="20"/>
  <c r="CG208" i="20"/>
  <c r="DB208" i="20"/>
  <c r="BE208" i="20"/>
  <c r="AX208" i="20"/>
  <c r="AQ208" i="20"/>
  <c r="AJ208" i="20"/>
  <c r="CG201" i="20"/>
  <c r="DB201" i="20"/>
  <c r="BE201" i="20"/>
  <c r="AX201" i="20"/>
  <c r="AQ201" i="20"/>
  <c r="AJ201" i="20"/>
  <c r="CG194" i="20"/>
  <c r="DB194" i="20"/>
  <c r="BE194" i="20"/>
  <c r="AX194" i="20"/>
  <c r="AQ194" i="20"/>
  <c r="AJ194" i="20"/>
  <c r="CG187" i="20"/>
  <c r="DB187" i="20"/>
  <c r="BE187" i="20"/>
  <c r="AX187" i="20"/>
  <c r="AQ187" i="20"/>
  <c r="AJ187" i="20"/>
  <c r="CG180" i="20"/>
  <c r="DB180" i="20"/>
  <c r="BE180" i="20"/>
  <c r="AX180" i="20"/>
  <c r="AQ180" i="20"/>
  <c r="AJ180" i="20"/>
  <c r="CG173" i="20"/>
  <c r="DB173" i="20"/>
  <c r="BE173" i="20"/>
  <c r="AX173" i="20"/>
  <c r="AQ173" i="20"/>
  <c r="AJ173" i="20"/>
  <c r="CG166" i="20"/>
  <c r="DB166" i="20"/>
  <c r="BE166" i="20"/>
  <c r="AX166" i="20"/>
  <c r="AQ166" i="20"/>
  <c r="AJ166" i="20"/>
  <c r="CG159" i="20"/>
  <c r="DB159" i="20"/>
  <c r="BE159" i="20"/>
  <c r="AX159" i="20"/>
  <c r="AQ159" i="20"/>
  <c r="AJ159" i="20"/>
  <c r="CG152" i="20"/>
  <c r="DB152" i="20"/>
  <c r="BE152" i="20"/>
  <c r="AX152" i="20"/>
  <c r="AQ152" i="20"/>
  <c r="AJ152" i="20"/>
  <c r="CG145" i="20" l="1"/>
  <c r="DB145" i="20"/>
  <c r="BE145" i="20"/>
  <c r="AX145" i="20"/>
  <c r="AQ145" i="20"/>
  <c r="AJ145" i="20"/>
  <c r="AJ109" i="20" l="1"/>
  <c r="AJ137" i="20" l="1"/>
  <c r="AJ130" i="20"/>
  <c r="AJ123" i="20"/>
  <c r="AJ116" i="20"/>
  <c r="AJ102" i="20"/>
  <c r="AJ95" i="20"/>
  <c r="AJ81" i="20"/>
  <c r="AJ74" i="20"/>
  <c r="AJ67" i="20"/>
  <c r="AJ60" i="20"/>
  <c r="AJ53" i="20"/>
  <c r="AJ46" i="20"/>
  <c r="AJ39" i="20"/>
  <c r="AJ32" i="20"/>
  <c r="AX25" i="20" l="1"/>
  <c r="AQ25" i="20"/>
  <c r="AJ25" i="20"/>
  <c r="AQ18" i="20" l="1"/>
  <c r="AX18" i="20"/>
  <c r="AJ18" i="20" l="1"/>
  <c r="C17" i="20" l="1"/>
  <c r="BV44" i="22" l="1"/>
  <c r="CA10" i="22"/>
  <c r="CB10" i="22" l="1"/>
  <c r="BY10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A13" authorId="0" shapeId="0" xr:uid="{1CB94A79-906D-4292-9B8A-F8B8CE877E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「未実施数」に「実施不可数」は含まない
</t>
        </r>
      </text>
    </comment>
    <comment ref="CA19" authorId="0" shapeId="0" xr:uid="{38854B8E-E051-40F5-8E31-2F6A675786C4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「未実施数」に「実施不可数」は含まない
</t>
        </r>
      </text>
    </comment>
  </commentList>
</comments>
</file>

<file path=xl/sharedStrings.xml><?xml version="1.0" encoding="utf-8"?>
<sst xmlns="http://schemas.openxmlformats.org/spreadsheetml/2006/main" count="6312" uniqueCount="652">
  <si>
    <t>実施観点</t>
    <rPh sb="0" eb="2">
      <t>ジッシ</t>
    </rPh>
    <rPh sb="2" eb="4">
      <t>カンテン</t>
    </rPh>
    <phoneticPr fontId="5"/>
  </si>
  <si>
    <t>要件</t>
    <rPh sb="0" eb="2">
      <t>ヨウケン</t>
    </rPh>
    <phoneticPr fontId="5"/>
  </si>
  <si>
    <t>状態</t>
    <rPh sb="0" eb="2">
      <t>ジョウタイ</t>
    </rPh>
    <phoneticPr fontId="5"/>
  </si>
  <si>
    <t>実施</t>
    <rPh sb="0" eb="2">
      <t>ジッシ</t>
    </rPh>
    <phoneticPr fontId="5"/>
  </si>
  <si>
    <t>ﾊﾟﾀｰﾝ</t>
    <phoneticPr fontId="5"/>
  </si>
  <si>
    <t>確認</t>
    <rPh sb="0" eb="2">
      <t>カクニン</t>
    </rPh>
    <phoneticPr fontId="5"/>
  </si>
  <si>
    <t>実施</t>
    <phoneticPr fontId="5"/>
  </si>
  <si>
    <t>検証</t>
    <rPh sb="0" eb="2">
      <t>ケンショウ</t>
    </rPh>
    <phoneticPr fontId="5"/>
  </si>
  <si>
    <t>故障</t>
    <rPh sb="0" eb="2">
      <t>コショウ</t>
    </rPh>
    <phoneticPr fontId="5"/>
  </si>
  <si>
    <t>項番</t>
    <rPh sb="1" eb="2">
      <t>バン</t>
    </rPh>
    <phoneticPr fontId="5"/>
  </si>
  <si>
    <t>分類</t>
    <rPh sb="0" eb="2">
      <t>ブンルイ</t>
    </rPh>
    <phoneticPr fontId="5"/>
  </si>
  <si>
    <t>区分</t>
    <rPh sb="0" eb="2">
      <t>クブン</t>
    </rPh>
    <phoneticPr fontId="5"/>
  </si>
  <si>
    <t>要否</t>
    <rPh sb="0" eb="2">
      <t>ヨウヒ</t>
    </rPh>
    <phoneticPr fontId="5"/>
  </si>
  <si>
    <t>数量</t>
    <rPh sb="0" eb="2">
      <t>スウリョウ</t>
    </rPh>
    <phoneticPr fontId="5"/>
  </si>
  <si>
    <t>ﾊﾟﾀｰﾝ数</t>
    <rPh sb="5" eb="6">
      <t>スウ</t>
    </rPh>
    <phoneticPr fontId="5"/>
  </si>
  <si>
    <t>実施中</t>
    <rPh sb="2" eb="3">
      <t>チュウ</t>
    </rPh>
    <phoneticPr fontId="5"/>
  </si>
  <si>
    <t>完了</t>
    <rPh sb="0" eb="2">
      <t>カンリョウ</t>
    </rPh>
    <phoneticPr fontId="5"/>
  </si>
  <si>
    <t>不可</t>
    <rPh sb="0" eb="2">
      <t>フカ</t>
    </rPh>
    <phoneticPr fontId="5"/>
  </si>
  <si>
    <t>未実施</t>
    <rPh sb="0" eb="1">
      <t>ミ</t>
    </rPh>
    <rPh sb="1" eb="3">
      <t>ジッシ</t>
    </rPh>
    <phoneticPr fontId="5"/>
  </si>
  <si>
    <t>検知</t>
    <rPh sb="0" eb="2">
      <t>ケンチ</t>
    </rPh>
    <phoneticPr fontId="5"/>
  </si>
  <si>
    <t>記事</t>
    <rPh sb="0" eb="2">
      <t>キジ</t>
    </rPh>
    <phoneticPr fontId="5"/>
  </si>
  <si>
    <t>MS</t>
    <phoneticPr fontId="5"/>
  </si>
  <si>
    <t>-</t>
    <phoneticPr fontId="5"/>
  </si>
  <si>
    <t>集計</t>
    <rPh sb="0" eb="2">
      <t>シュウケイ</t>
    </rPh>
    <phoneticPr fontId="5"/>
  </si>
  <si>
    <t>共通</t>
    <rPh sb="0" eb="2">
      <t>キョウツウ</t>
    </rPh>
    <phoneticPr fontId="5"/>
  </si>
  <si>
    <t>バッチ</t>
    <phoneticPr fontId="5"/>
  </si>
  <si>
    <t>○</t>
    <phoneticPr fontId="5"/>
  </si>
  <si>
    <t>オンライン</t>
    <phoneticPr fontId="5"/>
  </si>
  <si>
    <t>ユーザIDマスタ取込処理</t>
  </si>
  <si>
    <t>担当者検索画面</t>
  </si>
  <si>
    <t>メニュー画面</t>
  </si>
  <si>
    <t>事業会社</t>
    <rPh sb="0" eb="2">
      <t>ジギョウ</t>
    </rPh>
    <rPh sb="2" eb="4">
      <t>ガイシャ</t>
    </rPh>
    <phoneticPr fontId="5"/>
  </si>
  <si>
    <t>機能</t>
    <rPh sb="0" eb="2">
      <t>キノウ</t>
    </rPh>
    <phoneticPr fontId="5"/>
  </si>
  <si>
    <t>内容</t>
    <rPh sb="0" eb="2">
      <t>ナイヨウ</t>
    </rPh>
    <phoneticPr fontId="5"/>
  </si>
  <si>
    <t>Ⅰ.</t>
    <phoneticPr fontId="5"/>
  </si>
  <si>
    <t>シナリオ一覧</t>
    <rPh sb="4" eb="6">
      <t>イチラン</t>
    </rPh>
    <phoneticPr fontId="5"/>
  </si>
  <si>
    <t>実施率</t>
    <rPh sb="0" eb="2">
      <t>ジッシ</t>
    </rPh>
    <rPh sb="2" eb="3">
      <t>リツ</t>
    </rPh>
    <phoneticPr fontId="5"/>
  </si>
  <si>
    <t>未実施率</t>
    <rPh sb="0" eb="3">
      <t>ミジッシ</t>
    </rPh>
    <rPh sb="3" eb="4">
      <t>リツ</t>
    </rPh>
    <phoneticPr fontId="5"/>
  </si>
  <si>
    <t>進捗率</t>
    <rPh sb="0" eb="2">
      <t>シンチョク</t>
    </rPh>
    <rPh sb="2" eb="3">
      <t>リツ</t>
    </rPh>
    <phoneticPr fontId="5"/>
  </si>
  <si>
    <t>【区分】</t>
    <rPh sb="1" eb="3">
      <t>クブン</t>
    </rPh>
    <phoneticPr fontId="5"/>
  </si>
  <si>
    <t>【分類】</t>
    <rPh sb="1" eb="3">
      <t>ブンルイ</t>
    </rPh>
    <phoneticPr fontId="5"/>
  </si>
  <si>
    <t>【要否】</t>
    <rPh sb="1" eb="3">
      <t>ヨウヒ</t>
    </rPh>
    <phoneticPr fontId="5"/>
  </si>
  <si>
    <t>AY</t>
    <phoneticPr fontId="5"/>
  </si>
  <si>
    <t>正常系</t>
    <rPh sb="0" eb="2">
      <t>セイジョウ</t>
    </rPh>
    <rPh sb="2" eb="3">
      <t>ケイ</t>
    </rPh>
    <phoneticPr fontId="5"/>
  </si>
  <si>
    <t>実施結果（単位：パターン数）</t>
    <rPh sb="0" eb="2">
      <t>ジッシ</t>
    </rPh>
    <rPh sb="2" eb="4">
      <t>ケッカ</t>
    </rPh>
    <rPh sb="5" eb="7">
      <t>タンイ</t>
    </rPh>
    <rPh sb="12" eb="13">
      <t>スウ</t>
    </rPh>
    <phoneticPr fontId="5"/>
  </si>
  <si>
    <t>異常系</t>
    <rPh sb="0" eb="2">
      <t>イジョウ</t>
    </rPh>
    <rPh sb="2" eb="3">
      <t>ケイ</t>
    </rPh>
    <phoneticPr fontId="5"/>
  </si>
  <si>
    <t>×</t>
    <phoneticPr fontId="5"/>
  </si>
  <si>
    <t>その他</t>
    <rPh sb="2" eb="3">
      <t>タ</t>
    </rPh>
    <phoneticPr fontId="5"/>
  </si>
  <si>
    <t>実施中</t>
    <rPh sb="0" eb="3">
      <t>ジッシチュウ</t>
    </rPh>
    <phoneticPr fontId="5"/>
  </si>
  <si>
    <t>検知数</t>
    <rPh sb="0" eb="2">
      <t>ケンチ</t>
    </rPh>
    <rPh sb="2" eb="3">
      <t>スウ</t>
    </rPh>
    <phoneticPr fontId="5"/>
  </si>
  <si>
    <t>・</t>
    <phoneticPr fontId="5"/>
  </si>
  <si>
    <t>↓</t>
    <phoneticPr fontId="5"/>
  </si>
  <si>
    <t>↓</t>
  </si>
  <si>
    <t>・</t>
  </si>
  <si>
    <t>※</t>
    <phoneticPr fontId="5"/>
  </si>
  <si>
    <t>①</t>
    <phoneticPr fontId="5"/>
  </si>
  <si>
    <t>→</t>
  </si>
  <si>
    <t>→</t>
    <phoneticPr fontId="5"/>
  </si>
  <si>
    <t>メニュー遷移前の開/閉局</t>
    <rPh sb="4" eb="6">
      <t>センイ</t>
    </rPh>
    <rPh sb="6" eb="7">
      <t>マエ</t>
    </rPh>
    <rPh sb="8" eb="9">
      <t>カイ</t>
    </rPh>
    <rPh sb="10" eb="12">
      <t>ヘイキョク</t>
    </rPh>
    <rPh sb="11" eb="12">
      <t>キョク</t>
    </rPh>
    <phoneticPr fontId="5"/>
  </si>
  <si>
    <t>画面遷移後の開/閉局</t>
    <rPh sb="0" eb="2">
      <t>ガメン</t>
    </rPh>
    <rPh sb="2" eb="4">
      <t>センイ</t>
    </rPh>
    <rPh sb="4" eb="5">
      <t>ゴ</t>
    </rPh>
    <rPh sb="6" eb="7">
      <t>カイ</t>
    </rPh>
    <rPh sb="8" eb="10">
      <t>ヘイキョク</t>
    </rPh>
    <rPh sb="9" eb="10">
      <t>キョク</t>
    </rPh>
    <phoneticPr fontId="5"/>
  </si>
  <si>
    <t>データパターン</t>
    <phoneticPr fontId="5"/>
  </si>
  <si>
    <t>利用権限有/無</t>
    <rPh sb="0" eb="2">
      <t>リヨウ</t>
    </rPh>
    <rPh sb="2" eb="4">
      <t>ケンゲン</t>
    </rPh>
    <rPh sb="4" eb="5">
      <t>ア</t>
    </rPh>
    <rPh sb="6" eb="7">
      <t>ム</t>
    </rPh>
    <phoneticPr fontId="5"/>
  </si>
  <si>
    <t>一般/システム管理者</t>
    <rPh sb="0" eb="2">
      <t>イッパン</t>
    </rPh>
    <rPh sb="7" eb="10">
      <t>カンリシャ</t>
    </rPh>
    <phoneticPr fontId="5"/>
  </si>
  <si>
    <t>IT1</t>
    <phoneticPr fontId="5"/>
  </si>
  <si>
    <t>IT2</t>
    <phoneticPr fontId="5"/>
  </si>
  <si>
    <t>②</t>
    <phoneticPr fontId="5"/>
  </si>
  <si>
    <t>③</t>
    <phoneticPr fontId="5"/>
  </si>
  <si>
    <t>開局前のログイン</t>
    <rPh sb="0" eb="2">
      <t>カイキョク</t>
    </rPh>
    <rPh sb="2" eb="3">
      <t>マエ</t>
    </rPh>
    <phoneticPr fontId="5"/>
  </si>
  <si>
    <t>開局後のログイン（ログイン可）</t>
    <rPh sb="2" eb="3">
      <t>ゴ</t>
    </rPh>
    <phoneticPr fontId="5"/>
  </si>
  <si>
    <t>閉局画面</t>
    <rPh sb="0" eb="2">
      <t>ヘイキョク</t>
    </rPh>
    <rPh sb="2" eb="4">
      <t>ガメン</t>
    </rPh>
    <phoneticPr fontId="5"/>
  </si>
  <si>
    <t>（ログイン不可）</t>
  </si>
  <si>
    <t>④</t>
    <phoneticPr fontId="5"/>
  </si>
  <si>
    <t>⑤</t>
    <phoneticPr fontId="5"/>
  </si>
  <si>
    <t>混在</t>
    <rPh sb="0" eb="2">
      <t>コンザイ</t>
    </rPh>
    <phoneticPr fontId="5"/>
  </si>
  <si>
    <t>「登録」</t>
    <rPh sb="1" eb="3">
      <t>トウロク</t>
    </rPh>
    <phoneticPr fontId="5"/>
  </si>
  <si>
    <t>：</t>
    <phoneticPr fontId="5"/>
  </si>
  <si>
    <t>主要導線</t>
    <rPh sb="0" eb="2">
      <t>シュヨウ</t>
    </rPh>
    <rPh sb="2" eb="4">
      <t>ドウセン</t>
    </rPh>
    <phoneticPr fontId="5"/>
  </si>
  <si>
    <t>実施概要</t>
    <rPh sb="0" eb="2">
      <t>ジッシ</t>
    </rPh>
    <rPh sb="2" eb="4">
      <t>ガイヨウ</t>
    </rPh>
    <phoneticPr fontId="5"/>
  </si>
  <si>
    <t>「更新」</t>
    <rPh sb="1" eb="3">
      <t>コウシン</t>
    </rPh>
    <phoneticPr fontId="5"/>
  </si>
  <si>
    <t>「削除」</t>
    <rPh sb="1" eb="3">
      <t>サクジョ</t>
    </rPh>
    <phoneticPr fontId="5"/>
  </si>
  <si>
    <t>Ｍ</t>
    <phoneticPr fontId="5"/>
  </si>
  <si>
    <t>Ｓ</t>
    <phoneticPr fontId="5"/>
  </si>
  <si>
    <t>Ａ</t>
    <phoneticPr fontId="5"/>
  </si>
  <si>
    <t>Ｄ</t>
    <phoneticPr fontId="5"/>
  </si>
  <si>
    <t>②</t>
  </si>
  <si>
    <t>01</t>
    <phoneticPr fontId="5"/>
  </si>
  <si>
    <t>削除</t>
    <rPh sb="0" eb="2">
      <t>サクジョ</t>
    </rPh>
    <phoneticPr fontId="5"/>
  </si>
  <si>
    <t>実施結果（単位：パターン）</t>
    <rPh sb="0" eb="2">
      <t>ジッシ</t>
    </rPh>
    <rPh sb="2" eb="4">
      <t>ケッカ</t>
    </rPh>
    <rPh sb="5" eb="7">
      <t>タンイ</t>
    </rPh>
    <phoneticPr fontId="5"/>
  </si>
  <si>
    <t>ｄ</t>
    <phoneticPr fontId="5"/>
  </si>
  <si>
    <t>更新</t>
    <rPh sb="0" eb="2">
      <t>コウシン</t>
    </rPh>
    <phoneticPr fontId="5"/>
  </si>
  <si>
    <t>備考</t>
    <rPh sb="0" eb="2">
      <t>ビコウ</t>
    </rPh>
    <phoneticPr fontId="5"/>
  </si>
  <si>
    <t>No</t>
    <phoneticPr fontId="5"/>
  </si>
  <si>
    <t>自動車</t>
    <rPh sb="0" eb="3">
      <t>ジドウシャ</t>
    </rPh>
    <phoneticPr fontId="5"/>
  </si>
  <si>
    <t>火災</t>
    <rPh sb="0" eb="2">
      <t>カサイ</t>
    </rPh>
    <phoneticPr fontId="5"/>
  </si>
  <si>
    <t>積立火災</t>
    <rPh sb="0" eb="2">
      <t>ツミタテ</t>
    </rPh>
    <rPh sb="2" eb="4">
      <t>カサイ</t>
    </rPh>
    <phoneticPr fontId="5"/>
  </si>
  <si>
    <t>新種</t>
    <rPh sb="0" eb="2">
      <t>シンシュ</t>
    </rPh>
    <phoneticPr fontId="5"/>
  </si>
  <si>
    <t>積立新種</t>
    <rPh sb="0" eb="2">
      <t>ツミタテ</t>
    </rPh>
    <rPh sb="2" eb="4">
      <t>シンシュ</t>
    </rPh>
    <phoneticPr fontId="5"/>
  </si>
  <si>
    <t>〇</t>
    <phoneticPr fontId="5"/>
  </si>
  <si>
    <t>傷害</t>
    <rPh sb="0" eb="2">
      <t>ショウガイ</t>
    </rPh>
    <phoneticPr fontId="5"/>
  </si>
  <si>
    <t>長期医療</t>
    <rPh sb="0" eb="2">
      <t>チョウキ</t>
    </rPh>
    <rPh sb="2" eb="4">
      <t>イリョウ</t>
    </rPh>
    <phoneticPr fontId="5"/>
  </si>
  <si>
    <t>①</t>
  </si>
  <si>
    <t>③</t>
  </si>
  <si>
    <t>異常系</t>
    <phoneticPr fontId="5"/>
  </si>
  <si>
    <t>＜親画面＞</t>
    <rPh sb="1" eb="4">
      <t>オヤガメン</t>
    </rPh>
    <phoneticPr fontId="5"/>
  </si>
  <si>
    <t>状況により実施不可で整理する。</t>
    <rPh sb="0" eb="2">
      <t>ジョウキョウ</t>
    </rPh>
    <rPh sb="5" eb="9">
      <t>ジッシフカ</t>
    </rPh>
    <rPh sb="10" eb="12">
      <t>セイリ</t>
    </rPh>
    <phoneticPr fontId="5"/>
  </si>
  <si>
    <t>＜子画面＞</t>
    <rPh sb="1" eb="2">
      <t>コ</t>
    </rPh>
    <rPh sb="2" eb="4">
      <t>ガメン</t>
    </rPh>
    <phoneticPr fontId="5"/>
  </si>
  <si>
    <t>セッションタイムアウト画面</t>
  </si>
  <si>
    <t>権限エラー画面</t>
    <phoneticPr fontId="5"/>
  </si>
  <si>
    <t>④</t>
  </si>
  <si>
    <t>⑥</t>
    <phoneticPr fontId="5"/>
  </si>
  <si>
    <t>⑦</t>
    <phoneticPr fontId="5"/>
  </si>
  <si>
    <t>⑧</t>
    <phoneticPr fontId="5"/>
  </si>
  <si>
    <t>結合試験　シナリオ一覧（異例取扱管理）</t>
    <rPh sb="0" eb="2">
      <t>ケツゴウ</t>
    </rPh>
    <rPh sb="2" eb="4">
      <t>シケン</t>
    </rPh>
    <rPh sb="9" eb="11">
      <t>イチラン</t>
    </rPh>
    <rPh sb="12" eb="14">
      <t>イレイ</t>
    </rPh>
    <rPh sb="14" eb="16">
      <t>トリアツカイ</t>
    </rPh>
    <rPh sb="16" eb="18">
      <t>カンリ</t>
    </rPh>
    <phoneticPr fontId="5"/>
  </si>
  <si>
    <t>：異例取扱管理</t>
    <rPh sb="1" eb="3">
      <t>イレイ</t>
    </rPh>
    <rPh sb="3" eb="5">
      <t>トリアツカイ</t>
    </rPh>
    <rPh sb="5" eb="7">
      <t>カンリ</t>
    </rPh>
    <phoneticPr fontId="5"/>
  </si>
  <si>
    <t>シナリオID：AY-機能分類ID-連動パターンID-パターン内連番　</t>
    <rPh sb="10" eb="12">
      <t>キノウ</t>
    </rPh>
    <rPh sb="12" eb="14">
      <t>ブンルイ</t>
    </rPh>
    <rPh sb="17" eb="19">
      <t>レンドウ</t>
    </rPh>
    <rPh sb="30" eb="31">
      <t>ナイ</t>
    </rPh>
    <rPh sb="31" eb="33">
      <t>レンバン</t>
    </rPh>
    <phoneticPr fontId="2"/>
  </si>
  <si>
    <t>　[例] AY-110-01-001</t>
    <phoneticPr fontId="5"/>
  </si>
  <si>
    <t>メニュー画面</t>
    <rPh sb="4" eb="6">
      <t>ガメン</t>
    </rPh>
    <phoneticPr fontId="5"/>
  </si>
  <si>
    <t>申請・確認更新画面</t>
    <rPh sb="0" eb="2">
      <t>シンセイ</t>
    </rPh>
    <rPh sb="3" eb="5">
      <t>カクニン</t>
    </rPh>
    <rPh sb="5" eb="7">
      <t>コウシン</t>
    </rPh>
    <rPh sb="7" eb="9">
      <t>ガメン</t>
    </rPh>
    <phoneticPr fontId="5"/>
  </si>
  <si>
    <t>取消計上申請登録画面</t>
    <rPh sb="0" eb="2">
      <t>トリケシ</t>
    </rPh>
    <rPh sb="2" eb="4">
      <t>ケイジョウ</t>
    </rPh>
    <rPh sb="4" eb="6">
      <t>シンセイ</t>
    </rPh>
    <rPh sb="6" eb="8">
      <t>トウロク</t>
    </rPh>
    <rPh sb="8" eb="10">
      <t>ガメン</t>
    </rPh>
    <phoneticPr fontId="5"/>
  </si>
  <si>
    <t>対応登録</t>
    <rPh sb="0" eb="2">
      <t>タイオウ</t>
    </rPh>
    <rPh sb="2" eb="4">
      <t>トウロク</t>
    </rPh>
    <phoneticPr fontId="5"/>
  </si>
  <si>
    <t>照会・検索画面</t>
    <rPh sb="0" eb="2">
      <t>ショウカイ</t>
    </rPh>
    <rPh sb="3" eb="5">
      <t>ケンサク</t>
    </rPh>
    <rPh sb="5" eb="7">
      <t>ガメン</t>
    </rPh>
    <phoneticPr fontId="5"/>
  </si>
  <si>
    <t>MS/AD</t>
    <phoneticPr fontId="5"/>
  </si>
  <si>
    <t>照会・検索画面</t>
    <phoneticPr fontId="5"/>
  </si>
  <si>
    <t>申請承認一覧画面</t>
    <phoneticPr fontId="5"/>
  </si>
  <si>
    <t>集計画面</t>
    <rPh sb="0" eb="2">
      <t>シュウケイ</t>
    </rPh>
    <rPh sb="2" eb="4">
      <t>ガメン</t>
    </rPh>
    <phoneticPr fontId="5"/>
  </si>
  <si>
    <t>メール機能</t>
    <rPh sb="3" eb="5">
      <t>キノウ</t>
    </rPh>
    <phoneticPr fontId="5"/>
  </si>
  <si>
    <t>メール送信</t>
    <rPh sb="3" eb="5">
      <t>ソウシン</t>
    </rPh>
    <phoneticPr fontId="5"/>
  </si>
  <si>
    <t>メニュー画面</t>
    <phoneticPr fontId="5"/>
  </si>
  <si>
    <t>登録</t>
    <rPh sb="0" eb="2">
      <t>トウロク</t>
    </rPh>
    <phoneticPr fontId="5"/>
  </si>
  <si>
    <t>取消計上申請登録画面</t>
  </si>
  <si>
    <t>申請・確認更新画面</t>
  </si>
  <si>
    <t>申請・確認更新画面</t>
    <phoneticPr fontId="5"/>
  </si>
  <si>
    <t>送信先(写)選択画面</t>
  </si>
  <si>
    <t>種目別</t>
    <rPh sb="0" eb="3">
      <t>シュモクベツ</t>
    </rPh>
    <phoneticPr fontId="5"/>
  </si>
  <si>
    <t>申請・確認基準別</t>
    <rPh sb="0" eb="2">
      <t>シンセイ</t>
    </rPh>
    <rPh sb="3" eb="5">
      <t>カクニン</t>
    </rPh>
    <rPh sb="5" eb="7">
      <t>キジュン</t>
    </rPh>
    <rPh sb="7" eb="8">
      <t>ベツ</t>
    </rPh>
    <phoneticPr fontId="5"/>
  </si>
  <si>
    <t>照会・検索画面</t>
  </si>
  <si>
    <t>承認依頼（部支店長承認）</t>
  </si>
  <si>
    <t>申請承認一覧画面</t>
  </si>
  <si>
    <t>取消計上申請承認画面</t>
  </si>
  <si>
    <t>承認（部支店長承認）</t>
  </si>
  <si>
    <t>取消</t>
    <phoneticPr fontId="5"/>
  </si>
  <si>
    <t>⑨</t>
    <phoneticPr fontId="5"/>
  </si>
  <si>
    <t>更新</t>
  </si>
  <si>
    <t>削除</t>
  </si>
  <si>
    <t>消込確認</t>
  </si>
  <si>
    <t>計上情報消込処理</t>
  </si>
  <si>
    <t>承認依頼（課支社長承認）</t>
  </si>
  <si>
    <t>更新</t>
    <phoneticPr fontId="5"/>
  </si>
  <si>
    <t>新規登録（申請ベース、申請確認基準1～4）</t>
    <rPh sb="0" eb="2">
      <t>シンキ</t>
    </rPh>
    <rPh sb="2" eb="4">
      <t>トウロク</t>
    </rPh>
    <rPh sb="5" eb="7">
      <t>シンセイ</t>
    </rPh>
    <rPh sb="11" eb="13">
      <t>シンセイ</t>
    </rPh>
    <rPh sb="13" eb="15">
      <t>カクニン</t>
    </rPh>
    <rPh sb="15" eb="17">
      <t>キジュン</t>
    </rPh>
    <phoneticPr fontId="5"/>
  </si>
  <si>
    <t>新規登録（確認ベース、申請確認基準5～6）</t>
  </si>
  <si>
    <t>（確認ベース）</t>
  </si>
  <si>
    <t>検索</t>
  </si>
  <si>
    <t>(申請ベース</t>
    <phoneticPr fontId="5"/>
  </si>
  <si>
    <t>：課支社長承認）</t>
    <phoneticPr fontId="5"/>
  </si>
  <si>
    <t>申請依頼</t>
    <phoneticPr fontId="5"/>
  </si>
  <si>
    <t>Ⅰ. 試験用ユーザ一覧</t>
    <rPh sb="3" eb="5">
      <t>シケン</t>
    </rPh>
    <rPh sb="5" eb="6">
      <t>ヨウ</t>
    </rPh>
    <rPh sb="9" eb="11">
      <t>イチラン</t>
    </rPh>
    <phoneticPr fontId="5"/>
  </si>
  <si>
    <t>事業会社ユーザ一覧</t>
    <rPh sb="0" eb="4">
      <t>ジギョウガイシャ</t>
    </rPh>
    <rPh sb="7" eb="9">
      <t>イチラン</t>
    </rPh>
    <phoneticPr fontId="5"/>
  </si>
  <si>
    <t>所属</t>
    <rPh sb="0" eb="2">
      <t>ショゾク</t>
    </rPh>
    <phoneticPr fontId="5"/>
  </si>
  <si>
    <t>ID</t>
    <phoneticPr fontId="5"/>
  </si>
  <si>
    <t>ユーザ名</t>
    <rPh sb="3" eb="4">
      <t>メイ</t>
    </rPh>
    <phoneticPr fontId="5"/>
  </si>
  <si>
    <t>シナリオルート</t>
  </si>
  <si>
    <t>事業</t>
    <phoneticPr fontId="5"/>
  </si>
  <si>
    <t>会社</t>
    <rPh sb="0" eb="2">
      <t>ガイシャ</t>
    </rPh>
    <phoneticPr fontId="5"/>
  </si>
  <si>
    <t>証券番号</t>
    <rPh sb="0" eb="2">
      <t>ショウケン</t>
    </rPh>
    <rPh sb="2" eb="4">
      <t>バンゴウ</t>
    </rPh>
    <phoneticPr fontId="5"/>
  </si>
  <si>
    <t>明細番号</t>
    <rPh sb="0" eb="2">
      <t>メイサイ</t>
    </rPh>
    <rPh sb="2" eb="4">
      <t>バンゴウ</t>
    </rPh>
    <phoneticPr fontId="5"/>
  </si>
  <si>
    <t>大種目</t>
    <rPh sb="0" eb="1">
      <t>ダイ</t>
    </rPh>
    <rPh sb="1" eb="3">
      <t>シュモク</t>
    </rPh>
    <phoneticPr fontId="5"/>
  </si>
  <si>
    <t>保険種類</t>
    <rPh sb="0" eb="4">
      <t>ホケンシュルイ</t>
    </rPh>
    <phoneticPr fontId="5"/>
  </si>
  <si>
    <t>部課コード</t>
    <rPh sb="0" eb="2">
      <t>ブカ</t>
    </rPh>
    <phoneticPr fontId="5"/>
  </si>
  <si>
    <t>代理店コード</t>
    <rPh sb="0" eb="3">
      <t>ダイリテン</t>
    </rPh>
    <phoneticPr fontId="5"/>
  </si>
  <si>
    <t>起点シナリオ</t>
  </si>
  <si>
    <t>利用シナリオ</t>
    <rPh sb="0" eb="2">
      <t>リヨウ</t>
    </rPh>
    <phoneticPr fontId="5"/>
  </si>
  <si>
    <t>ABM62</t>
  </si>
  <si>
    <t>04</t>
    <phoneticPr fontId="5"/>
  </si>
  <si>
    <t>TKSMS01B</t>
    <phoneticPr fontId="5"/>
  </si>
  <si>
    <t>営業１</t>
    <rPh sb="0" eb="2">
      <t>エイギョウ</t>
    </rPh>
    <phoneticPr fontId="5"/>
  </si>
  <si>
    <t>TKSMS01B</t>
  </si>
  <si>
    <t>部支店長１</t>
    <phoneticPr fontId="5"/>
  </si>
  <si>
    <t>課支店長１</t>
    <phoneticPr fontId="5"/>
  </si>
  <si>
    <t>AY</t>
  </si>
  <si>
    <t>積立火災</t>
  </si>
  <si>
    <t>11</t>
    <phoneticPr fontId="5"/>
  </si>
  <si>
    <t>30</t>
    <phoneticPr fontId="5"/>
  </si>
  <si>
    <t>傷害</t>
    <phoneticPr fontId="5"/>
  </si>
  <si>
    <t>88</t>
    <phoneticPr fontId="5"/>
  </si>
  <si>
    <t>積傷/積特</t>
    <phoneticPr fontId="5"/>
  </si>
  <si>
    <t>マリン</t>
    <phoneticPr fontId="5"/>
  </si>
  <si>
    <t>10</t>
    <phoneticPr fontId="5"/>
  </si>
  <si>
    <t>31</t>
    <phoneticPr fontId="5"/>
  </si>
  <si>
    <t>20</t>
    <phoneticPr fontId="5"/>
  </si>
  <si>
    <t>16</t>
    <phoneticPr fontId="5"/>
  </si>
  <si>
    <t>03</t>
    <phoneticPr fontId="5"/>
  </si>
  <si>
    <t>積立火災</t>
    <rPh sb="0" eb="2">
      <t>ツミタテ</t>
    </rPh>
    <rPh sb="2" eb="4">
      <t>カサイ</t>
    </rPh>
    <phoneticPr fontId="20"/>
  </si>
  <si>
    <t>積立新種</t>
    <rPh sb="0" eb="2">
      <t>ツミタテ</t>
    </rPh>
    <rPh sb="2" eb="4">
      <t>シンシュ</t>
    </rPh>
    <phoneticPr fontId="20"/>
  </si>
  <si>
    <t>積傷/積特</t>
    <rPh sb="0" eb="1">
      <t>セキ</t>
    </rPh>
    <rPh sb="1" eb="2">
      <t>キズ</t>
    </rPh>
    <rPh sb="3" eb="4">
      <t>ツミ</t>
    </rPh>
    <rPh sb="4" eb="5">
      <t>トク</t>
    </rPh>
    <phoneticPr fontId="20"/>
  </si>
  <si>
    <t xml:space="preserve"> </t>
    <phoneticPr fontId="5"/>
  </si>
  <si>
    <t>マリン</t>
    <phoneticPr fontId="20"/>
  </si>
  <si>
    <t>05</t>
    <phoneticPr fontId="5"/>
  </si>
  <si>
    <t>40</t>
    <phoneticPr fontId="5"/>
  </si>
  <si>
    <t>02</t>
    <phoneticPr fontId="5"/>
  </si>
  <si>
    <t>申請・確認状況</t>
    <rPh sb="0" eb="2">
      <t>シンセイ</t>
    </rPh>
    <rPh sb="3" eb="7">
      <t>カクニンジョウキョウ</t>
    </rPh>
    <phoneticPr fontId="5"/>
  </si>
  <si>
    <t>消込状況</t>
    <rPh sb="0" eb="2">
      <t>ケシコミ</t>
    </rPh>
    <rPh sb="2" eb="4">
      <t>ジョウキョウ</t>
    </rPh>
    <phoneticPr fontId="5"/>
  </si>
  <si>
    <t>（空欄）</t>
    <rPh sb="1" eb="3">
      <t>クウラン</t>
    </rPh>
    <phoneticPr fontId="5"/>
  </si>
  <si>
    <t>未申請</t>
    <rPh sb="0" eb="3">
      <t>ミシンセイ</t>
    </rPh>
    <phoneticPr fontId="5"/>
  </si>
  <si>
    <t>消込不要</t>
    <rPh sb="0" eb="2">
      <t>ケシコミ</t>
    </rPh>
    <rPh sb="2" eb="4">
      <t>フヨウ</t>
    </rPh>
    <phoneticPr fontId="5"/>
  </si>
  <si>
    <t>長期医療</t>
    <rPh sb="0" eb="2">
      <t>チョウキ</t>
    </rPh>
    <rPh sb="2" eb="4">
      <t>イリョウ</t>
    </rPh>
    <phoneticPr fontId="20"/>
  </si>
  <si>
    <t>17</t>
    <phoneticPr fontId="5"/>
  </si>
  <si>
    <t>自動車</t>
    <phoneticPr fontId="20"/>
  </si>
  <si>
    <t>火災</t>
    <phoneticPr fontId="20"/>
  </si>
  <si>
    <t>13</t>
    <phoneticPr fontId="5"/>
  </si>
  <si>
    <t>新種</t>
  </si>
  <si>
    <t>32</t>
    <phoneticPr fontId="5"/>
  </si>
  <si>
    <t>06</t>
    <phoneticPr fontId="5"/>
  </si>
  <si>
    <t>新種</t>
    <rPh sb="0" eb="2">
      <t>シンシュ</t>
    </rPh>
    <phoneticPr fontId="1"/>
  </si>
  <si>
    <t>積立新種</t>
    <rPh sb="0" eb="2">
      <t>ツミタテ</t>
    </rPh>
    <rPh sb="2" eb="4">
      <t>シンシュ</t>
    </rPh>
    <phoneticPr fontId="1"/>
  </si>
  <si>
    <t>23</t>
    <phoneticPr fontId="5"/>
  </si>
  <si>
    <t>傷害</t>
    <rPh sb="0" eb="2">
      <t>ショウガイ</t>
    </rPh>
    <phoneticPr fontId="1"/>
  </si>
  <si>
    <t>26</t>
    <phoneticPr fontId="5"/>
  </si>
  <si>
    <t>(同上)</t>
    <rPh sb="1" eb="2">
      <t>ドウ</t>
    </rPh>
    <rPh sb="2" eb="3">
      <t>ウエ</t>
    </rPh>
    <phoneticPr fontId="5"/>
  </si>
  <si>
    <t>確認済</t>
    <rPh sb="0" eb="2">
      <t>カクニン</t>
    </rPh>
    <rPh sb="2" eb="3">
      <t>ズ</t>
    </rPh>
    <phoneticPr fontId="5"/>
  </si>
  <si>
    <t>登録完了</t>
    <rPh sb="0" eb="2">
      <t>トウロク</t>
    </rPh>
    <rPh sb="2" eb="4">
      <t>カンリョウ</t>
    </rPh>
    <phoneticPr fontId="5"/>
  </si>
  <si>
    <t>未消込</t>
    <rPh sb="0" eb="3">
      <t>ミケシコミ</t>
    </rPh>
    <phoneticPr fontId="5"/>
  </si>
  <si>
    <t>申請依頼</t>
    <rPh sb="0" eb="2">
      <t>シンセイ</t>
    </rPh>
    <rPh sb="2" eb="4">
      <t>イライ</t>
    </rPh>
    <phoneticPr fontId="5"/>
  </si>
  <si>
    <t>■</t>
    <phoneticPr fontId="5"/>
  </si>
  <si>
    <t>登録→申請</t>
    <rPh sb="0" eb="2">
      <t>トウロク</t>
    </rPh>
    <rPh sb="3" eb="5">
      <t>シンセイ</t>
    </rPh>
    <phoneticPr fontId="5"/>
  </si>
  <si>
    <t>証券番号：明細番号</t>
    <rPh sb="0" eb="2">
      <t>ショウケン</t>
    </rPh>
    <rPh sb="2" eb="4">
      <t>バンゴウ</t>
    </rPh>
    <rPh sb="5" eb="7">
      <t>メイサイ</t>
    </rPh>
    <rPh sb="7" eb="9">
      <t>バンゴウ</t>
    </rPh>
    <phoneticPr fontId="5"/>
  </si>
  <si>
    <t>AY11001</t>
    <phoneticPr fontId="5"/>
  </si>
  <si>
    <t>承認依頼</t>
    <rPh sb="0" eb="2">
      <t>ショウニン</t>
    </rPh>
    <rPh sb="2" eb="4">
      <t>イライ</t>
    </rPh>
    <phoneticPr fontId="5"/>
  </si>
  <si>
    <t>AY12001</t>
    <phoneticPr fontId="5"/>
  </si>
  <si>
    <t>承認待ち</t>
    <rPh sb="0" eb="2">
      <t>ショウニン</t>
    </rPh>
    <rPh sb="2" eb="3">
      <t>マ</t>
    </rPh>
    <phoneticPr fontId="5"/>
  </si>
  <si>
    <t>未消込</t>
    <rPh sb="0" eb="1">
      <t>ミ</t>
    </rPh>
    <rPh sb="1" eb="3">
      <t>ケシコミ</t>
    </rPh>
    <phoneticPr fontId="5"/>
  </si>
  <si>
    <t>承認</t>
    <rPh sb="0" eb="2">
      <t>ショウニン</t>
    </rPh>
    <phoneticPr fontId="5"/>
  </si>
  <si>
    <t>不承認</t>
    <rPh sb="0" eb="3">
      <t>フショウニン</t>
    </rPh>
    <phoneticPr fontId="5"/>
  </si>
  <si>
    <t>AY12003</t>
  </si>
  <si>
    <t>要再申請</t>
    <phoneticPr fontId="5"/>
  </si>
  <si>
    <t>要再申請</t>
    <rPh sb="0" eb="1">
      <t>ヨウ</t>
    </rPh>
    <rPh sb="1" eb="2">
      <t>サイ</t>
    </rPh>
    <rPh sb="2" eb="4">
      <t>シンセイ</t>
    </rPh>
    <phoneticPr fontId="5"/>
  </si>
  <si>
    <t>⑩</t>
    <phoneticPr fontId="5"/>
  </si>
  <si>
    <t>消込確認</t>
    <rPh sb="0" eb="2">
      <t>ケシコミ</t>
    </rPh>
    <rPh sb="2" eb="4">
      <t>カクニン</t>
    </rPh>
    <phoneticPr fontId="5"/>
  </si>
  <si>
    <t>消込完了</t>
    <phoneticPr fontId="5"/>
  </si>
  <si>
    <t>：部支店長承認）</t>
    <phoneticPr fontId="5"/>
  </si>
  <si>
    <t>起点シナリオ（部支店長承認）</t>
    <phoneticPr fontId="5"/>
  </si>
  <si>
    <t>起点シナリオ（課支社長承認）</t>
    <phoneticPr fontId="5"/>
  </si>
  <si>
    <t>⑪</t>
    <phoneticPr fontId="5"/>
  </si>
  <si>
    <t>⑫</t>
    <phoneticPr fontId="5"/>
  </si>
  <si>
    <t>AY12101</t>
    <phoneticPr fontId="5"/>
  </si>
  <si>
    <t>承認依頼</t>
    <phoneticPr fontId="5"/>
  </si>
  <si>
    <t>(同上)</t>
    <phoneticPr fontId="5"/>
  </si>
  <si>
    <t>AY12102</t>
    <phoneticPr fontId="5"/>
  </si>
  <si>
    <t>⑬</t>
    <phoneticPr fontId="5"/>
  </si>
  <si>
    <t>⑭</t>
    <phoneticPr fontId="5"/>
  </si>
  <si>
    <t>⑮</t>
    <phoneticPr fontId="5"/>
  </si>
  <si>
    <t>AY12104</t>
    <phoneticPr fontId="5"/>
  </si>
  <si>
    <t>⑯</t>
    <phoneticPr fontId="5"/>
  </si>
  <si>
    <t>承認待ち</t>
    <phoneticPr fontId="5"/>
  </si>
  <si>
    <t>⑰</t>
    <phoneticPr fontId="5"/>
  </si>
  <si>
    <t>対応登録</t>
    <rPh sb="0" eb="4">
      <t>タイオウトウロク</t>
    </rPh>
    <phoneticPr fontId="5"/>
  </si>
  <si>
    <t>⑱</t>
    <phoneticPr fontId="5"/>
  </si>
  <si>
    <t>⑲</t>
    <phoneticPr fontId="5"/>
  </si>
  <si>
    <t>⑳</t>
    <phoneticPr fontId="5"/>
  </si>
  <si>
    <t>㉑</t>
    <phoneticPr fontId="5"/>
  </si>
  <si>
    <t>起点シナリオ（確認ベース）</t>
    <rPh sb="7" eb="9">
      <t>カクニン</t>
    </rPh>
    <phoneticPr fontId="5"/>
  </si>
  <si>
    <t>不承認（承認依頼時）</t>
    <phoneticPr fontId="5"/>
  </si>
  <si>
    <t>不承認（申請依頼時）</t>
    <phoneticPr fontId="5"/>
  </si>
  <si>
    <t>申請依頼</t>
  </si>
  <si>
    <t>（不承認取消（申請依頼時）</t>
    <phoneticPr fontId="5"/>
  </si>
  <si>
    <t>（不承認取消（承認依頼時）</t>
    <phoneticPr fontId="5"/>
  </si>
  <si>
    <t>（承認依頼取消）</t>
    <phoneticPr fontId="5"/>
  </si>
  <si>
    <t>要再申請（申請依頼時）</t>
    <phoneticPr fontId="5"/>
  </si>
  <si>
    <t>要再申請（承認依頼時）</t>
    <phoneticPr fontId="5"/>
  </si>
  <si>
    <t>承認（課支社長承認）</t>
    <rPh sb="3" eb="6">
      <t>カシシャ</t>
    </rPh>
    <rPh sb="6" eb="7">
      <t>チョウ</t>
    </rPh>
    <phoneticPr fontId="5"/>
  </si>
  <si>
    <t>不承認（申請依頼時）</t>
    <rPh sb="0" eb="3">
      <t>フショウニン</t>
    </rPh>
    <phoneticPr fontId="5"/>
  </si>
  <si>
    <t>不承認（承認依頼時）</t>
    <rPh sb="0" eb="3">
      <t>フショウニン</t>
    </rPh>
    <phoneticPr fontId="5"/>
  </si>
  <si>
    <t>不承認取消（申請依頼時）</t>
    <rPh sb="0" eb="3">
      <t>フショウニン</t>
    </rPh>
    <rPh sb="3" eb="5">
      <t>トリケシ</t>
    </rPh>
    <rPh sb="6" eb="8">
      <t>シンセイ</t>
    </rPh>
    <rPh sb="8" eb="10">
      <t>イライ</t>
    </rPh>
    <rPh sb="10" eb="11">
      <t>ジ</t>
    </rPh>
    <phoneticPr fontId="5"/>
  </si>
  <si>
    <t>不承認取消（承認依頼時）</t>
    <rPh sb="0" eb="3">
      <t>フショウニン</t>
    </rPh>
    <rPh sb="3" eb="5">
      <t>トリケシ</t>
    </rPh>
    <rPh sb="6" eb="8">
      <t>ショウニン</t>
    </rPh>
    <rPh sb="8" eb="10">
      <t>イライ</t>
    </rPh>
    <rPh sb="10" eb="11">
      <t>ジ</t>
    </rPh>
    <phoneticPr fontId="5"/>
  </si>
  <si>
    <t>申請依頼取消</t>
    <rPh sb="4" eb="5">
      <t>ト</t>
    </rPh>
    <rPh sb="5" eb="6">
      <t>ケ</t>
    </rPh>
    <phoneticPr fontId="5"/>
  </si>
  <si>
    <t>承認依頼取消</t>
    <rPh sb="0" eb="2">
      <t>ショウニン</t>
    </rPh>
    <rPh sb="2" eb="4">
      <t>イライ</t>
    </rPh>
    <rPh sb="4" eb="6">
      <t>トリケシ</t>
    </rPh>
    <phoneticPr fontId="5"/>
  </si>
  <si>
    <t>（申請依頼取消）</t>
    <rPh sb="5" eb="7">
      <t>トリケシ</t>
    </rPh>
    <phoneticPr fontId="5"/>
  </si>
  <si>
    <t>㉒</t>
    <phoneticPr fontId="5"/>
  </si>
  <si>
    <t>㉓</t>
    <phoneticPr fontId="5"/>
  </si>
  <si>
    <t>㉔</t>
    <phoneticPr fontId="5"/>
  </si>
  <si>
    <t>㉕</t>
    <phoneticPr fontId="5"/>
  </si>
  <si>
    <t>㉖</t>
    <phoneticPr fontId="5"/>
  </si>
  <si>
    <t>申請・確認基準</t>
    <rPh sb="0" eb="2">
      <t>シンセイ</t>
    </rPh>
    <rPh sb="3" eb="5">
      <t>カクニン</t>
    </rPh>
    <rPh sb="5" eb="7">
      <t>キジュン</t>
    </rPh>
    <phoneticPr fontId="5"/>
  </si>
  <si>
    <t>不承認</t>
    <phoneticPr fontId="5"/>
  </si>
  <si>
    <t xml:space="preserve">ID　利用ユーザ </t>
  </si>
  <si>
    <t>0000000001</t>
    <phoneticPr fontId="5"/>
  </si>
  <si>
    <t>0000000002</t>
    <phoneticPr fontId="5"/>
  </si>
  <si>
    <t>0000000003</t>
    <phoneticPr fontId="5"/>
  </si>
  <si>
    <t>0000000004</t>
    <phoneticPr fontId="5"/>
  </si>
  <si>
    <t>0000000005</t>
    <phoneticPr fontId="5"/>
  </si>
  <si>
    <t>0000000006</t>
    <phoneticPr fontId="5"/>
  </si>
  <si>
    <t>0000000007</t>
    <phoneticPr fontId="5"/>
  </si>
  <si>
    <t>0000000008</t>
    <phoneticPr fontId="5"/>
  </si>
  <si>
    <t>0000000009</t>
    <phoneticPr fontId="5"/>
  </si>
  <si>
    <t>0000000010</t>
    <phoneticPr fontId="5"/>
  </si>
  <si>
    <t>0000000011</t>
    <phoneticPr fontId="5"/>
  </si>
  <si>
    <t>0000000012</t>
    <phoneticPr fontId="5"/>
  </si>
  <si>
    <t>0000000013</t>
    <phoneticPr fontId="5"/>
  </si>
  <si>
    <t>0000000014</t>
    <phoneticPr fontId="5"/>
  </si>
  <si>
    <t>0000000015</t>
    <phoneticPr fontId="5"/>
  </si>
  <si>
    <t>0000000016</t>
    <phoneticPr fontId="5"/>
  </si>
  <si>
    <t>0000000017</t>
    <phoneticPr fontId="5"/>
  </si>
  <si>
    <t>0000000018</t>
    <phoneticPr fontId="5"/>
  </si>
  <si>
    <t>0000000019</t>
    <phoneticPr fontId="5"/>
  </si>
  <si>
    <t>0000000020</t>
    <phoneticPr fontId="5"/>
  </si>
  <si>
    <t>0000000021</t>
    <phoneticPr fontId="5"/>
  </si>
  <si>
    <t>0000000022</t>
    <phoneticPr fontId="5"/>
  </si>
  <si>
    <t>0000000023</t>
    <phoneticPr fontId="5"/>
  </si>
  <si>
    <t>0000000024</t>
    <phoneticPr fontId="5"/>
  </si>
  <si>
    <t>0000000025</t>
    <phoneticPr fontId="5"/>
  </si>
  <si>
    <t>0000000026</t>
    <phoneticPr fontId="5"/>
  </si>
  <si>
    <t>0000000027</t>
    <phoneticPr fontId="5"/>
  </si>
  <si>
    <t>0000000028</t>
    <phoneticPr fontId="5"/>
  </si>
  <si>
    <t>0000000029</t>
    <phoneticPr fontId="5"/>
  </si>
  <si>
    <t>0000000030</t>
    <phoneticPr fontId="5"/>
  </si>
  <si>
    <t>0000000031</t>
    <phoneticPr fontId="5"/>
  </si>
  <si>
    <t>0000000032</t>
    <phoneticPr fontId="5"/>
  </si>
  <si>
    <t>0000000033</t>
    <phoneticPr fontId="5"/>
  </si>
  <si>
    <t>0000000034</t>
    <phoneticPr fontId="5"/>
  </si>
  <si>
    <t>0000000035</t>
    <phoneticPr fontId="5"/>
  </si>
  <si>
    <t>0000000036</t>
    <phoneticPr fontId="5"/>
  </si>
  <si>
    <t>0000000037</t>
    <phoneticPr fontId="5"/>
  </si>
  <si>
    <t>0000000038</t>
    <phoneticPr fontId="5"/>
  </si>
  <si>
    <t>0000000039</t>
    <phoneticPr fontId="5"/>
  </si>
  <si>
    <t>「申請依頼」</t>
    <rPh sb="1" eb="3">
      <t>シンセイ</t>
    </rPh>
    <rPh sb="3" eb="5">
      <t>イライ</t>
    </rPh>
    <phoneticPr fontId="5"/>
  </si>
  <si>
    <t>0000000040</t>
    <phoneticPr fontId="5"/>
  </si>
  <si>
    <t>0000000041</t>
    <phoneticPr fontId="5"/>
  </si>
  <si>
    <t>0000000042</t>
    <phoneticPr fontId="5"/>
  </si>
  <si>
    <t>0000000043</t>
    <phoneticPr fontId="5"/>
  </si>
  <si>
    <t>0000000044</t>
    <phoneticPr fontId="5"/>
  </si>
  <si>
    <t>0000000045</t>
    <phoneticPr fontId="5"/>
  </si>
  <si>
    <t>0000000046</t>
    <phoneticPr fontId="5"/>
  </si>
  <si>
    <t>0000000047</t>
    <phoneticPr fontId="5"/>
  </si>
  <si>
    <t>0000000048</t>
    <phoneticPr fontId="5"/>
  </si>
  <si>
    <t>0000000049</t>
    <phoneticPr fontId="5"/>
  </si>
  <si>
    <t>0000000050</t>
    <phoneticPr fontId="5"/>
  </si>
  <si>
    <t>0000000051</t>
    <phoneticPr fontId="5"/>
  </si>
  <si>
    <t>0000000052</t>
    <phoneticPr fontId="5"/>
  </si>
  <si>
    <t>0000000053</t>
    <phoneticPr fontId="5"/>
  </si>
  <si>
    <t>0000000054</t>
    <phoneticPr fontId="5"/>
  </si>
  <si>
    <t>0000000055</t>
    <phoneticPr fontId="5"/>
  </si>
  <si>
    <t>0000000056</t>
    <phoneticPr fontId="5"/>
  </si>
  <si>
    <t>0000000057</t>
    <phoneticPr fontId="5"/>
  </si>
  <si>
    <t>0000000058</t>
    <phoneticPr fontId="5"/>
  </si>
  <si>
    <t>0000000059</t>
    <phoneticPr fontId="5"/>
  </si>
  <si>
    <t>0000000060</t>
    <phoneticPr fontId="5"/>
  </si>
  <si>
    <t>0000000061</t>
    <phoneticPr fontId="5"/>
  </si>
  <si>
    <t>0000000062</t>
    <phoneticPr fontId="5"/>
  </si>
  <si>
    <t>AY12003</t>
    <phoneticPr fontId="5"/>
  </si>
  <si>
    <t>0000000063</t>
    <phoneticPr fontId="5"/>
  </si>
  <si>
    <t>0000000064</t>
    <phoneticPr fontId="5"/>
  </si>
  <si>
    <t>0000000065</t>
    <phoneticPr fontId="5"/>
  </si>
  <si>
    <t>0000000066</t>
    <phoneticPr fontId="5"/>
  </si>
  <si>
    <t>承認済</t>
    <phoneticPr fontId="5"/>
  </si>
  <si>
    <t>承認済</t>
    <rPh sb="0" eb="2">
      <t>ショウニン</t>
    </rPh>
    <rPh sb="2" eb="3">
      <t>スミ</t>
    </rPh>
    <phoneticPr fontId="5"/>
  </si>
  <si>
    <t>「承認依頼」</t>
    <rPh sb="1" eb="3">
      <t>ショウニン</t>
    </rPh>
    <rPh sb="3" eb="5">
      <t>イライ</t>
    </rPh>
    <phoneticPr fontId="5"/>
  </si>
  <si>
    <t>「不承認」</t>
    <rPh sb="1" eb="4">
      <t>フショウニン</t>
    </rPh>
    <phoneticPr fontId="5"/>
  </si>
  <si>
    <t>「承認」</t>
    <rPh sb="1" eb="3">
      <t>ショウニン</t>
    </rPh>
    <phoneticPr fontId="5"/>
  </si>
  <si>
    <t>「取消」</t>
    <rPh sb="1" eb="3">
      <t>トリケシ</t>
    </rPh>
    <phoneticPr fontId="5"/>
  </si>
  <si>
    <t>「対応登録」</t>
    <rPh sb="1" eb="3">
      <t>タイオウ</t>
    </rPh>
    <rPh sb="3" eb="5">
      <t>トウロク</t>
    </rPh>
    <phoneticPr fontId="5"/>
  </si>
  <si>
    <t>「要再申請」</t>
    <rPh sb="1" eb="5">
      <t>ヨウサイシンセイ</t>
    </rPh>
    <phoneticPr fontId="5"/>
  </si>
  <si>
    <t>システム管理者のみ削除可能</t>
    <rPh sb="4" eb="7">
      <t>カンリシャ</t>
    </rPh>
    <rPh sb="9" eb="11">
      <t>サクジョ</t>
    </rPh>
    <rPh sb="11" eb="13">
      <t>カノウ</t>
    </rPh>
    <phoneticPr fontId="5"/>
  </si>
  <si>
    <t>0000000067</t>
    <phoneticPr fontId="5"/>
  </si>
  <si>
    <t>0000000068</t>
    <phoneticPr fontId="5"/>
  </si>
  <si>
    <t>0000000069</t>
    <phoneticPr fontId="5"/>
  </si>
  <si>
    <t>0000000070</t>
    <phoneticPr fontId="5"/>
  </si>
  <si>
    <t>0000000071</t>
    <phoneticPr fontId="5"/>
  </si>
  <si>
    <t>0000000072</t>
    <phoneticPr fontId="5"/>
  </si>
  <si>
    <t>0000000073</t>
    <phoneticPr fontId="5"/>
  </si>
  <si>
    <t>0000000074</t>
    <phoneticPr fontId="5"/>
  </si>
  <si>
    <t>0000000075</t>
    <phoneticPr fontId="5"/>
  </si>
  <si>
    <t>0000000076</t>
    <phoneticPr fontId="5"/>
  </si>
  <si>
    <t>0000000077</t>
    <phoneticPr fontId="5"/>
  </si>
  <si>
    <t>0000000078</t>
    <phoneticPr fontId="5"/>
  </si>
  <si>
    <t>0000000079</t>
    <phoneticPr fontId="5"/>
  </si>
  <si>
    <t>0000000080</t>
    <phoneticPr fontId="5"/>
  </si>
  <si>
    <t>0000000081</t>
    <phoneticPr fontId="5"/>
  </si>
  <si>
    <t>0000000082</t>
    <phoneticPr fontId="5"/>
  </si>
  <si>
    <t>0000000083</t>
    <phoneticPr fontId="5"/>
  </si>
  <si>
    <t>0000000084</t>
    <phoneticPr fontId="5"/>
  </si>
  <si>
    <t>0000000085</t>
    <phoneticPr fontId="5"/>
  </si>
  <si>
    <t>不承認取消</t>
    <phoneticPr fontId="5"/>
  </si>
  <si>
    <t>承認依頼取消</t>
    <rPh sb="0" eb="2">
      <t>ショウニン</t>
    </rPh>
    <phoneticPr fontId="5"/>
  </si>
  <si>
    <t>承認待ち</t>
  </si>
  <si>
    <t>未申請</t>
  </si>
  <si>
    <t>未申請</t>
    <phoneticPr fontId="5"/>
  </si>
  <si>
    <t>0000000086</t>
    <phoneticPr fontId="5"/>
  </si>
  <si>
    <t>0000000087</t>
    <phoneticPr fontId="5"/>
  </si>
  <si>
    <t>0000000088</t>
    <phoneticPr fontId="5"/>
  </si>
  <si>
    <t>0000000089</t>
    <phoneticPr fontId="5"/>
  </si>
  <si>
    <t>0000000090</t>
    <phoneticPr fontId="5"/>
  </si>
  <si>
    <t>0000000091</t>
    <phoneticPr fontId="5"/>
  </si>
  <si>
    <t>0000000092</t>
    <phoneticPr fontId="5"/>
  </si>
  <si>
    <t>0000000093</t>
    <phoneticPr fontId="5"/>
  </si>
  <si>
    <t>0000000094</t>
    <phoneticPr fontId="5"/>
  </si>
  <si>
    <t>0000000095</t>
    <phoneticPr fontId="5"/>
  </si>
  <si>
    <t>0000000096</t>
    <phoneticPr fontId="5"/>
  </si>
  <si>
    <t>0000000097</t>
    <phoneticPr fontId="5"/>
  </si>
  <si>
    <t>0000000098</t>
    <phoneticPr fontId="5"/>
  </si>
  <si>
    <t>0000000099</t>
    <phoneticPr fontId="5"/>
  </si>
  <si>
    <t>0000000100</t>
    <phoneticPr fontId="5"/>
  </si>
  <si>
    <t>0000000101</t>
    <phoneticPr fontId="5"/>
  </si>
  <si>
    <t>0000000102</t>
    <phoneticPr fontId="5"/>
  </si>
  <si>
    <t>(空欄)→未申請</t>
    <rPh sb="1" eb="3">
      <t>クウラン</t>
    </rPh>
    <rPh sb="5" eb="8">
      <t>ミシンセイ</t>
    </rPh>
    <phoneticPr fontId="5"/>
  </si>
  <si>
    <t>未申請→申請依頼</t>
    <rPh sb="0" eb="3">
      <t>ミシンセイ</t>
    </rPh>
    <rPh sb="4" eb="6">
      <t>シンセイ</t>
    </rPh>
    <rPh sb="6" eb="8">
      <t>イライ</t>
    </rPh>
    <phoneticPr fontId="5"/>
  </si>
  <si>
    <t>未申請→申請依頼</t>
    <rPh sb="0" eb="3">
      <t>ミシンセイ</t>
    </rPh>
    <rPh sb="4" eb="8">
      <t>シンセイイライ</t>
    </rPh>
    <phoneticPr fontId="5"/>
  </si>
  <si>
    <t>申請依頼→承認待ち</t>
    <rPh sb="0" eb="2">
      <t>シンセイ</t>
    </rPh>
    <rPh sb="2" eb="4">
      <t>イライ</t>
    </rPh>
    <rPh sb="5" eb="8">
      <t>ショウニンマ</t>
    </rPh>
    <phoneticPr fontId="5"/>
  </si>
  <si>
    <t>申請依頼→不承認</t>
    <rPh sb="0" eb="2">
      <t>シンセイ</t>
    </rPh>
    <rPh sb="2" eb="4">
      <t>イライ</t>
    </rPh>
    <rPh sb="5" eb="8">
      <t>フショウニン</t>
    </rPh>
    <phoneticPr fontId="5"/>
  </si>
  <si>
    <t>承認待ち→不承認</t>
    <rPh sb="0" eb="2">
      <t>ショウニン</t>
    </rPh>
    <rPh sb="2" eb="3">
      <t>マ</t>
    </rPh>
    <rPh sb="5" eb="8">
      <t>フショウニン</t>
    </rPh>
    <phoneticPr fontId="5"/>
  </si>
  <si>
    <t>承認待ち→承認済</t>
    <rPh sb="0" eb="3">
      <t>ショウニンマ</t>
    </rPh>
    <rPh sb="5" eb="7">
      <t>ショウニン</t>
    </rPh>
    <rPh sb="7" eb="8">
      <t>スミ</t>
    </rPh>
    <phoneticPr fontId="5"/>
  </si>
  <si>
    <t>不承認→申請依頼</t>
    <rPh sb="0" eb="3">
      <t>フショウニン</t>
    </rPh>
    <rPh sb="4" eb="6">
      <t>シンセイ</t>
    </rPh>
    <rPh sb="6" eb="8">
      <t>イライ</t>
    </rPh>
    <phoneticPr fontId="5"/>
  </si>
  <si>
    <t>不承認→承認待ち</t>
    <rPh sb="0" eb="3">
      <t>フショウニン</t>
    </rPh>
    <rPh sb="4" eb="7">
      <t>ショウニンマ</t>
    </rPh>
    <phoneticPr fontId="5"/>
  </si>
  <si>
    <t>申請依頼→未申請or要再申請</t>
    <rPh sb="0" eb="4">
      <t>シンセイイライ</t>
    </rPh>
    <rPh sb="5" eb="8">
      <t>ミシンセイ</t>
    </rPh>
    <phoneticPr fontId="5"/>
  </si>
  <si>
    <t>申請依頼→要再申請</t>
    <rPh sb="0" eb="2">
      <t>シンセイ</t>
    </rPh>
    <rPh sb="2" eb="4">
      <t>イライ</t>
    </rPh>
    <phoneticPr fontId="5"/>
  </si>
  <si>
    <t>承認待ち→要再申請</t>
    <rPh sb="0" eb="3">
      <t>ショウニンマ</t>
    </rPh>
    <phoneticPr fontId="5"/>
  </si>
  <si>
    <t>未消込→消込完了</t>
    <rPh sb="0" eb="3">
      <t>ミケシコミ</t>
    </rPh>
    <rPh sb="4" eb="6">
      <t>ケシコミ</t>
    </rPh>
    <rPh sb="6" eb="8">
      <t>カンリョウ</t>
    </rPh>
    <phoneticPr fontId="5"/>
  </si>
  <si>
    <t>未申請→承認待ち</t>
    <rPh sb="0" eb="3">
      <t>ミシンセイ</t>
    </rPh>
    <rPh sb="4" eb="7">
      <t>ショウニンマ</t>
    </rPh>
    <phoneticPr fontId="5"/>
  </si>
  <si>
    <t>承認待ち→不承認</t>
    <rPh sb="0" eb="3">
      <t>ショウニンマ</t>
    </rPh>
    <rPh sb="5" eb="8">
      <t>フショウニン</t>
    </rPh>
    <phoneticPr fontId="5"/>
  </si>
  <si>
    <t>不承認→承認待ち</t>
    <rPh sb="0" eb="4">
      <t>フショウニンミギ</t>
    </rPh>
    <rPh sb="4" eb="7">
      <t>ショウニンマ</t>
    </rPh>
    <phoneticPr fontId="5"/>
  </si>
  <si>
    <t>承認待ち→未申請or要再申請</t>
    <rPh sb="0" eb="2">
      <t>ショウニン</t>
    </rPh>
    <rPh sb="2" eb="3">
      <t>マ</t>
    </rPh>
    <rPh sb="5" eb="8">
      <t>ミシンセイ</t>
    </rPh>
    <rPh sb="10" eb="11">
      <t>ヨウ</t>
    </rPh>
    <rPh sb="11" eb="12">
      <t>サイ</t>
    </rPh>
    <rPh sb="12" eb="14">
      <t>シンセイ</t>
    </rPh>
    <phoneticPr fontId="5"/>
  </si>
  <si>
    <t>承認待ち→要再申請</t>
    <rPh sb="0" eb="2">
      <t>ショウニン</t>
    </rPh>
    <rPh sb="2" eb="3">
      <t>マ</t>
    </rPh>
    <rPh sb="5" eb="9">
      <t>ヨウサイシンセイ</t>
    </rPh>
    <phoneticPr fontId="5"/>
  </si>
  <si>
    <t>（不承認取消）</t>
  </si>
  <si>
    <t>　→　利用権限有/無</t>
  </si>
  <si>
    <t>　→　一般/システム管理者</t>
  </si>
  <si>
    <t>利用権限によるシステム利用可否の確認</t>
  </si>
  <si>
    <t>ユーザ権限の確認</t>
  </si>
  <si>
    <t>開閉局の確認</t>
    <phoneticPr fontId="5"/>
  </si>
  <si>
    <t>要再申請</t>
  </si>
  <si>
    <t>メニュー画面</t>
    <phoneticPr fontId="15"/>
  </si>
  <si>
    <t>利用権限なし</t>
    <rPh sb="0" eb="2">
      <t>リヨウ</t>
    </rPh>
    <rPh sb="2" eb="4">
      <t>ケンゲン</t>
    </rPh>
    <phoneticPr fontId="5"/>
  </si>
  <si>
    <t>対象ユーザを含める（一般/システム管理者）</t>
    <rPh sb="0" eb="2">
      <t>タイショウ</t>
    </rPh>
    <rPh sb="6" eb="7">
      <t>フク</t>
    </rPh>
    <rPh sb="10" eb="12">
      <t>イッパン</t>
    </rPh>
    <rPh sb="17" eb="20">
      <t>カンリシャ</t>
    </rPh>
    <phoneticPr fontId="5"/>
  </si>
  <si>
    <t>↓　バッチ実行後</t>
    <phoneticPr fontId="5"/>
  </si>
  <si>
    <t>利用権限あり</t>
    <rPh sb="0" eb="2">
      <t>リヨウ</t>
    </rPh>
    <rPh sb="2" eb="4">
      <t>ケンゲン</t>
    </rPh>
    <phoneticPr fontId="5"/>
  </si>
  <si>
    <t>管理者権限の確認</t>
    <rPh sb="0" eb="3">
      <t>カンリシャ</t>
    </rPh>
    <rPh sb="3" eb="5">
      <t>ケンゲン</t>
    </rPh>
    <rPh sb="6" eb="8">
      <t>カクニン</t>
    </rPh>
    <phoneticPr fontId="5"/>
  </si>
  <si>
    <t>管理者権限の場合、</t>
    <phoneticPr fontId="5"/>
  </si>
  <si>
    <t>削除ボタンが活性になっていることを確認する。</t>
    <rPh sb="0" eb="2">
      <t>サクジョ</t>
    </rPh>
    <phoneticPr fontId="5"/>
  </si>
  <si>
    <t>↓　メニュー</t>
    <phoneticPr fontId="5"/>
  </si>
  <si>
    <t>↓　メニュー</t>
  </si>
  <si>
    <t>例外処理の確認（セッションタイムアウト）</t>
    <rPh sb="0" eb="2">
      <t>レイガイ</t>
    </rPh>
    <rPh sb="2" eb="4">
      <t>ショリ</t>
    </rPh>
    <rPh sb="5" eb="7">
      <t>カクニン</t>
    </rPh>
    <phoneticPr fontId="5"/>
  </si>
  <si>
    <t>親画面/子画面（ポップアップ）</t>
    <phoneticPr fontId="5"/>
  </si>
  <si>
    <t>親画面/子画面（ポップアップ）</t>
  </si>
  <si>
    <t>↓（別画面へ遷移）</t>
    <rPh sb="2" eb="3">
      <t>ベツ</t>
    </rPh>
    <rPh sb="3" eb="5">
      <t>ガメン</t>
    </rPh>
    <rPh sb="6" eb="8">
      <t>センイ</t>
    </rPh>
    <phoneticPr fontId="5"/>
  </si>
  <si>
    <t>例外処理の確認（システムエラー：DB接続失敗）</t>
    <rPh sb="0" eb="2">
      <t>レイガイ</t>
    </rPh>
    <rPh sb="2" eb="4">
      <t>ショリ</t>
    </rPh>
    <rPh sb="5" eb="7">
      <t>カクニン</t>
    </rPh>
    <rPh sb="18" eb="20">
      <t>セツゾク</t>
    </rPh>
    <rPh sb="20" eb="22">
      <t>シッパイ</t>
    </rPh>
    <phoneticPr fontId="5"/>
  </si>
  <si>
    <t>業務DBの停止を伴うため、状況により実施不可で整理する。</t>
    <rPh sb="0" eb="2">
      <t>ギョウム</t>
    </rPh>
    <rPh sb="5" eb="7">
      <t>テイシ</t>
    </rPh>
    <rPh sb="8" eb="9">
      <t>トモナ</t>
    </rPh>
    <rPh sb="13" eb="15">
      <t>ジョウキョウ</t>
    </rPh>
    <rPh sb="18" eb="22">
      <t>ジッシフカ</t>
    </rPh>
    <rPh sb="23" eb="25">
      <t>セイリ</t>
    </rPh>
    <phoneticPr fontId="5"/>
  </si>
  <si>
    <t>ダミーログイン画面</t>
    <rPh sb="7" eb="9">
      <t>ガメン</t>
    </rPh>
    <phoneticPr fontId="5"/>
  </si>
  <si>
    <t>システムエラー画面</t>
    <rPh sb="7" eb="9">
      <t>ガメン</t>
    </rPh>
    <phoneticPr fontId="5"/>
  </si>
  <si>
    <t>例外処理の確認（システムエラー：想定外の遷移）</t>
    <rPh sb="0" eb="2">
      <t>レイガイ</t>
    </rPh>
    <rPh sb="2" eb="4">
      <t>ショリ</t>
    </rPh>
    <rPh sb="5" eb="7">
      <t>カクニン</t>
    </rPh>
    <rPh sb="16" eb="18">
      <t>ソウテイ</t>
    </rPh>
    <rPh sb="18" eb="19">
      <t>ガイ</t>
    </rPh>
    <rPh sb="20" eb="22">
      <t>センイ</t>
    </rPh>
    <phoneticPr fontId="5"/>
  </si>
  <si>
    <t>例外処理の確認（権限エラー）</t>
    <rPh sb="0" eb="2">
      <t>レイガイ</t>
    </rPh>
    <rPh sb="2" eb="4">
      <t>ショリ</t>
    </rPh>
    <rPh sb="5" eb="7">
      <t>カクニン</t>
    </rPh>
    <rPh sb="8" eb="10">
      <t>ケンゲン</t>
    </rPh>
    <phoneticPr fontId="5"/>
  </si>
  <si>
    <t>例外処理の確認（ESB呼び出しエラー）</t>
    <rPh sb="0" eb="2">
      <t>レイガイ</t>
    </rPh>
    <rPh sb="2" eb="4">
      <t>ショリ</t>
    </rPh>
    <rPh sb="5" eb="7">
      <t>カクニン</t>
    </rPh>
    <rPh sb="11" eb="12">
      <t>ヨ</t>
    </rPh>
    <rPh sb="13" eb="14">
      <t>ダ</t>
    </rPh>
    <phoneticPr fontId="5"/>
  </si>
  <si>
    <t>・ダウンロード認証</t>
  </si>
  <si>
    <t>・メール送信</t>
  </si>
  <si>
    <t>ダウンロード認証</t>
    <rPh sb="6" eb="8">
      <t>ニンショウ</t>
    </rPh>
    <phoneticPr fontId="5"/>
  </si>
  <si>
    <t>混在</t>
  </si>
  <si>
    <t>メッセージ（ポップアップ）</t>
    <phoneticPr fontId="5"/>
  </si>
  <si>
    <t>「検索結果出力」押下</t>
    <rPh sb="1" eb="3">
      <t>ケンサク</t>
    </rPh>
    <rPh sb="3" eb="5">
      <t>ケッカ</t>
    </rPh>
    <rPh sb="5" eb="7">
      <t>シュツリョク</t>
    </rPh>
    <rPh sb="8" eb="10">
      <t>オウカ</t>
    </rPh>
    <phoneticPr fontId="5"/>
  </si>
  <si>
    <t>IT1</t>
  </si>
  <si>
    <t>タイムゾーンの確認</t>
    <rPh sb="7" eb="9">
      <t>カクニン</t>
    </rPh>
    <phoneticPr fontId="5"/>
  </si>
  <si>
    <t>リンクの遷移確認</t>
    <rPh sb="4" eb="6">
      <t>センイ</t>
    </rPh>
    <rPh sb="6" eb="8">
      <t>カクニン</t>
    </rPh>
    <phoneticPr fontId="5"/>
  </si>
  <si>
    <t>遷移のみ確認。実際の画面の確認は総合試験で実施。</t>
    <rPh sb="0" eb="2">
      <t>センイ</t>
    </rPh>
    <rPh sb="4" eb="6">
      <t>カクニン</t>
    </rPh>
    <rPh sb="7" eb="9">
      <t>ジッサイ</t>
    </rPh>
    <rPh sb="10" eb="12">
      <t>ガメン</t>
    </rPh>
    <rPh sb="13" eb="15">
      <t>カクニン</t>
    </rPh>
    <rPh sb="16" eb="18">
      <t>ソウゴウ</t>
    </rPh>
    <rPh sb="18" eb="20">
      <t>シケン</t>
    </rPh>
    <rPh sb="21" eb="23">
      <t>ジッシ</t>
    </rPh>
    <phoneticPr fontId="5"/>
  </si>
  <si>
    <t>（マニュアル画面）</t>
    <rPh sb="6" eb="8">
      <t>ガメン</t>
    </rPh>
    <phoneticPr fontId="5"/>
  </si>
  <si>
    <t>システムエラー画面</t>
  </si>
  <si>
    <t>検索条件に応じた検索結果の確認</t>
    <rPh sb="0" eb="2">
      <t>ケンサク</t>
    </rPh>
    <rPh sb="2" eb="4">
      <t>ジョウケン</t>
    </rPh>
    <rPh sb="5" eb="6">
      <t>オウ</t>
    </rPh>
    <rPh sb="8" eb="10">
      <t>ケンサク</t>
    </rPh>
    <rPh sb="10" eb="12">
      <t>ケッカ</t>
    </rPh>
    <rPh sb="13" eb="15">
      <t>カクニン</t>
    </rPh>
    <phoneticPr fontId="5"/>
  </si>
  <si>
    <t>他システム連携の確認（ダウンロード承認）</t>
    <phoneticPr fontId="5"/>
  </si>
  <si>
    <t>「検索」</t>
    <rPh sb="1" eb="3">
      <t>ケンサク</t>
    </rPh>
    <phoneticPr fontId="5"/>
  </si>
  <si>
    <t>検索結果（1件以上/0件）</t>
    <rPh sb="0" eb="2">
      <t>ケンサク</t>
    </rPh>
    <rPh sb="2" eb="4">
      <t>ケッカ</t>
    </rPh>
    <rPh sb="6" eb="7">
      <t>ケン</t>
    </rPh>
    <rPh sb="7" eb="9">
      <t>イジョウ</t>
    </rPh>
    <rPh sb="11" eb="12">
      <t>ケン</t>
    </rPh>
    <phoneticPr fontId="5"/>
  </si>
  <si>
    <t>「検索結果出力」</t>
    <rPh sb="1" eb="3">
      <t>ケンサク</t>
    </rPh>
    <rPh sb="3" eb="5">
      <t>ケッカ</t>
    </rPh>
    <rPh sb="5" eb="7">
      <t>シュツリョク</t>
    </rPh>
    <phoneticPr fontId="5"/>
  </si>
  <si>
    <t>対象帳票一覧（CSV形式）</t>
    <phoneticPr fontId="5"/>
  </si>
  <si>
    <t>申込書情報ファイル</t>
    <phoneticPr fontId="5"/>
  </si>
  <si>
    <t>申込書情報（詳細）ファイル</t>
    <rPh sb="6" eb="8">
      <t>ショウサイ</t>
    </rPh>
    <phoneticPr fontId="5"/>
  </si>
  <si>
    <t>申請承認一覧画面の動作確認</t>
    <phoneticPr fontId="5"/>
  </si>
  <si>
    <t>MS/AD</t>
  </si>
  <si>
    <t>メール送受信確認</t>
  </si>
  <si>
    <t>メール種類</t>
    <rPh sb="3" eb="5">
      <t>シュルイ</t>
    </rPh>
    <phoneticPr fontId="5"/>
  </si>
  <si>
    <t>集計内容の現新確認</t>
  </si>
  <si>
    <t>・異例取扱理由集計情報ファイル</t>
  </si>
  <si>
    <t>・申請状況集計情報ファイル</t>
  </si>
  <si>
    <t>・変更事由集計情報ファイル</t>
  </si>
  <si>
    <t>「集計」</t>
    <rPh sb="1" eb="3">
      <t>シュウケイ</t>
    </rPh>
    <phoneticPr fontId="5"/>
  </si>
  <si>
    <t>業務（日次）</t>
    <rPh sb="0" eb="2">
      <t>ギョウム</t>
    </rPh>
    <rPh sb="3" eb="5">
      <t>ニチジ</t>
    </rPh>
    <phoneticPr fontId="14"/>
  </si>
  <si>
    <t>・計上情報消込処理</t>
  </si>
  <si>
    <t>・承認情報ファイル作成処理</t>
  </si>
  <si>
    <t>各種業務（日次）バッチの処理確認（正常終了）</t>
    <phoneticPr fontId="5"/>
  </si>
  <si>
    <t>各種業務（日次）バッチの処理確認（警告終了）</t>
    <phoneticPr fontId="5"/>
  </si>
  <si>
    <t>各種集計（月次）バッチの処理確認（正常終了）</t>
    <phoneticPr fontId="5"/>
  </si>
  <si>
    <t>・異例取扱理由集計バッチ処理</t>
  </si>
  <si>
    <t>・申請状況集計バッチ処理</t>
  </si>
  <si>
    <t>・変更事由集計バッチ処理</t>
  </si>
  <si>
    <t>集計（月次）</t>
    <phoneticPr fontId="14"/>
  </si>
  <si>
    <t>（実行前後でテーブル内容に変更がないことを確認）</t>
    <rPh sb="1" eb="3">
      <t>ジッコウ</t>
    </rPh>
    <rPh sb="3" eb="5">
      <t>ゼンゴ</t>
    </rPh>
    <rPh sb="10" eb="12">
      <t>ナイヨウ</t>
    </rPh>
    <rPh sb="13" eb="15">
      <t>ヘンコウ</t>
    </rPh>
    <rPh sb="21" eb="23">
      <t>カクニン</t>
    </rPh>
    <phoneticPr fontId="5"/>
  </si>
  <si>
    <t>対象バッチ一覧</t>
    <rPh sb="5" eb="7">
      <t>イチラン</t>
    </rPh>
    <phoneticPr fontId="5"/>
  </si>
  <si>
    <t>ADは1種類のみ実施。</t>
    <rPh sb="4" eb="6">
      <t>シュルイ</t>
    </rPh>
    <rPh sb="8" eb="10">
      <t>ジッシ</t>
    </rPh>
    <phoneticPr fontId="5"/>
  </si>
  <si>
    <t>現行側でも同内容の情報で集計を実施</t>
    <rPh sb="0" eb="2">
      <t>ゲンコウ</t>
    </rPh>
    <rPh sb="2" eb="3">
      <t>ガワ</t>
    </rPh>
    <rPh sb="5" eb="6">
      <t>ドウ</t>
    </rPh>
    <rPh sb="6" eb="8">
      <t>ナイヨウ</t>
    </rPh>
    <rPh sb="9" eb="11">
      <t>ジョウホウ</t>
    </rPh>
    <rPh sb="12" eb="14">
      <t>シュウケイ</t>
    </rPh>
    <rPh sb="15" eb="17">
      <t>ジッシ</t>
    </rPh>
    <phoneticPr fontId="5"/>
  </si>
  <si>
    <t>計上情報消込処理</t>
    <rPh sb="0" eb="2">
      <t>ケイジョウ</t>
    </rPh>
    <rPh sb="2" eb="4">
      <t>ジョウホウ</t>
    </rPh>
    <rPh sb="4" eb="6">
      <t>ケシコミ</t>
    </rPh>
    <phoneticPr fontId="5"/>
  </si>
  <si>
    <t>承認情報ファイル作成処理</t>
    <rPh sb="0" eb="2">
      <t>ショウニン</t>
    </rPh>
    <rPh sb="2" eb="4">
      <t>ジョウホウ</t>
    </rPh>
    <rPh sb="8" eb="10">
      <t>サクセイ</t>
    </rPh>
    <rPh sb="10" eb="12">
      <t>ショリ</t>
    </rPh>
    <phoneticPr fontId="5"/>
  </si>
  <si>
    <t>異例取扱理由集計バッチ処理</t>
    <rPh sb="0" eb="2">
      <t>イレイ</t>
    </rPh>
    <rPh sb="2" eb="4">
      <t>トリアツカ</t>
    </rPh>
    <rPh sb="4" eb="6">
      <t>リユウ</t>
    </rPh>
    <rPh sb="6" eb="8">
      <t>シュウケイ</t>
    </rPh>
    <rPh sb="11" eb="13">
      <t>ショリ</t>
    </rPh>
    <phoneticPr fontId="5"/>
  </si>
  <si>
    <t>申請状況集計バッチ処理</t>
    <rPh sb="0" eb="2">
      <t>シンセイ</t>
    </rPh>
    <rPh sb="2" eb="4">
      <t>ジョウキョウ</t>
    </rPh>
    <rPh sb="4" eb="6">
      <t>シュウケイ</t>
    </rPh>
    <rPh sb="9" eb="11">
      <t>ショリ</t>
    </rPh>
    <phoneticPr fontId="5"/>
  </si>
  <si>
    <t>変更事由集計バッチ処理</t>
    <rPh sb="0" eb="2">
      <t>ヘンコウ</t>
    </rPh>
    <rPh sb="2" eb="4">
      <t>ジユウ</t>
    </rPh>
    <rPh sb="4" eb="6">
      <t>シュウケイ</t>
    </rPh>
    <rPh sb="9" eb="11">
      <t>ショリ</t>
    </rPh>
    <phoneticPr fontId="5"/>
  </si>
  <si>
    <t>上記AY-210-03と同様</t>
  </si>
  <si>
    <t>上記AY-210-01と同様</t>
    <phoneticPr fontId="5"/>
  </si>
  <si>
    <t>閉局時間前の画面遷移</t>
    <rPh sb="0" eb="2">
      <t>ヘイキョク</t>
    </rPh>
    <rPh sb="2" eb="4">
      <t>ジカン</t>
    </rPh>
    <rPh sb="4" eb="5">
      <t>マエ</t>
    </rPh>
    <phoneticPr fontId="5"/>
  </si>
  <si>
    <t>閉局時間後の画面遷移</t>
    <rPh sb="0" eb="2">
      <t>ヘイキョク</t>
    </rPh>
    <rPh sb="2" eb="4">
      <t>ジカン</t>
    </rPh>
    <rPh sb="4" eb="5">
      <t>アト</t>
    </rPh>
    <phoneticPr fontId="5"/>
  </si>
  <si>
    <t>子画面（ポップアップ）に遷移する手段がないため実施不可。</t>
    <rPh sb="12" eb="14">
      <t>センイ</t>
    </rPh>
    <rPh sb="16" eb="18">
      <t>シュダン</t>
    </rPh>
    <rPh sb="23" eb="25">
      <t>ジッシ</t>
    </rPh>
    <rPh sb="25" eb="27">
      <t>フカ</t>
    </rPh>
    <phoneticPr fontId="5"/>
  </si>
  <si>
    <t>確認する例外種類</t>
    <rPh sb="0" eb="2">
      <t>カクニン</t>
    </rPh>
    <rPh sb="4" eb="6">
      <t>レイガイ</t>
    </rPh>
    <rPh sb="6" eb="8">
      <t>シュルイ</t>
    </rPh>
    <phoneticPr fontId="5"/>
  </si>
  <si>
    <t>バリデーション例外</t>
  </si>
  <si>
    <t>システム例外</t>
  </si>
  <si>
    <t>サービス時間外例外</t>
  </si>
  <si>
    <t>サービス通信時例外</t>
  </si>
  <si>
    <t>対象帳票一覧（CSV形式）</t>
    <rPh sb="0" eb="2">
      <t>タイショウ</t>
    </rPh>
    <rPh sb="2" eb="4">
      <t>チョウヒョウ</t>
    </rPh>
    <rPh sb="4" eb="6">
      <t>イチラン</t>
    </rPh>
    <rPh sb="10" eb="12">
      <t>ケイシキ</t>
    </rPh>
    <phoneticPr fontId="5"/>
  </si>
  <si>
    <t>各種集計（月次）バッチの処理確認（警告終了）</t>
    <rPh sb="17" eb="19">
      <t>ケイコク</t>
    </rPh>
    <rPh sb="19" eb="21">
      <t>シュウリョウ</t>
    </rPh>
    <phoneticPr fontId="14"/>
  </si>
  <si>
    <t>状況により、メール受信確認は</t>
    <rPh sb="0" eb="2">
      <t>ジョウキョウ</t>
    </rPh>
    <rPh sb="9" eb="11">
      <t>ジュシン</t>
    </rPh>
    <rPh sb="11" eb="13">
      <t>カクニン</t>
    </rPh>
    <phoneticPr fontId="5"/>
  </si>
  <si>
    <t>共通エントリーG様に実施頂く想定。</t>
    <rPh sb="14" eb="16">
      <t>ソウテイ</t>
    </rPh>
    <phoneticPr fontId="5"/>
  </si>
  <si>
    <t>申込書品質管理・異例取扱管理　サーバ保守切れ対応</t>
    <rPh sb="0" eb="3">
      <t>モウシコミショ</t>
    </rPh>
    <rPh sb="3" eb="5">
      <t>ヒンシツ</t>
    </rPh>
    <rPh sb="5" eb="7">
      <t>カンリ</t>
    </rPh>
    <rPh sb="8" eb="10">
      <t>イレイ</t>
    </rPh>
    <rPh sb="10" eb="12">
      <t>トリアツカイ</t>
    </rPh>
    <rPh sb="12" eb="14">
      <t>カンリ</t>
    </rPh>
    <rPh sb="18" eb="20">
      <t>ホシュ</t>
    </rPh>
    <rPh sb="20" eb="21">
      <t>ギ</t>
    </rPh>
    <rPh sb="22" eb="24">
      <t>タイオウ</t>
    </rPh>
    <phoneticPr fontId="5"/>
  </si>
  <si>
    <t>ADのみ、以下ボタンが非表示になっていることの確認</t>
    <rPh sb="5" eb="7">
      <t>イカ</t>
    </rPh>
    <rPh sb="11" eb="14">
      <t>ヒヒョウジ</t>
    </rPh>
    <rPh sb="23" eb="25">
      <t>カクニン</t>
    </rPh>
    <phoneticPr fontId="5"/>
  </si>
  <si>
    <t>「再表示」、No</t>
    <rPh sb="1" eb="4">
      <t>サイヒョウジ</t>
    </rPh>
    <phoneticPr fontId="5"/>
  </si>
  <si>
    <t>「申請」、「承認」</t>
    <phoneticPr fontId="5"/>
  </si>
  <si>
    <t>（シナリオ：AY-210-03 集計（月次）バッチの実施）</t>
    <phoneticPr fontId="5"/>
  </si>
  <si>
    <t>検索出力結果</t>
    <rPh sb="0" eb="2">
      <t>ケンサク</t>
    </rPh>
    <rPh sb="2" eb="4">
      <t>シュツリョク</t>
    </rPh>
    <rPh sb="4" eb="6">
      <t>ケッカ</t>
    </rPh>
    <phoneticPr fontId="5"/>
  </si>
  <si>
    <t>・コンプラ連携ファイル作成処理（MSのみ）</t>
    <phoneticPr fontId="5"/>
  </si>
  <si>
    <t>コンプラ連携ファイル作成処理</t>
  </si>
  <si>
    <t>承認情報ファイル作成バッチ処理</t>
    <phoneticPr fontId="5"/>
  </si>
  <si>
    <t>＜承認情報ファイル作成処理＞</t>
    <rPh sb="1" eb="3">
      <t>ショウニン</t>
    </rPh>
    <rPh sb="3" eb="5">
      <t>ジョウホウ</t>
    </rPh>
    <rPh sb="9" eb="11">
      <t>サクセイ</t>
    </rPh>
    <rPh sb="11" eb="13">
      <t>ショリ</t>
    </rPh>
    <phoneticPr fontId="5"/>
  </si>
  <si>
    <t>＜計上情報消込処理＞</t>
    <rPh sb="1" eb="3">
      <t>ケイジョウ</t>
    </rPh>
    <rPh sb="3" eb="5">
      <t>ジョウホウ</t>
    </rPh>
    <rPh sb="5" eb="6">
      <t>ショウ</t>
    </rPh>
    <rPh sb="7" eb="9">
      <t/>
    </rPh>
    <phoneticPr fontId="5"/>
  </si>
  <si>
    <t>(MSのみ)＜コンプラ連携ファイル作成処理＞</t>
    <rPh sb="11" eb="13">
      <t>レンケイ</t>
    </rPh>
    <rPh sb="17" eb="19">
      <t>サクセイ</t>
    </rPh>
    <rPh sb="19" eb="21">
      <t>ショリ</t>
    </rPh>
    <phoneticPr fontId="5"/>
  </si>
  <si>
    <t>コンプラ連携ファイル作成処理（MSのみ）</t>
  </si>
  <si>
    <t>（シナリオ：AY-140-01 内容確認）</t>
    <rPh sb="16" eb="18">
      <t>ナイヨウ</t>
    </rPh>
    <rPh sb="18" eb="20">
      <t>カクニン</t>
    </rPh>
    <phoneticPr fontId="5"/>
  </si>
  <si>
    <t>照会検索画面</t>
    <rPh sb="0" eb="2">
      <t>ショウカイ</t>
    </rPh>
    <rPh sb="2" eb="4">
      <t>ケンサク</t>
    </rPh>
    <rPh sb="4" eb="6">
      <t>ガメン</t>
    </rPh>
    <phoneticPr fontId="5"/>
  </si>
  <si>
    <t>担当者検索画面</t>
    <rPh sb="0" eb="3">
      <t>タントウシャ</t>
    </rPh>
    <rPh sb="3" eb="5">
      <t>ケンサク</t>
    </rPh>
    <rPh sb="5" eb="7">
      <t>ガメン</t>
    </rPh>
    <phoneticPr fontId="5"/>
  </si>
  <si>
    <t>送信先（写）選択画面</t>
  </si>
  <si>
    <t>メール受信</t>
    <rPh sb="3" eb="5">
      <t>ジュシン</t>
    </rPh>
    <phoneticPr fontId="5"/>
  </si>
  <si>
    <t>リンククリック</t>
    <phoneticPr fontId="5"/>
  </si>
  <si>
    <t>（項番ごとに設定）</t>
  </si>
  <si>
    <t>（項番ごとに設定）</t>
    <phoneticPr fontId="5"/>
  </si>
  <si>
    <t>TKSMS02D</t>
  </si>
  <si>
    <t>TKSMS01S</t>
  </si>
  <si>
    <t>AY11002</t>
  </si>
  <si>
    <t>対応登録（承認時）</t>
    <rPh sb="5" eb="7">
      <t>ショウニン</t>
    </rPh>
    <rPh sb="7" eb="8">
      <t>ジ</t>
    </rPh>
    <phoneticPr fontId="5"/>
  </si>
  <si>
    <t>対応登録（不承認時）</t>
    <rPh sb="5" eb="6">
      <t>フ</t>
    </rPh>
    <rPh sb="6" eb="8">
      <t>ショウニン</t>
    </rPh>
    <rPh sb="8" eb="9">
      <t>ジ</t>
    </rPh>
    <phoneticPr fontId="5"/>
  </si>
  <si>
    <t>承認or不承認</t>
    <rPh sb="0" eb="2">
      <t>ショウニン</t>
    </rPh>
    <rPh sb="4" eb="7">
      <t>フショウニン</t>
    </rPh>
    <phoneticPr fontId="5"/>
  </si>
  <si>
    <t>承認待ち→申請依頼</t>
    <rPh sb="0" eb="3">
      <t>ショウニンマ</t>
    </rPh>
    <rPh sb="5" eb="9">
      <t>シンセイイライ</t>
    </rPh>
    <phoneticPr fontId="5"/>
  </si>
  <si>
    <t>TKSMS01S</t>
    <phoneticPr fontId="5"/>
  </si>
  <si>
    <t>AY12009</t>
  </si>
  <si>
    <t>AY12009</t>
    <phoneticPr fontId="5"/>
  </si>
  <si>
    <t>AY12108</t>
  </si>
  <si>
    <t>AY12108</t>
    <phoneticPr fontId="5"/>
  </si>
  <si>
    <t>mi</t>
    <phoneticPr fontId="5"/>
  </si>
  <si>
    <t>㉗</t>
    <phoneticPr fontId="5"/>
  </si>
  <si>
    <t>㉘</t>
    <phoneticPr fontId="5"/>
  </si>
  <si>
    <t>㉙</t>
    <phoneticPr fontId="5"/>
  </si>
  <si>
    <t>（0件/1件以上/最大件数/最大件数+1）</t>
    <rPh sb="5" eb="8">
      <t>ケンイジョウ</t>
    </rPh>
    <rPh sb="9" eb="11">
      <t>サイダイ</t>
    </rPh>
    <rPh sb="11" eb="13">
      <t>ケンスウ</t>
    </rPh>
    <rPh sb="14" eb="16">
      <t>サイダイ</t>
    </rPh>
    <rPh sb="16" eb="18">
      <t>ケンスウ</t>
    </rPh>
    <phoneticPr fontId="5"/>
  </si>
  <si>
    <t>動作の現新確認</t>
    <phoneticPr fontId="5"/>
  </si>
  <si>
    <t>現行側でも同等の挙動となることを確認（1ケースのみ実施）</t>
    <phoneticPr fontId="5"/>
  </si>
  <si>
    <t>計上情報消込処理</t>
    <phoneticPr fontId="5"/>
  </si>
  <si>
    <t>（抽出条件に従いデータが出力されることを確認）</t>
    <rPh sb="1" eb="3">
      <t>チュウシュツ</t>
    </rPh>
    <rPh sb="3" eb="5">
      <t>ジョウケン</t>
    </rPh>
    <rPh sb="6" eb="7">
      <t>シタガ</t>
    </rPh>
    <rPh sb="12" eb="14">
      <t>シュツリョク</t>
    </rPh>
    <rPh sb="20" eb="22">
      <t>カクニン</t>
    </rPh>
    <phoneticPr fontId="5"/>
  </si>
  <si>
    <t>（実行前後でテーブル内容に変更があることを確認）</t>
    <rPh sb="1" eb="3">
      <t>ジッコウ</t>
    </rPh>
    <rPh sb="3" eb="5">
      <t>ゼンゴ</t>
    </rPh>
    <rPh sb="10" eb="12">
      <t>ナイヨウ</t>
    </rPh>
    <rPh sb="13" eb="15">
      <t>ヘンコウ</t>
    </rPh>
    <rPh sb="21" eb="23">
      <t>カクニン</t>
    </rPh>
    <phoneticPr fontId="5"/>
  </si>
  <si>
    <t>（抽出条件に従いデータが出力されないことを確認）</t>
    <rPh sb="1" eb="3">
      <t>チュウシュツ</t>
    </rPh>
    <rPh sb="3" eb="5">
      <t>ジョウケン</t>
    </rPh>
    <rPh sb="6" eb="7">
      <t>シタガ</t>
    </rPh>
    <rPh sb="12" eb="14">
      <t>シュツリョク</t>
    </rPh>
    <rPh sb="21" eb="23">
      <t>カクニン</t>
    </rPh>
    <phoneticPr fontId="5"/>
  </si>
  <si>
    <t>（テーブルにデータが取り込まれたことを確認）</t>
  </si>
  <si>
    <t>照会検索画面</t>
    <rPh sb="0" eb="4">
      <t>ショウカイケンサク</t>
    </rPh>
    <rPh sb="4" eb="6">
      <t>ガメン</t>
    </rPh>
    <phoneticPr fontId="5"/>
  </si>
  <si>
    <t>承認済</t>
  </si>
  <si>
    <t>１．確認対象AWSサービス</t>
    <rPh sb="2" eb="4">
      <t>カクニン</t>
    </rPh>
    <rPh sb="4" eb="6">
      <t>タイショウ</t>
    </rPh>
    <phoneticPr fontId="5"/>
  </si>
  <si>
    <t>タイムゾーン</t>
    <phoneticPr fontId="5"/>
  </si>
  <si>
    <t>試験対象</t>
    <rPh sb="0" eb="2">
      <t>シケン</t>
    </rPh>
    <rPh sb="2" eb="4">
      <t>タイショウ</t>
    </rPh>
    <phoneticPr fontId="5"/>
  </si>
  <si>
    <t>項番</t>
    <rPh sb="0" eb="2">
      <t>コウバン</t>
    </rPh>
    <phoneticPr fontId="14"/>
  </si>
  <si>
    <t>サービス</t>
  </si>
  <si>
    <t>説明</t>
  </si>
  <si>
    <t>設定値</t>
    <rPh sb="0" eb="2">
      <t>セッテイ</t>
    </rPh>
    <rPh sb="2" eb="3">
      <t>アタイ</t>
    </rPh>
    <phoneticPr fontId="5"/>
  </si>
  <si>
    <t>07</t>
    <phoneticPr fontId="5"/>
  </si>
  <si>
    <t xml:space="preserve">Amazon EC2 </t>
  </si>
  <si>
    <t>Web/APサーバ（MS/AD共用）</t>
    <phoneticPr fontId="5"/>
  </si>
  <si>
    <t>JST</t>
    <phoneticPr fontId="5"/>
  </si>
  <si>
    <t>作成時に指定</t>
    <rPh sb="0" eb="2">
      <t>サクセイ</t>
    </rPh>
    <rPh sb="2" eb="3">
      <t>ジ</t>
    </rPh>
    <rPh sb="4" eb="6">
      <t>シテイ</t>
    </rPh>
    <phoneticPr fontId="5"/>
  </si>
  <si>
    <t>バッチサーバ（MS/AD共用</t>
  </si>
  <si>
    <t>Amazon RDS for Oracle</t>
  </si>
  <si>
    <t>DBサーバ（MS/AD共用）</t>
  </si>
  <si>
    <t>Amazon ElastiCache</t>
  </si>
  <si>
    <t>セッション管理サーバ</t>
  </si>
  <si>
    <t>UTC</t>
    <phoneticPr fontId="5"/>
  </si>
  <si>
    <t>デフォルトがUTCであり、設定変更不可</t>
    <rPh sb="13" eb="15">
      <t>セッテイ</t>
    </rPh>
    <rPh sb="15" eb="17">
      <t>ヘンコウ</t>
    </rPh>
    <rPh sb="17" eb="19">
      <t>フカ</t>
    </rPh>
    <phoneticPr fontId="5"/>
  </si>
  <si>
    <t xml:space="preserve">AWS Lambda </t>
  </si>
  <si>
    <t>バッチ処理用Lambda</t>
  </si>
  <si>
    <t>デフォルトはUTCだが、JavaクラスでJSTに設定済み</t>
    <phoneticPr fontId="5"/>
  </si>
  <si>
    <t>Amazon EventBridge</t>
    <phoneticPr fontId="5"/>
  </si>
  <si>
    <t>Lambdaスケジューラー</t>
  </si>
  <si>
    <t>Amazon EBS</t>
  </si>
  <si>
    <t>オンラインログ（アプリケーションログ、DBアクセスログ、トランザクションログ）の出力先</t>
  </si>
  <si>
    <t>EC2のOSやアプリケーションのタイムゾーン設定に依存</t>
    <phoneticPr fontId="5"/>
  </si>
  <si>
    <t>Amazon Elastic File System</t>
  </si>
  <si>
    <t>オンラインログ（ダウンロードログ）の出力先</t>
  </si>
  <si>
    <t>バッチログ（アプリケーションログ、DBアクセスログ）の出力先</t>
  </si>
  <si>
    <t>システム間連携ファイル等格納</t>
    <phoneticPr fontId="5"/>
  </si>
  <si>
    <t>CloudWatch Logs</t>
    <phoneticPr fontId="14"/>
  </si>
  <si>
    <t>Lambda化バッチログ（アプリケーションログ、DBアクセスログ）の出力先</t>
  </si>
  <si>
    <t>アプリケーションのタイムゾーン設定に依存</t>
    <phoneticPr fontId="5"/>
  </si>
  <si>
    <t>２．試験観点</t>
    <rPh sb="2" eb="4">
      <t>シケン</t>
    </rPh>
    <rPh sb="4" eb="6">
      <t>カンテン</t>
    </rPh>
    <phoneticPr fontId="5"/>
  </si>
  <si>
    <t>M</t>
    <phoneticPr fontId="5"/>
  </si>
  <si>
    <t>A</t>
    <phoneticPr fontId="5"/>
  </si>
  <si>
    <t>観点</t>
    <rPh sb="0" eb="2">
      <t>カンテン</t>
    </rPh>
    <phoneticPr fontId="5"/>
  </si>
  <si>
    <t>S</t>
    <phoneticPr fontId="5"/>
  </si>
  <si>
    <t>D</t>
    <phoneticPr fontId="5"/>
  </si>
  <si>
    <t>オンライン画面上でデータ登録・更新</t>
    <rPh sb="15" eb="17">
      <t>コウシン</t>
    </rPh>
    <phoneticPr fontId="5"/>
  </si>
  <si>
    <t>以下サービス間で時刻にずれが発生していないことの確認</t>
    <rPh sb="0" eb="2">
      <t>イカ</t>
    </rPh>
    <rPh sb="6" eb="7">
      <t>カン</t>
    </rPh>
    <phoneticPr fontId="5"/>
  </si>
  <si>
    <t>EC2</t>
    <phoneticPr fontId="5"/>
  </si>
  <si>
    <t>EC2（Web/APサーバ）</t>
    <phoneticPr fontId="5"/>
  </si>
  <si>
    <t>RDS</t>
    <phoneticPr fontId="5"/>
  </si>
  <si>
    <t>テーブル内容確認</t>
    <rPh sb="4" eb="6">
      <t>ナイヨウ</t>
    </rPh>
    <rPh sb="6" eb="8">
      <t>カクニン</t>
    </rPh>
    <phoneticPr fontId="5"/>
  </si>
  <si>
    <t>EBS（オンラインログ）</t>
    <phoneticPr fontId="5"/>
  </si>
  <si>
    <t>ED2</t>
    <phoneticPr fontId="5"/>
  </si>
  <si>
    <t>ログ確認</t>
    <rPh sb="2" eb="4">
      <t>カクニン</t>
    </rPh>
    <phoneticPr fontId="5"/>
  </si>
  <si>
    <t>EBS（CloudWatch上で確認）</t>
    <rPh sb="14" eb="15">
      <t>ジョウ</t>
    </rPh>
    <rPh sb="16" eb="18">
      <t>カクニン</t>
    </rPh>
    <phoneticPr fontId="5"/>
  </si>
  <si>
    <t>セッション維持確認</t>
    <rPh sb="5" eb="7">
      <t>イジ</t>
    </rPh>
    <rPh sb="7" eb="9">
      <t>カクニン</t>
    </rPh>
    <phoneticPr fontId="5"/>
  </si>
  <si>
    <t>セッションが1時間超過で切れることを確認</t>
    <rPh sb="9" eb="11">
      <t>チョウカ</t>
    </rPh>
    <phoneticPr fontId="5"/>
  </si>
  <si>
    <t>日付跨ぎなし</t>
    <phoneticPr fontId="5"/>
  </si>
  <si>
    <t>（例）7/1 10:00～7/1 11:01</t>
    <rPh sb="1" eb="2">
      <t>レイ</t>
    </rPh>
    <phoneticPr fontId="5"/>
  </si>
  <si>
    <t>24時で閉局となるため、画面上で日付跨ぎありのケースは実施不可</t>
    <rPh sb="2" eb="3">
      <t>ジ</t>
    </rPh>
    <rPh sb="4" eb="6">
      <t>ヘイキョク</t>
    </rPh>
    <rPh sb="12" eb="15">
      <t>ガメンジョウ</t>
    </rPh>
    <rPh sb="16" eb="18">
      <t>ヒヅケ</t>
    </rPh>
    <rPh sb="18" eb="19">
      <t>マタ</t>
    </rPh>
    <rPh sb="27" eb="29">
      <t>ジッシ</t>
    </rPh>
    <rPh sb="29" eb="31">
      <t>フカ</t>
    </rPh>
    <phoneticPr fontId="5"/>
  </si>
  <si>
    <t>日付跨ぎ確認</t>
    <rPh sb="0" eb="2">
      <t>ヒヅケ</t>
    </rPh>
    <rPh sb="2" eb="3">
      <t>マタ</t>
    </rPh>
    <rPh sb="4" eb="6">
      <t>カクニン</t>
    </rPh>
    <phoneticPr fontId="5"/>
  </si>
  <si>
    <t>検索結果が想定通りであることを確認</t>
    <rPh sb="0" eb="2">
      <t>ケンサク</t>
    </rPh>
    <rPh sb="2" eb="4">
      <t>ケッカ</t>
    </rPh>
    <rPh sb="5" eb="7">
      <t>ソウテイ</t>
    </rPh>
    <rPh sb="7" eb="8">
      <t>ドオ</t>
    </rPh>
    <phoneticPr fontId="5"/>
  </si>
  <si>
    <t>データ準備</t>
    <rPh sb="3" eb="5">
      <t>ジュンビ</t>
    </rPh>
    <phoneticPr fontId="5"/>
  </si>
  <si>
    <t>日次</t>
    <rPh sb="0" eb="2">
      <t>ニチジ</t>
    </rPh>
    <phoneticPr fontId="5"/>
  </si>
  <si>
    <t>（例）7/1 23:59:59、7/2 00:00:00のデータを用意</t>
    <rPh sb="1" eb="2">
      <t>レイ</t>
    </rPh>
    <rPh sb="33" eb="35">
      <t>ヨウイ</t>
    </rPh>
    <phoneticPr fontId="5"/>
  </si>
  <si>
    <t>月次</t>
    <rPh sb="0" eb="2">
      <t>ゲツジ</t>
    </rPh>
    <phoneticPr fontId="5"/>
  </si>
  <si>
    <t>（例）7/31 23:59:59、8/1 00:00:00のデータを用意</t>
    <rPh sb="1" eb="2">
      <t>レイ</t>
    </rPh>
    <rPh sb="34" eb="36">
      <t>ヨウイ</t>
    </rPh>
    <phoneticPr fontId="5"/>
  </si>
  <si>
    <t>ダウンロード確認</t>
    <rPh sb="6" eb="8">
      <t>カクニン</t>
    </rPh>
    <phoneticPr fontId="5"/>
  </si>
  <si>
    <t>EFS（ダウンロードログ）</t>
    <phoneticPr fontId="5"/>
  </si>
  <si>
    <t>EFS（EC2上からコマンドで確認）</t>
    <rPh sb="7" eb="8">
      <t>ジョウ</t>
    </rPh>
    <rPh sb="15" eb="17">
      <t>カクニン</t>
    </rPh>
    <phoneticPr fontId="5"/>
  </si>
  <si>
    <t>バッチ実行でデータ登録</t>
    <rPh sb="3" eb="5">
      <t>ジッコウ</t>
    </rPh>
    <rPh sb="9" eb="11">
      <t>トウロク</t>
    </rPh>
    <phoneticPr fontId="5"/>
  </si>
  <si>
    <t>計上情報消込処理</t>
    <rPh sb="0" eb="2">
      <t>ケイジョウ</t>
    </rPh>
    <rPh sb="2" eb="4">
      <t>ジョウホウ</t>
    </rPh>
    <rPh sb="4" eb="6">
      <t>ケシコミ</t>
    </rPh>
    <rPh sb="6" eb="8">
      <t>ショリ</t>
    </rPh>
    <phoneticPr fontId="5"/>
  </si>
  <si>
    <t>EFS（ファイル読込）、EC2</t>
    <rPh sb="8" eb="10">
      <t>ヨミコミ</t>
    </rPh>
    <phoneticPr fontId="5"/>
  </si>
  <si>
    <t>（非Lambda化）</t>
    <rPh sb="1" eb="2">
      <t>ヒ</t>
    </rPh>
    <rPh sb="8" eb="9">
      <t>カ</t>
    </rPh>
    <phoneticPr fontId="5"/>
  </si>
  <si>
    <t>EC2（バッチサーバ）</t>
    <phoneticPr fontId="5"/>
  </si>
  <si>
    <t>EFS（バッチログ）</t>
    <phoneticPr fontId="5"/>
  </si>
  <si>
    <t>EFS（システム間連携ファイル）</t>
    <phoneticPr fontId="5"/>
  </si>
  <si>
    <t>EFS（CloudWatch上で確認）</t>
    <rPh sb="14" eb="15">
      <t>ジョウ</t>
    </rPh>
    <rPh sb="16" eb="18">
      <t>カクニン</t>
    </rPh>
    <phoneticPr fontId="5"/>
  </si>
  <si>
    <t>バッチ実行でファイル出力</t>
    <rPh sb="3" eb="5">
      <t>ジッコウ</t>
    </rPh>
    <rPh sb="10" eb="12">
      <t>シュツリョク</t>
    </rPh>
    <phoneticPr fontId="5"/>
  </si>
  <si>
    <t>RDS（データ取得）、EC2</t>
    <rPh sb="7" eb="9">
      <t>シュトク</t>
    </rPh>
    <phoneticPr fontId="5"/>
  </si>
  <si>
    <t>出力ファイル確認</t>
    <rPh sb="0" eb="2">
      <t>シュツリョク</t>
    </rPh>
    <rPh sb="6" eb="8">
      <t>カクニン</t>
    </rPh>
    <phoneticPr fontId="5"/>
  </si>
  <si>
    <t>EFS（EC2上より取得）</t>
    <rPh sb="7" eb="8">
      <t>ジョウ</t>
    </rPh>
    <rPh sb="10" eb="12">
      <t>シュトク</t>
    </rPh>
    <phoneticPr fontId="5"/>
  </si>
  <si>
    <t>ユーザIDマスタ取込処理</t>
    <rPh sb="8" eb="10">
      <t>トリコミ</t>
    </rPh>
    <rPh sb="10" eb="12">
      <t>ショリ</t>
    </rPh>
    <phoneticPr fontId="5"/>
  </si>
  <si>
    <t>EventBridge、Lambda、</t>
    <phoneticPr fontId="5"/>
  </si>
  <si>
    <t>（Lambda化）</t>
    <rPh sb="7" eb="8">
      <t>カ</t>
    </rPh>
    <phoneticPr fontId="5"/>
  </si>
  <si>
    <t>EFS（ファイル読込）</t>
    <phoneticPr fontId="5"/>
  </si>
  <si>
    <t>品管のみ実施</t>
    <rPh sb="0" eb="2">
      <t>ヒンカン</t>
    </rPh>
    <rPh sb="4" eb="6">
      <t>ジッシ</t>
    </rPh>
    <phoneticPr fontId="5"/>
  </si>
  <si>
    <t>Lambda</t>
    <phoneticPr fontId="5"/>
  </si>
  <si>
    <t>EventBridge</t>
    <phoneticPr fontId="5"/>
  </si>
  <si>
    <t>EFS（システム間連携ファイル）</t>
  </si>
  <si>
    <t>CloudWatch Logs</t>
    <phoneticPr fontId="5"/>
  </si>
  <si>
    <t>シート「タイムゾーン確認」を参照</t>
    <rPh sb="10" eb="12">
      <t>カクニン</t>
    </rPh>
    <rPh sb="14" eb="16">
      <t>サンショウ</t>
    </rPh>
    <phoneticPr fontId="5"/>
  </si>
  <si>
    <t>ステータスが想定通りであることを確認</t>
    <rPh sb="6" eb="8">
      <t>ソウテイ</t>
    </rPh>
    <rPh sb="8" eb="9">
      <t>ドオ</t>
    </rPh>
    <rPh sb="16" eb="18">
      <t>カクニン</t>
    </rPh>
    <phoneticPr fontId="5"/>
  </si>
  <si>
    <t>（システム管理者）</t>
  </si>
  <si>
    <t>（システム管理者）</t>
    <phoneticPr fontId="5"/>
  </si>
  <si>
    <t>Ⅱ-1. IT1 事業会社シナリオ</t>
    <rPh sb="9" eb="11">
      <t>ジギョウ</t>
    </rPh>
    <rPh sb="11" eb="13">
      <t>ガイシャ</t>
    </rPh>
    <phoneticPr fontId="5"/>
  </si>
  <si>
    <t>申請情報</t>
    <rPh sb="0" eb="2">
      <t>シンセイ</t>
    </rPh>
    <rPh sb="2" eb="4">
      <t>ジョウホウ</t>
    </rPh>
    <phoneticPr fontId="5"/>
  </si>
  <si>
    <t>実施可能として整理する。</t>
    <rPh sb="0" eb="4">
      <t>ジッシカノウ</t>
    </rPh>
    <rPh sb="7" eb="9">
      <t>セイリ</t>
    </rPh>
    <phoneticPr fontId="5"/>
  </si>
  <si>
    <t>子画面（ポップアップ）は、遷移する手段がないため実施不可。</t>
    <rPh sb="13" eb="15">
      <t>センイ</t>
    </rPh>
    <rPh sb="17" eb="19">
      <t>シュダン</t>
    </rPh>
    <rPh sb="24" eb="26">
      <t>ジッシ</t>
    </rPh>
    <rPh sb="26" eb="28">
      <t>フカ</t>
    </rPh>
    <phoneticPr fontId="5"/>
  </si>
  <si>
    <t>親画面は、実施可能として整理する。</t>
    <rPh sb="0" eb="1">
      <t>オヤ</t>
    </rPh>
    <rPh sb="1" eb="3">
      <t>ガメン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</si>
</sst>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#,##0_ "/>
    <numFmt numFmtId="178" formatCode="000"/>
  </numFmts>
  <fonts count="23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u/>
      <sz val="14"/>
      <color theme="1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0"/>
      <color rgb="FFFF0000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color rgb="FFFF0000"/>
      <name val="Meiryo UI"/>
      <family val="3"/>
      <charset val="128"/>
    </font>
    <font>
      <sz val="6"/>
      <color theme="1"/>
      <name val="Meiryo UI"/>
      <family val="3"/>
      <charset val="128"/>
    </font>
    <font>
      <u/>
      <sz val="10"/>
      <color rgb="FFFF0000"/>
      <name val="Meiryo UI"/>
      <family val="3"/>
      <charset val="128"/>
    </font>
    <font>
      <u/>
      <sz val="1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0"/>
      <color rgb="FF0070C0"/>
      <name val="Meiryo UI"/>
      <family val="3"/>
      <charset val="128"/>
    </font>
    <font>
      <strike/>
      <sz val="1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3" fillId="0" borderId="0">
      <alignment vertical="center"/>
    </xf>
    <xf numFmtId="0" fontId="13" fillId="0" borderId="0"/>
    <xf numFmtId="0" fontId="3" fillId="0" borderId="0">
      <alignment vertical="center"/>
    </xf>
    <xf numFmtId="0" fontId="9" fillId="0" borderId="0"/>
    <xf numFmtId="0" fontId="1" fillId="0" borderId="0">
      <alignment vertical="center"/>
    </xf>
  </cellStyleXfs>
  <cellXfs count="399">
    <xf numFmtId="0" fontId="0" fillId="0" borderId="0" xfId="0"/>
    <xf numFmtId="0" fontId="4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176" fontId="4" fillId="2" borderId="3" xfId="0" applyNumberFormat="1" applyFont="1" applyFill="1" applyBorder="1"/>
    <xf numFmtId="0" fontId="4" fillId="2" borderId="3" xfId="0" applyFont="1" applyFill="1" applyBorder="1"/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0" xfId="0" applyFont="1" applyFill="1"/>
    <xf numFmtId="176" fontId="4" fillId="2" borderId="8" xfId="0" applyNumberFormat="1" applyFont="1" applyFill="1" applyBorder="1"/>
    <xf numFmtId="0" fontId="4" fillId="2" borderId="8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/>
    <xf numFmtId="0" fontId="4" fillId="2" borderId="12" xfId="0" applyFont="1" applyFill="1" applyBorder="1"/>
    <xf numFmtId="176" fontId="4" fillId="2" borderId="13" xfId="0" applyNumberFormat="1" applyFont="1" applyFill="1" applyBorder="1"/>
    <xf numFmtId="0" fontId="4" fillId="2" borderId="13" xfId="0" applyFont="1" applyFill="1" applyBorder="1"/>
    <xf numFmtId="0" fontId="4" fillId="2" borderId="1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center" shrinkToFit="1"/>
    </xf>
    <xf numFmtId="0" fontId="12" fillId="2" borderId="11" xfId="0" applyFont="1" applyFill="1" applyBorder="1"/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20" xfId="0" applyFont="1" applyBorder="1" applyAlignment="1">
      <alignment horizontal="center"/>
    </xf>
    <xf numFmtId="0" fontId="4" fillId="0" borderId="2" xfId="0" applyFont="1" applyBorder="1"/>
    <xf numFmtId="0" fontId="4" fillId="0" borderId="7" xfId="0" applyFont="1" applyBorder="1" applyAlignment="1">
      <alignment horizontal="center"/>
    </xf>
    <xf numFmtId="0" fontId="12" fillId="0" borderId="0" xfId="0" applyFont="1"/>
    <xf numFmtId="0" fontId="4" fillId="2" borderId="11" xfId="0" applyFont="1" applyFill="1" applyBorder="1" applyAlignment="1">
      <alignment horizontal="left"/>
    </xf>
    <xf numFmtId="176" fontId="4" fillId="0" borderId="0" xfId="0" applyNumberFormat="1" applyFont="1"/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2" borderId="28" xfId="0" applyFont="1" applyFill="1" applyBorder="1" applyAlignment="1">
      <alignment horizontal="center"/>
    </xf>
    <xf numFmtId="9" fontId="16" fillId="0" borderId="0" xfId="0" applyNumberFormat="1" applyFont="1" applyAlignment="1">
      <alignment horizontal="center"/>
    </xf>
    <xf numFmtId="0" fontId="4" fillId="0" borderId="27" xfId="0" applyFont="1" applyBorder="1" applyAlignment="1">
      <alignment horizontal="center" shrinkToFi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4" fillId="0" borderId="9" xfId="0" applyFont="1" applyBorder="1" applyAlignment="1">
      <alignment horizontal="center"/>
    </xf>
    <xf numFmtId="0" fontId="4" fillId="0" borderId="19" xfId="0" applyFont="1" applyBorder="1"/>
    <xf numFmtId="0" fontId="4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9" xfId="0" applyFont="1" applyFill="1" applyBorder="1" applyAlignment="1">
      <alignment horizontal="center"/>
    </xf>
    <xf numFmtId="176" fontId="4" fillId="4" borderId="9" xfId="0" applyNumberFormat="1" applyFont="1" applyFill="1" applyBorder="1" applyAlignment="1">
      <alignment horizontal="center"/>
    </xf>
    <xf numFmtId="0" fontId="4" fillId="4" borderId="7" xfId="0" applyFont="1" applyFill="1" applyBorder="1"/>
    <xf numFmtId="0" fontId="4" fillId="4" borderId="8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3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3" fontId="4" fillId="4" borderId="9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17" fillId="4" borderId="2" xfId="0" applyFont="1" applyFill="1" applyBorder="1"/>
    <xf numFmtId="0" fontId="4" fillId="4" borderId="10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shrinkToFit="1"/>
    </xf>
    <xf numFmtId="0" fontId="4" fillId="4" borderId="20" xfId="0" applyFont="1" applyFill="1" applyBorder="1" applyAlignment="1">
      <alignment horizontal="center"/>
    </xf>
    <xf numFmtId="176" fontId="4" fillId="4" borderId="8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right"/>
    </xf>
    <xf numFmtId="3" fontId="4" fillId="4" borderId="20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12" fillId="4" borderId="2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shrinkToFit="1"/>
    </xf>
    <xf numFmtId="0" fontId="4" fillId="4" borderId="20" xfId="0" applyFont="1" applyFill="1" applyBorder="1"/>
    <xf numFmtId="0" fontId="10" fillId="4" borderId="0" xfId="0" applyFont="1" applyFill="1" applyAlignment="1">
      <alignment horizontal="left"/>
    </xf>
    <xf numFmtId="0" fontId="12" fillId="4" borderId="7" xfId="0" applyFont="1" applyFill="1" applyBorder="1" applyAlignment="1">
      <alignment horizontal="center"/>
    </xf>
    <xf numFmtId="0" fontId="10" fillId="4" borderId="0" xfId="0" applyFont="1" applyFill="1"/>
    <xf numFmtId="0" fontId="12" fillId="4" borderId="0" xfId="0" applyFont="1" applyFill="1" applyAlignment="1">
      <alignment horizontal="center"/>
    </xf>
    <xf numFmtId="0" fontId="12" fillId="4" borderId="0" xfId="0" applyFont="1" applyFill="1"/>
    <xf numFmtId="176" fontId="4" fillId="4" borderId="19" xfId="0" applyNumberFormat="1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left"/>
    </xf>
    <xf numFmtId="0" fontId="4" fillId="4" borderId="22" xfId="0" applyFont="1" applyFill="1" applyBorder="1" applyAlignment="1">
      <alignment horizontal="center"/>
    </xf>
    <xf numFmtId="0" fontId="4" fillId="4" borderId="17" xfId="0" applyFont="1" applyFill="1" applyBorder="1"/>
    <xf numFmtId="0" fontId="4" fillId="4" borderId="18" xfId="0" applyFont="1" applyFill="1" applyBorder="1"/>
    <xf numFmtId="0" fontId="4" fillId="4" borderId="16" xfId="0" applyFont="1" applyFill="1" applyBorder="1"/>
    <xf numFmtId="0" fontId="4" fillId="4" borderId="18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/>
    <xf numFmtId="0" fontId="4" fillId="2" borderId="17" xfId="0" applyFont="1" applyFill="1" applyBorder="1"/>
    <xf numFmtId="0" fontId="4" fillId="2" borderId="16" xfId="0" applyFont="1" applyFill="1" applyBorder="1"/>
    <xf numFmtId="0" fontId="4" fillId="2" borderId="19" xfId="0" applyFont="1" applyFill="1" applyBorder="1" applyAlignment="1">
      <alignment horizontal="center"/>
    </xf>
    <xf numFmtId="176" fontId="4" fillId="4" borderId="3" xfId="0" applyNumberFormat="1" applyFont="1" applyFill="1" applyBorder="1" applyAlignment="1">
      <alignment horizontal="center"/>
    </xf>
    <xf numFmtId="0" fontId="12" fillId="4" borderId="24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12" fillId="4" borderId="22" xfId="0" applyFont="1" applyFill="1" applyBorder="1" applyAlignment="1">
      <alignment horizontal="center"/>
    </xf>
    <xf numFmtId="176" fontId="4" fillId="4" borderId="16" xfId="0" applyNumberFormat="1" applyFont="1" applyFill="1" applyBorder="1" applyAlignment="1">
      <alignment horizontal="center"/>
    </xf>
    <xf numFmtId="3" fontId="4" fillId="4" borderId="19" xfId="0" applyNumberFormat="1" applyFont="1" applyFill="1" applyBorder="1" applyAlignment="1">
      <alignment horizontal="center"/>
    </xf>
    <xf numFmtId="0" fontId="12" fillId="4" borderId="18" xfId="0" applyFont="1" applyFill="1" applyBorder="1" applyAlignment="1">
      <alignment horizontal="center"/>
    </xf>
    <xf numFmtId="0" fontId="4" fillId="4" borderId="30" xfId="0" applyFont="1" applyFill="1" applyBorder="1"/>
    <xf numFmtId="0" fontId="4" fillId="4" borderId="19" xfId="0" applyFont="1" applyFill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/>
    <xf numFmtId="0" fontId="12" fillId="4" borderId="2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left"/>
    </xf>
    <xf numFmtId="0" fontId="12" fillId="4" borderId="7" xfId="0" applyFont="1" applyFill="1" applyBorder="1"/>
    <xf numFmtId="0" fontId="12" fillId="4" borderId="0" xfId="0" applyFont="1" applyFill="1" applyAlignment="1">
      <alignment horizontal="left"/>
    </xf>
    <xf numFmtId="0" fontId="12" fillId="4" borderId="8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0" fontId="18" fillId="4" borderId="0" xfId="0" applyFont="1" applyFill="1"/>
    <xf numFmtId="0" fontId="10" fillId="4" borderId="2" xfId="0" applyFont="1" applyFill="1" applyBorder="1" applyAlignment="1">
      <alignment horizontal="left"/>
    </xf>
    <xf numFmtId="0" fontId="12" fillId="4" borderId="3" xfId="0" applyFont="1" applyFill="1" applyBorder="1"/>
    <xf numFmtId="0" fontId="12" fillId="4" borderId="8" xfId="0" applyFont="1" applyFill="1" applyBorder="1"/>
    <xf numFmtId="0" fontId="12" fillId="4" borderId="26" xfId="0" applyFont="1" applyFill="1" applyBorder="1" applyAlignment="1">
      <alignment horizontal="center"/>
    </xf>
    <xf numFmtId="0" fontId="12" fillId="4" borderId="18" xfId="0" applyFont="1" applyFill="1" applyBorder="1"/>
    <xf numFmtId="0" fontId="12" fillId="4" borderId="17" xfId="0" applyFont="1" applyFill="1" applyBorder="1"/>
    <xf numFmtId="0" fontId="12" fillId="4" borderId="16" xfId="0" applyFont="1" applyFill="1" applyBorder="1"/>
    <xf numFmtId="0" fontId="4" fillId="4" borderId="8" xfId="0" applyFont="1" applyFill="1" applyBorder="1" applyAlignment="1">
      <alignment horizontal="center"/>
    </xf>
    <xf numFmtId="0" fontId="4" fillId="4" borderId="29" xfId="0" applyFont="1" applyFill="1" applyBorder="1"/>
    <xf numFmtId="0" fontId="4" fillId="4" borderId="33" xfId="0" applyFont="1" applyFill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4" fillId="2" borderId="34" xfId="0" applyFont="1" applyFill="1" applyBorder="1"/>
    <xf numFmtId="0" fontId="4" fillId="2" borderId="35" xfId="0" applyFont="1" applyFill="1" applyBorder="1"/>
    <xf numFmtId="0" fontId="4" fillId="2" borderId="36" xfId="0" applyFont="1" applyFill="1" applyBorder="1"/>
    <xf numFmtId="0" fontId="4" fillId="2" borderId="18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0" fontId="19" fillId="2" borderId="37" xfId="0" applyFont="1" applyFill="1" applyBorder="1"/>
    <xf numFmtId="0" fontId="19" fillId="2" borderId="38" xfId="0" applyFont="1" applyFill="1" applyBorder="1"/>
    <xf numFmtId="0" fontId="19" fillId="0" borderId="38" xfId="0" applyFont="1" applyBorder="1" applyAlignment="1">
      <alignment horizontal="center"/>
    </xf>
    <xf numFmtId="178" fontId="19" fillId="0" borderId="38" xfId="0" applyNumberFormat="1" applyFont="1" applyBorder="1" applyAlignment="1">
      <alignment horizontal="center"/>
    </xf>
    <xf numFmtId="176" fontId="19" fillId="0" borderId="38" xfId="0" applyNumberFormat="1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4" fillId="0" borderId="41" xfId="0" applyFont="1" applyBorder="1" applyAlignment="1">
      <alignment horizontal="center"/>
    </xf>
    <xf numFmtId="0" fontId="4" fillId="2" borderId="43" xfId="0" applyFont="1" applyFill="1" applyBorder="1"/>
    <xf numFmtId="0" fontId="4" fillId="2" borderId="44" xfId="0" applyFont="1" applyFill="1" applyBorder="1"/>
    <xf numFmtId="0" fontId="4" fillId="2" borderId="7" xfId="0" applyFont="1" applyFill="1" applyBorder="1" applyAlignment="1">
      <alignment horizontal="left"/>
    </xf>
    <xf numFmtId="0" fontId="4" fillId="2" borderId="42" xfId="0" applyFont="1" applyFill="1" applyBorder="1" applyAlignment="1">
      <alignment horizontal="left"/>
    </xf>
    <xf numFmtId="0" fontId="4" fillId="0" borderId="43" xfId="0" applyFont="1" applyBorder="1"/>
    <xf numFmtId="0" fontId="4" fillId="0" borderId="46" xfId="0" applyFont="1" applyBorder="1" applyAlignment="1">
      <alignment horizontal="center"/>
    </xf>
    <xf numFmtId="0" fontId="4" fillId="0" borderId="46" xfId="0" applyFont="1" applyBorder="1"/>
    <xf numFmtId="178" fontId="19" fillId="0" borderId="7" xfId="0" applyNumberFormat="1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7" xfId="0" applyFont="1" applyBorder="1"/>
    <xf numFmtId="178" fontId="19" fillId="0" borderId="18" xfId="0" applyNumberFormat="1" applyFont="1" applyBorder="1" applyAlignment="1">
      <alignment horizontal="center"/>
    </xf>
    <xf numFmtId="49" fontId="4" fillId="0" borderId="0" xfId="0" applyNumberFormat="1" applyFont="1"/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4" fillId="2" borderId="16" xfId="0" applyNumberFormat="1" applyFont="1" applyFill="1" applyBorder="1" applyAlignment="1">
      <alignment horizontal="center"/>
    </xf>
    <xf numFmtId="49" fontId="4" fillId="0" borderId="2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46" xfId="0" applyNumberFormat="1" applyFont="1" applyBorder="1" applyAlignment="1">
      <alignment horizontal="left"/>
    </xf>
    <xf numFmtId="49" fontId="4" fillId="0" borderId="47" xfId="0" applyNumberFormat="1" applyFont="1" applyBorder="1"/>
    <xf numFmtId="0" fontId="4" fillId="3" borderId="0" xfId="0" applyFont="1" applyFill="1"/>
    <xf numFmtId="49" fontId="4" fillId="3" borderId="0" xfId="0" applyNumberFormat="1" applyFont="1" applyFill="1"/>
    <xf numFmtId="0" fontId="19" fillId="0" borderId="48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178" fontId="19" fillId="0" borderId="49" xfId="0" applyNumberFormat="1" applyFont="1" applyBorder="1" applyAlignment="1">
      <alignment horizontal="center"/>
    </xf>
    <xf numFmtId="176" fontId="19" fillId="0" borderId="49" xfId="0" applyNumberFormat="1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19" fillId="2" borderId="48" xfId="0" applyFont="1" applyFill="1" applyBorder="1"/>
    <xf numFmtId="0" fontId="19" fillId="2" borderId="49" xfId="0" applyFont="1" applyFill="1" applyBorder="1"/>
    <xf numFmtId="0" fontId="4" fillId="2" borderId="49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19" fillId="0" borderId="49" xfId="0" applyFont="1" applyBorder="1"/>
    <xf numFmtId="0" fontId="19" fillId="0" borderId="50" xfId="0" applyFont="1" applyBorder="1"/>
    <xf numFmtId="0" fontId="4" fillId="0" borderId="41" xfId="0" applyFont="1" applyBorder="1"/>
    <xf numFmtId="178" fontId="19" fillId="0" borderId="17" xfId="0" applyNumberFormat="1" applyFont="1" applyBorder="1" applyAlignment="1">
      <alignment horizontal="center"/>
    </xf>
    <xf numFmtId="178" fontId="19" fillId="0" borderId="0" xfId="0" applyNumberFormat="1" applyFont="1" applyAlignment="1">
      <alignment horizontal="center"/>
    </xf>
    <xf numFmtId="0" fontId="4" fillId="0" borderId="38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3" xfId="0" applyFont="1" applyFill="1" applyBorder="1"/>
    <xf numFmtId="0" fontId="4" fillId="5" borderId="17" xfId="0" applyFont="1" applyFill="1" applyBorder="1" applyAlignment="1">
      <alignment horizontal="center"/>
    </xf>
    <xf numFmtId="0" fontId="4" fillId="5" borderId="17" xfId="0" applyFont="1" applyFill="1" applyBorder="1"/>
    <xf numFmtId="0" fontId="4" fillId="5" borderId="16" xfId="0" applyFont="1" applyFill="1" applyBorder="1"/>
    <xf numFmtId="0" fontId="4" fillId="5" borderId="1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/>
    <xf numFmtId="0" fontId="4" fillId="6" borderId="3" xfId="0" applyFont="1" applyFill="1" applyBorder="1"/>
    <xf numFmtId="0" fontId="4" fillId="6" borderId="18" xfId="0" applyFont="1" applyFill="1" applyBorder="1" applyAlignment="1">
      <alignment horizontal="center"/>
    </xf>
    <xf numFmtId="0" fontId="4" fillId="6" borderId="17" xfId="0" applyFont="1" applyFill="1" applyBorder="1"/>
    <xf numFmtId="0" fontId="4" fillId="6" borderId="16" xfId="0" applyFont="1" applyFill="1" applyBorder="1"/>
    <xf numFmtId="0" fontId="4" fillId="6" borderId="2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5" borderId="51" xfId="0" applyFont="1" applyFill="1" applyBorder="1" applyAlignment="1">
      <alignment horizontal="center"/>
    </xf>
    <xf numFmtId="0" fontId="4" fillId="5" borderId="52" xfId="0" applyFont="1" applyFill="1" applyBorder="1" applyAlignment="1">
      <alignment horizontal="center"/>
    </xf>
    <xf numFmtId="0" fontId="19" fillId="0" borderId="53" xfId="0" applyFont="1" applyBorder="1" applyAlignment="1">
      <alignment horizontal="center"/>
    </xf>
    <xf numFmtId="178" fontId="19" fillId="0" borderId="56" xfId="0" applyNumberFormat="1" applyFont="1" applyBorder="1" applyAlignment="1">
      <alignment horizontal="center"/>
    </xf>
    <xf numFmtId="178" fontId="19" fillId="0" borderId="52" xfId="0" applyNumberFormat="1" applyFont="1" applyBorder="1" applyAlignment="1">
      <alignment horizontal="center"/>
    </xf>
    <xf numFmtId="0" fontId="4" fillId="5" borderId="58" xfId="0" applyFont="1" applyFill="1" applyBorder="1"/>
    <xf numFmtId="0" fontId="4" fillId="5" borderId="59" xfId="0" applyFont="1" applyFill="1" applyBorder="1"/>
    <xf numFmtId="0" fontId="4" fillId="0" borderId="60" xfId="0" applyFont="1" applyBorder="1" applyAlignment="1">
      <alignment horizontal="center"/>
    </xf>
    <xf numFmtId="0" fontId="4" fillId="6" borderId="51" xfId="0" applyFont="1" applyFill="1" applyBorder="1" applyAlignment="1">
      <alignment horizontal="center"/>
    </xf>
    <xf numFmtId="0" fontId="4" fillId="6" borderId="52" xfId="0" applyFont="1" applyFill="1" applyBorder="1" applyAlignment="1">
      <alignment horizontal="center"/>
    </xf>
    <xf numFmtId="0" fontId="4" fillId="6" borderId="58" xfId="0" applyFont="1" applyFill="1" applyBorder="1"/>
    <xf numFmtId="0" fontId="4" fillId="6" borderId="59" xfId="0" applyFont="1" applyFill="1" applyBorder="1"/>
    <xf numFmtId="0" fontId="0" fillId="4" borderId="0" xfId="0" applyFill="1"/>
    <xf numFmtId="0" fontId="4" fillId="4" borderId="7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center"/>
    </xf>
    <xf numFmtId="0" fontId="4" fillId="7" borderId="0" xfId="0" applyFont="1" applyFill="1" applyAlignment="1">
      <alignment horizontal="left"/>
    </xf>
    <xf numFmtId="0" fontId="12" fillId="7" borderId="0" xfId="0" applyFont="1" applyFill="1" applyAlignment="1">
      <alignment horizontal="center"/>
    </xf>
    <xf numFmtId="0" fontId="12" fillId="7" borderId="0" xfId="0" applyFont="1" applyFill="1"/>
    <xf numFmtId="0" fontId="12" fillId="7" borderId="0" xfId="0" applyFont="1" applyFill="1" applyAlignment="1">
      <alignment horizontal="left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4" fillId="4" borderId="65" xfId="0" applyFont="1" applyFill="1" applyBorder="1"/>
    <xf numFmtId="0" fontId="12" fillId="4" borderId="0" xfId="0" applyFont="1" applyFill="1" applyAlignment="1">
      <alignment horizontal="right"/>
    </xf>
    <xf numFmtId="0" fontId="12" fillId="4" borderId="17" xfId="0" applyFont="1" applyFill="1" applyBorder="1" applyAlignment="1">
      <alignment horizontal="left"/>
    </xf>
    <xf numFmtId="0" fontId="12" fillId="4" borderId="16" xfId="0" applyFont="1" applyFill="1" applyBorder="1" applyAlignment="1">
      <alignment horizontal="left"/>
    </xf>
    <xf numFmtId="0" fontId="12" fillId="4" borderId="17" xfId="0" applyFont="1" applyFill="1" applyBorder="1" applyAlignment="1">
      <alignment horizontal="center"/>
    </xf>
    <xf numFmtId="0" fontId="12" fillId="4" borderId="9" xfId="5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0" fontId="4" fillId="4" borderId="0" xfId="0" applyFont="1" applyFill="1" applyAlignment="1">
      <alignment vertical="top"/>
    </xf>
    <xf numFmtId="0" fontId="4" fillId="4" borderId="8" xfId="0" applyFont="1" applyFill="1" applyBorder="1" applyAlignment="1">
      <alignment vertical="top"/>
    </xf>
    <xf numFmtId="0" fontId="4" fillId="4" borderId="66" xfId="0" applyFont="1" applyFill="1" applyBorder="1"/>
    <xf numFmtId="0" fontId="12" fillId="4" borderId="3" xfId="5" applyFont="1" applyFill="1" applyBorder="1" applyAlignment="1">
      <alignment vertical="top"/>
    </xf>
    <xf numFmtId="0" fontId="21" fillId="4" borderId="0" xfId="0" applyFont="1" applyFill="1" applyAlignment="1">
      <alignment horizontal="left"/>
    </xf>
    <xf numFmtId="0" fontId="21" fillId="4" borderId="0" xfId="0" applyFont="1" applyFill="1"/>
    <xf numFmtId="0" fontId="4" fillId="3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49" fontId="4" fillId="2" borderId="2" xfId="0" applyNumberFormat="1" applyFont="1" applyFill="1" applyBorder="1"/>
    <xf numFmtId="49" fontId="4" fillId="2" borderId="17" xfId="0" applyNumberFormat="1" applyFont="1" applyFill="1" applyBorder="1"/>
    <xf numFmtId="49" fontId="19" fillId="0" borderId="38" xfId="0" applyNumberFormat="1" applyFont="1" applyBorder="1" applyAlignment="1">
      <alignment horizontal="center"/>
    </xf>
    <xf numFmtId="49" fontId="19" fillId="0" borderId="49" xfId="0" applyNumberFormat="1" applyFont="1" applyBorder="1" applyAlignment="1">
      <alignment horizontal="center"/>
    </xf>
    <xf numFmtId="49" fontId="4" fillId="0" borderId="41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0" fontId="4" fillId="0" borderId="46" xfId="3" applyFont="1" applyBorder="1">
      <alignment vertical="center"/>
    </xf>
    <xf numFmtId="0" fontId="12" fillId="6" borderId="1" xfId="0" applyFont="1" applyFill="1" applyBorder="1" applyAlignment="1">
      <alignment vertical="top"/>
    </xf>
    <xf numFmtId="0" fontId="12" fillId="6" borderId="3" xfId="0" applyFont="1" applyFill="1" applyBorder="1" applyAlignment="1">
      <alignment vertical="top"/>
    </xf>
    <xf numFmtId="0" fontId="12" fillId="6" borderId="2" xfId="0" applyFont="1" applyFill="1" applyBorder="1" applyAlignment="1">
      <alignment vertical="top"/>
    </xf>
    <xf numFmtId="0" fontId="12" fillId="6" borderId="4" xfId="0" applyFont="1" applyFill="1" applyBorder="1" applyAlignment="1">
      <alignment vertical="top"/>
    </xf>
    <xf numFmtId="0" fontId="12" fillId="6" borderId="5" xfId="0" applyFont="1" applyFill="1" applyBorder="1" applyAlignment="1">
      <alignment vertical="top"/>
    </xf>
    <xf numFmtId="0" fontId="12" fillId="6" borderId="6" xfId="0" applyFont="1" applyFill="1" applyBorder="1" applyAlignment="1">
      <alignment vertical="top"/>
    </xf>
    <xf numFmtId="0" fontId="12" fillId="6" borderId="18" xfId="0" applyFont="1" applyFill="1" applyBorder="1" applyAlignment="1">
      <alignment vertical="top"/>
    </xf>
    <xf numFmtId="0" fontId="12" fillId="6" borderId="16" xfId="0" applyFont="1" applyFill="1" applyBorder="1" applyAlignment="1">
      <alignment vertical="top"/>
    </xf>
    <xf numFmtId="0" fontId="12" fillId="6" borderId="17" xfId="0" applyFont="1" applyFill="1" applyBorder="1" applyAlignment="1">
      <alignment vertical="top"/>
    </xf>
    <xf numFmtId="0" fontId="12" fillId="6" borderId="67" xfId="0" applyFont="1" applyFill="1" applyBorder="1" applyAlignment="1">
      <alignment vertical="top"/>
    </xf>
    <xf numFmtId="49" fontId="12" fillId="6" borderId="4" xfId="0" applyNumberFormat="1" applyFont="1" applyFill="1" applyBorder="1" applyAlignment="1">
      <alignment vertical="top"/>
    </xf>
    <xf numFmtId="49" fontId="12" fillId="6" borderId="68" xfId="0" applyNumberFormat="1" applyFont="1" applyFill="1" applyBorder="1" applyAlignment="1">
      <alignment vertical="top"/>
    </xf>
    <xf numFmtId="49" fontId="12" fillId="6" borderId="32" xfId="0" applyNumberFormat="1" applyFont="1" applyFill="1" applyBorder="1" applyAlignment="1">
      <alignment vertical="top"/>
    </xf>
    <xf numFmtId="0" fontId="12" fillId="4" borderId="7" xfId="0" applyFont="1" applyFill="1" applyBorder="1" applyAlignment="1">
      <alignment vertical="top"/>
    </xf>
    <xf numFmtId="0" fontId="12" fillId="4" borderId="0" xfId="0" applyFont="1" applyFill="1" applyAlignment="1">
      <alignment vertical="top"/>
    </xf>
    <xf numFmtId="0" fontId="12" fillId="4" borderId="8" xfId="0" applyFont="1" applyFill="1" applyBorder="1" applyAlignment="1">
      <alignment vertical="top"/>
    </xf>
    <xf numFmtId="0" fontId="12" fillId="4" borderId="4" xfId="0" applyFont="1" applyFill="1" applyBorder="1" applyAlignment="1">
      <alignment vertical="top"/>
    </xf>
    <xf numFmtId="0" fontId="12" fillId="4" borderId="17" xfId="0" applyFont="1" applyFill="1" applyBorder="1" applyAlignment="1">
      <alignment vertical="top"/>
    </xf>
    <xf numFmtId="0" fontId="12" fillId="4" borderId="16" xfId="0" applyFont="1" applyFill="1" applyBorder="1" applyAlignment="1">
      <alignment vertical="top"/>
    </xf>
    <xf numFmtId="0" fontId="12" fillId="4" borderId="30" xfId="0" applyFont="1" applyFill="1" applyBorder="1" applyAlignment="1">
      <alignment vertical="top"/>
    </xf>
    <xf numFmtId="0" fontId="12" fillId="4" borderId="4" xfId="0" applyFont="1" applyFill="1" applyBorder="1" applyAlignment="1">
      <alignment horizontal="center" vertical="top"/>
    </xf>
    <xf numFmtId="0" fontId="12" fillId="4" borderId="26" xfId="0" applyFont="1" applyFill="1" applyBorder="1" applyAlignment="1">
      <alignment horizontal="center" vertical="top"/>
    </xf>
    <xf numFmtId="0" fontId="12" fillId="7" borderId="30" xfId="0" applyFont="1" applyFill="1" applyBorder="1" applyAlignment="1">
      <alignment horizontal="center" vertical="top"/>
    </xf>
    <xf numFmtId="0" fontId="12" fillId="7" borderId="32" xfId="0" applyFont="1" applyFill="1" applyBorder="1" applyAlignment="1">
      <alignment horizontal="center" vertical="top"/>
    </xf>
    <xf numFmtId="0" fontId="12" fillId="4" borderId="18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4" borderId="6" xfId="0" applyFont="1" applyFill="1" applyBorder="1" applyAlignment="1">
      <alignment vertical="top"/>
    </xf>
    <xf numFmtId="0" fontId="12" fillId="4" borderId="68" xfId="0" applyFont="1" applyFill="1" applyBorder="1" applyAlignment="1">
      <alignment horizontal="center" vertical="top"/>
    </xf>
    <xf numFmtId="0" fontId="12" fillId="7" borderId="25" xfId="0" applyFont="1" applyFill="1" applyBorder="1" applyAlignment="1">
      <alignment horizontal="center" vertical="top"/>
    </xf>
    <xf numFmtId="0" fontId="10" fillId="4" borderId="4" xfId="0" applyFont="1" applyFill="1" applyBorder="1" applyAlignment="1">
      <alignment vertical="top"/>
    </xf>
    <xf numFmtId="0" fontId="12" fillId="4" borderId="67" xfId="0" applyFont="1" applyFill="1" applyBorder="1" applyAlignment="1">
      <alignment vertical="top"/>
    </xf>
    <xf numFmtId="0" fontId="12" fillId="4" borderId="1" xfId="0" applyFont="1" applyFill="1" applyBorder="1" applyAlignment="1">
      <alignment vertical="top"/>
    </xf>
    <xf numFmtId="0" fontId="12" fillId="4" borderId="2" xfId="0" applyFont="1" applyFill="1" applyBorder="1" applyAlignment="1">
      <alignment vertical="top"/>
    </xf>
    <xf numFmtId="0" fontId="12" fillId="4" borderId="3" xfId="0" applyFont="1" applyFill="1" applyBorder="1" applyAlignment="1">
      <alignment vertical="top"/>
    </xf>
    <xf numFmtId="0" fontId="12" fillId="4" borderId="10" xfId="0" applyFont="1" applyFill="1" applyBorder="1" applyAlignment="1">
      <alignment vertical="top"/>
    </xf>
    <xf numFmtId="0" fontId="12" fillId="4" borderId="29" xfId="0" applyFont="1" applyFill="1" applyBorder="1" applyAlignment="1">
      <alignment vertical="top"/>
    </xf>
    <xf numFmtId="0" fontId="12" fillId="6" borderId="7" xfId="0" applyFont="1" applyFill="1" applyBorder="1" applyAlignment="1">
      <alignment vertical="top"/>
    </xf>
    <xf numFmtId="0" fontId="12" fillId="6" borderId="8" xfId="0" applyFont="1" applyFill="1" applyBorder="1" applyAlignment="1">
      <alignment vertical="top"/>
    </xf>
    <xf numFmtId="0" fontId="12" fillId="6" borderId="10" xfId="0" applyFont="1" applyFill="1" applyBorder="1" applyAlignment="1">
      <alignment vertical="top"/>
    </xf>
    <xf numFmtId="0" fontId="12" fillId="6" borderId="10" xfId="0" applyFont="1" applyFill="1" applyBorder="1" applyAlignment="1">
      <alignment horizontal="center" vertical="top"/>
    </xf>
    <xf numFmtId="0" fontId="12" fillId="6" borderId="23" xfId="0" applyFont="1" applyFill="1" applyBorder="1" applyAlignment="1">
      <alignment horizontal="center" vertical="top"/>
    </xf>
    <xf numFmtId="0" fontId="12" fillId="6" borderId="30" xfId="0" applyFont="1" applyFill="1" applyBorder="1" applyAlignment="1">
      <alignment vertical="top"/>
    </xf>
    <xf numFmtId="0" fontId="12" fillId="6" borderId="30" xfId="0" applyFont="1" applyFill="1" applyBorder="1" applyAlignment="1">
      <alignment horizontal="center" vertical="top"/>
    </xf>
    <xf numFmtId="0" fontId="12" fillId="6" borderId="25" xfId="0" applyFont="1" applyFill="1" applyBorder="1" applyAlignment="1">
      <alignment horizontal="center" vertical="top"/>
    </xf>
    <xf numFmtId="0" fontId="12" fillId="4" borderId="10" xfId="0" applyFont="1" applyFill="1" applyBorder="1" applyAlignment="1">
      <alignment horizontal="center" vertical="top"/>
    </xf>
    <xf numFmtId="0" fontId="12" fillId="4" borderId="23" xfId="0" applyFont="1" applyFill="1" applyBorder="1" applyAlignment="1">
      <alignment horizontal="center" vertical="top"/>
    </xf>
    <xf numFmtId="49" fontId="12" fillId="4" borderId="7" xfId="0" quotePrefix="1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top"/>
    </xf>
    <xf numFmtId="0" fontId="12" fillId="4" borderId="29" xfId="0" applyFont="1" applyFill="1" applyBorder="1" applyAlignment="1">
      <alignment horizontal="center" vertical="top"/>
    </xf>
    <xf numFmtId="0" fontId="12" fillId="4" borderId="21" xfId="0" applyFont="1" applyFill="1" applyBorder="1" applyAlignment="1">
      <alignment horizontal="center" vertical="top"/>
    </xf>
    <xf numFmtId="0" fontId="12" fillId="4" borderId="30" xfId="0" applyFont="1" applyFill="1" applyBorder="1" applyAlignment="1">
      <alignment horizontal="center" vertical="top"/>
    </xf>
    <xf numFmtId="0" fontId="12" fillId="4" borderId="25" xfId="0" applyFont="1" applyFill="1" applyBorder="1" applyAlignment="1">
      <alignment horizontal="center" vertical="top"/>
    </xf>
    <xf numFmtId="0" fontId="10" fillId="4" borderId="0" xfId="0" applyFont="1" applyFill="1" applyAlignment="1">
      <alignment vertical="top"/>
    </xf>
    <xf numFmtId="0" fontId="12" fillId="7" borderId="1" xfId="0" applyFont="1" applyFill="1" applyBorder="1" applyAlignment="1">
      <alignment vertical="top"/>
    </xf>
    <xf numFmtId="0" fontId="12" fillId="7" borderId="2" xfId="0" applyFont="1" applyFill="1" applyBorder="1" applyAlignment="1">
      <alignment vertical="top"/>
    </xf>
    <xf numFmtId="0" fontId="12" fillId="7" borderId="10" xfId="0" applyFont="1" applyFill="1" applyBorder="1" applyAlignment="1">
      <alignment horizontal="center" vertical="top"/>
    </xf>
    <xf numFmtId="0" fontId="12" fillId="7" borderId="3" xfId="0" applyFont="1" applyFill="1" applyBorder="1" applyAlignment="1">
      <alignment vertical="top"/>
    </xf>
    <xf numFmtId="0" fontId="12" fillId="7" borderId="23" xfId="0" applyFont="1" applyFill="1" applyBorder="1" applyAlignment="1">
      <alignment horizontal="center" vertical="top"/>
    </xf>
    <xf numFmtId="49" fontId="12" fillId="7" borderId="7" xfId="0" quotePrefix="1" applyNumberFormat="1" applyFont="1" applyFill="1" applyBorder="1" applyAlignment="1">
      <alignment horizontal="center" vertical="center"/>
    </xf>
    <xf numFmtId="49" fontId="12" fillId="7" borderId="8" xfId="0" applyNumberFormat="1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vertical="top"/>
    </xf>
    <xf numFmtId="0" fontId="12" fillId="7" borderId="0" xfId="0" applyFont="1" applyFill="1" applyAlignment="1">
      <alignment vertical="top"/>
    </xf>
    <xf numFmtId="0" fontId="12" fillId="7" borderId="29" xfId="0" applyFont="1" applyFill="1" applyBorder="1" applyAlignment="1">
      <alignment vertical="top"/>
    </xf>
    <xf numFmtId="0" fontId="12" fillId="7" borderId="0" xfId="0" applyFont="1" applyFill="1" applyAlignment="1">
      <alignment horizontal="center" vertical="top"/>
    </xf>
    <xf numFmtId="0" fontId="12" fillId="7" borderId="8" xfId="0" applyFont="1" applyFill="1" applyBorder="1" applyAlignment="1">
      <alignment vertical="top"/>
    </xf>
    <xf numFmtId="0" fontId="12" fillId="7" borderId="29" xfId="0" applyFont="1" applyFill="1" applyBorder="1" applyAlignment="1">
      <alignment horizontal="center" vertical="top"/>
    </xf>
    <xf numFmtId="0" fontId="12" fillId="7" borderId="21" xfId="0" applyFont="1" applyFill="1" applyBorder="1" applyAlignment="1">
      <alignment horizontal="center" vertical="top"/>
    </xf>
    <xf numFmtId="0" fontId="12" fillId="7" borderId="18" xfId="0" applyFont="1" applyFill="1" applyBorder="1" applyAlignment="1">
      <alignment vertical="top"/>
    </xf>
    <xf numFmtId="0" fontId="12" fillId="7" borderId="17" xfId="0" applyFont="1" applyFill="1" applyBorder="1" applyAlignment="1">
      <alignment vertical="top"/>
    </xf>
    <xf numFmtId="0" fontId="12" fillId="7" borderId="30" xfId="0" applyFont="1" applyFill="1" applyBorder="1" applyAlignment="1">
      <alignment vertical="top"/>
    </xf>
    <xf numFmtId="0" fontId="12" fillId="7" borderId="16" xfId="0" applyFont="1" applyFill="1" applyBorder="1" applyAlignment="1">
      <alignment vertical="top"/>
    </xf>
    <xf numFmtId="0" fontId="4" fillId="4" borderId="33" xfId="0" applyFont="1" applyFill="1" applyBorder="1"/>
    <xf numFmtId="178" fontId="4" fillId="0" borderId="46" xfId="0" applyNumberFormat="1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178" fontId="19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19" fillId="0" borderId="49" xfId="0" quotePrefix="1" applyFont="1" applyBorder="1" applyAlignment="1">
      <alignment horizontal="center"/>
    </xf>
    <xf numFmtId="0" fontId="19" fillId="0" borderId="61" xfId="0" quotePrefix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9" fillId="0" borderId="50" xfId="0" quotePrefix="1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178" fontId="4" fillId="0" borderId="41" xfId="0" applyNumberFormat="1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178" fontId="19" fillId="0" borderId="41" xfId="0" applyNumberFormat="1" applyFont="1" applyBorder="1" applyAlignment="1">
      <alignment horizontal="center"/>
    </xf>
    <xf numFmtId="0" fontId="19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178" fontId="4" fillId="0" borderId="17" xfId="0" applyNumberFormat="1" applyFont="1" applyBorder="1" applyAlignment="1">
      <alignment horizontal="center"/>
    </xf>
    <xf numFmtId="0" fontId="19" fillId="0" borderId="53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49" fontId="19" fillId="0" borderId="49" xfId="0" applyNumberFormat="1" applyFont="1" applyBorder="1" applyAlignment="1">
      <alignment horizontal="center"/>
    </xf>
    <xf numFmtId="49" fontId="19" fillId="0" borderId="50" xfId="0" applyNumberFormat="1" applyFont="1" applyBorder="1" applyAlignment="1">
      <alignment horizontal="center"/>
    </xf>
    <xf numFmtId="49" fontId="12" fillId="4" borderId="1" xfId="0" quotePrefix="1" applyNumberFormat="1" applyFont="1" applyFill="1" applyBorder="1" applyAlignment="1">
      <alignment horizontal="center" vertical="center"/>
    </xf>
    <xf numFmtId="49" fontId="12" fillId="4" borderId="3" xfId="0" applyNumberFormat="1" applyFont="1" applyFill="1" applyBorder="1" applyAlignment="1">
      <alignment horizontal="center" vertical="center"/>
    </xf>
    <xf numFmtId="0" fontId="12" fillId="4" borderId="18" xfId="0" quotePrefix="1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4" xfId="0" quotePrefix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49" fontId="12" fillId="4" borderId="7" xfId="0" quotePrefix="1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49" fontId="12" fillId="4" borderId="18" xfId="0" quotePrefix="1" applyNumberFormat="1" applyFont="1" applyFill="1" applyBorder="1" applyAlignment="1">
      <alignment horizontal="center" vertical="center"/>
    </xf>
    <xf numFmtId="49" fontId="12" fillId="4" borderId="16" xfId="0" applyNumberFormat="1" applyFont="1" applyFill="1" applyBorder="1" applyAlignment="1">
      <alignment horizontal="center" vertical="center"/>
    </xf>
    <xf numFmtId="49" fontId="12" fillId="7" borderId="18" xfId="0" quotePrefix="1" applyNumberFormat="1" applyFont="1" applyFill="1" applyBorder="1" applyAlignment="1">
      <alignment horizontal="center" vertical="center"/>
    </xf>
    <xf numFmtId="49" fontId="12" fillId="7" borderId="16" xfId="0" applyNumberFormat="1" applyFont="1" applyFill="1" applyBorder="1" applyAlignment="1">
      <alignment horizontal="center" vertical="center"/>
    </xf>
    <xf numFmtId="49" fontId="12" fillId="7" borderId="1" xfId="0" quotePrefix="1" applyNumberFormat="1" applyFont="1" applyFill="1" applyBorder="1" applyAlignment="1">
      <alignment horizontal="center" vertical="center"/>
    </xf>
    <xf numFmtId="49" fontId="12" fillId="7" borderId="3" xfId="0" applyNumberFormat="1" applyFont="1" applyFill="1" applyBorder="1" applyAlignment="1">
      <alignment horizontal="center" vertical="center"/>
    </xf>
    <xf numFmtId="49" fontId="12" fillId="7" borderId="7" xfId="0" quotePrefix="1" applyNumberFormat="1" applyFont="1" applyFill="1" applyBorder="1" applyAlignment="1">
      <alignment horizontal="center" vertical="center"/>
    </xf>
    <xf numFmtId="49" fontId="12" fillId="7" borderId="8" xfId="0" applyNumberFormat="1" applyFont="1" applyFill="1" applyBorder="1" applyAlignment="1">
      <alignment horizontal="center" vertical="center"/>
    </xf>
    <xf numFmtId="0" fontId="22" fillId="4" borderId="0" xfId="0" applyFont="1" applyFill="1"/>
    <xf numFmtId="0" fontId="10" fillId="4" borderId="9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22" xfId="5" xr:uid="{7E31D7BF-16B2-4DCD-8CF6-20CAA42AE5E2}"/>
    <cellStyle name="標準 3" xfId="3" xr:uid="{00000000-0005-0000-0000-000003000000}"/>
    <cellStyle name="標準 3 2" xfId="4" xr:uid="{00000000-0005-0000-0000-000004000000}"/>
  </cellStyles>
  <dxfs count="0"/>
  <tableStyles count="0" defaultTableStyle="TableStyleMedium2" defaultPivotStyle="PivotStyleMedium9"/>
  <colors>
    <mruColors>
      <color rgb="FFCCFFCC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169</xdr:col>
      <xdr:colOff>0</xdr:colOff>
      <xdr:row>24</xdr:row>
      <xdr:rowOff>1</xdr:rowOff>
    </xdr:from>
    <xdr:to>
      <xdr:col>176</xdr:col>
      <xdr:colOff>0</xdr:colOff>
      <xdr:row>59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9CDBE36-3349-46A1-10B0-D7CA5359D747}"/>
            </a:ext>
          </a:extLst>
        </xdr:cNvPr>
        <xdr:cNvSpPr/>
      </xdr:nvSpPr>
      <xdr:spPr>
        <a:xfrm>
          <a:off x="59010176" y="4347883"/>
          <a:ext cx="2330824" cy="655544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確認外</a:t>
          </a:r>
          <a:endParaRPr lang="ja-JP" altLang="ja-JP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225</xdr:col>
      <xdr:colOff>0</xdr:colOff>
      <xdr:row>17</xdr:row>
      <xdr:rowOff>0</xdr:rowOff>
    </xdr:from>
    <xdr:to>
      <xdr:col>232</xdr:col>
      <xdr:colOff>0</xdr:colOff>
      <xdr:row>143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A9D904A-47C7-6579-EA21-88D596EDF673}"/>
            </a:ext>
          </a:extLst>
        </xdr:cNvPr>
        <xdr:cNvSpPr/>
      </xdr:nvSpPr>
      <xdr:spPr>
        <a:xfrm>
          <a:off x="77819250" y="3036094"/>
          <a:ext cx="2119313" cy="235743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確認外</a:t>
          </a:r>
          <a:endParaRPr lang="ja-JP" altLang="ja-JP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144</xdr:row>
      <xdr:rowOff>0</xdr:rowOff>
    </xdr:from>
    <xdr:to>
      <xdr:col>225</xdr:col>
      <xdr:colOff>0</xdr:colOff>
      <xdr:row>228</xdr:row>
      <xdr:rowOff>699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C5EC923-788B-08F1-695A-A301810E9D3A}"/>
            </a:ext>
          </a:extLst>
        </xdr:cNvPr>
        <xdr:cNvSpPr/>
      </xdr:nvSpPr>
      <xdr:spPr>
        <a:xfrm>
          <a:off x="16085344" y="26789063"/>
          <a:ext cx="61829156" cy="1514544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確認外</a:t>
          </a:r>
          <a:endParaRPr lang="ja-JP" altLang="ja-JP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96369</xdr:colOff>
      <xdr:row>13</xdr:row>
      <xdr:rowOff>33617</xdr:rowOff>
    </xdr:from>
    <xdr:to>
      <xdr:col>94</xdr:col>
      <xdr:colOff>313765</xdr:colOff>
      <xdr:row>15</xdr:row>
      <xdr:rowOff>5042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5603EFA2-21F4-2C7E-038E-180BF3BC9B36}"/>
            </a:ext>
          </a:extLst>
        </xdr:cNvPr>
        <xdr:cNvSpPr/>
      </xdr:nvSpPr>
      <xdr:spPr>
        <a:xfrm>
          <a:off x="26923251" y="2319617"/>
          <a:ext cx="1169896" cy="330013"/>
        </a:xfrm>
        <a:prstGeom prst="wedgeRectCallout">
          <a:avLst>
            <a:gd name="adj1" fmla="val -6859"/>
            <a:gd name="adj2" fmla="val 6782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ここで申請依頼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97</xdr:col>
      <xdr:colOff>154781</xdr:colOff>
      <xdr:row>13</xdr:row>
      <xdr:rowOff>33617</xdr:rowOff>
    </xdr:from>
    <xdr:to>
      <xdr:col>103</xdr:col>
      <xdr:colOff>156883</xdr:colOff>
      <xdr:row>15</xdr:row>
      <xdr:rowOff>5042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71CEA5EC-61B8-FDE3-6559-D461A34E84C6}"/>
            </a:ext>
          </a:extLst>
        </xdr:cNvPr>
        <xdr:cNvSpPr/>
      </xdr:nvSpPr>
      <xdr:spPr>
        <a:xfrm>
          <a:off x="35659219" y="2355336"/>
          <a:ext cx="1942820" cy="328612"/>
        </a:xfrm>
        <a:prstGeom prst="wedgeRectCallout">
          <a:avLst>
            <a:gd name="adj1" fmla="val -6859"/>
            <a:gd name="adj2" fmla="val 6782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ここで申請依頼→承認依頼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125</xdr:col>
      <xdr:colOff>179713</xdr:colOff>
      <xdr:row>12</xdr:row>
      <xdr:rowOff>154780</xdr:rowOff>
    </xdr:from>
    <xdr:to>
      <xdr:col>131</xdr:col>
      <xdr:colOff>154780</xdr:colOff>
      <xdr:row>14</xdr:row>
      <xdr:rowOff>173131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15D4C476-7EE8-34A7-2C3E-FF2C2B43855E}"/>
            </a:ext>
          </a:extLst>
        </xdr:cNvPr>
        <xdr:cNvSpPr/>
      </xdr:nvSpPr>
      <xdr:spPr>
        <a:xfrm>
          <a:off x="44851963" y="2297905"/>
          <a:ext cx="1915786" cy="375539"/>
        </a:xfrm>
        <a:prstGeom prst="wedgeRectCallout">
          <a:avLst>
            <a:gd name="adj1" fmla="val -8102"/>
            <a:gd name="adj2" fmla="val 6148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ここで申請依頼→承認依頼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201</xdr:col>
      <xdr:colOff>369092</xdr:colOff>
      <xdr:row>12</xdr:row>
      <xdr:rowOff>35325</xdr:rowOff>
    </xdr:from>
    <xdr:to>
      <xdr:col>204</xdr:col>
      <xdr:colOff>335477</xdr:colOff>
      <xdr:row>14</xdr:row>
      <xdr:rowOff>10094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4616B81A-88E0-D861-C267-B1EA546F7F1A}"/>
            </a:ext>
          </a:extLst>
        </xdr:cNvPr>
        <xdr:cNvSpPr/>
      </xdr:nvSpPr>
      <xdr:spPr>
        <a:xfrm>
          <a:off x="70115905" y="2178450"/>
          <a:ext cx="1133197" cy="331957"/>
        </a:xfrm>
        <a:prstGeom prst="wedgeRectCallout">
          <a:avLst>
            <a:gd name="adj1" fmla="val 30674"/>
            <a:gd name="adj2" fmla="val 12574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ここで承認依頼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0</xdr:colOff>
      <xdr:row>24</xdr:row>
      <xdr:rowOff>0</xdr:rowOff>
    </xdr:from>
    <xdr:to>
      <xdr:col>71</xdr:col>
      <xdr:colOff>0</xdr:colOff>
      <xdr:row>59</xdr:row>
      <xdr:rowOff>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3932ABD-736B-1632-FDB3-D2C5854BF5A7}"/>
            </a:ext>
          </a:extLst>
        </xdr:cNvPr>
        <xdr:cNvSpPr/>
      </xdr:nvSpPr>
      <xdr:spPr>
        <a:xfrm>
          <a:off x="25169813" y="4345781"/>
          <a:ext cx="2119312" cy="654843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確認外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endParaRPr kumimoji="1" lang="ja-JP" altLang="en-US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169</xdr:col>
      <xdr:colOff>0</xdr:colOff>
      <xdr:row>66</xdr:row>
      <xdr:rowOff>0</xdr:rowOff>
    </xdr:from>
    <xdr:to>
      <xdr:col>176</xdr:col>
      <xdr:colOff>0</xdr:colOff>
      <xdr:row>101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8FF63DD-CAE8-2FDC-DD72-A4F59C884867}"/>
            </a:ext>
          </a:extLst>
        </xdr:cNvPr>
        <xdr:cNvSpPr/>
      </xdr:nvSpPr>
      <xdr:spPr>
        <a:xfrm>
          <a:off x="59010176" y="12214412"/>
          <a:ext cx="2330824" cy="655544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確認外</a:t>
          </a:r>
          <a:endParaRPr lang="ja-JP" altLang="ja-JP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132</xdr:col>
      <xdr:colOff>143995</xdr:colOff>
      <xdr:row>13</xdr:row>
      <xdr:rowOff>23812</xdr:rowOff>
    </xdr:from>
    <xdr:to>
      <xdr:col>140</xdr:col>
      <xdr:colOff>178593</xdr:colOff>
      <xdr:row>14</xdr:row>
      <xdr:rowOff>161224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1D408648-BC5D-6F31-56AF-546C79259298}"/>
            </a:ext>
          </a:extLst>
        </xdr:cNvPr>
        <xdr:cNvSpPr/>
      </xdr:nvSpPr>
      <xdr:spPr>
        <a:xfrm>
          <a:off x="47066526" y="2345531"/>
          <a:ext cx="2558723" cy="316006"/>
        </a:xfrm>
        <a:prstGeom prst="wedgeRectCallout">
          <a:avLst>
            <a:gd name="adj1" fmla="val -17096"/>
            <a:gd name="adj2" fmla="val 6712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ここで申請依頼→承認依頼→不承認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0</xdr:colOff>
      <xdr:row>66</xdr:row>
      <xdr:rowOff>11905</xdr:rowOff>
    </xdr:from>
    <xdr:to>
      <xdr:col>71</xdr:col>
      <xdr:colOff>0</xdr:colOff>
      <xdr:row>101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17158DD-79EC-1FF8-51F8-29AC073DF13B}"/>
            </a:ext>
          </a:extLst>
        </xdr:cNvPr>
        <xdr:cNvSpPr/>
      </xdr:nvSpPr>
      <xdr:spPr>
        <a:xfrm>
          <a:off x="25011529" y="12226317"/>
          <a:ext cx="2117912" cy="654353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確認外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endParaRPr kumimoji="1" lang="ja-JP" altLang="en-US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0</xdr:colOff>
      <xdr:row>108</xdr:row>
      <xdr:rowOff>0</xdr:rowOff>
    </xdr:from>
    <xdr:to>
      <xdr:col>71</xdr:col>
      <xdr:colOff>0</xdr:colOff>
      <xdr:row>115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7D5E89A-A615-CB8D-8437-264B59C9ACD4}"/>
            </a:ext>
          </a:extLst>
        </xdr:cNvPr>
        <xdr:cNvSpPr/>
      </xdr:nvSpPr>
      <xdr:spPr>
        <a:xfrm>
          <a:off x="25011529" y="20080941"/>
          <a:ext cx="2117912" cy="1311088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確認外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endParaRPr kumimoji="1" lang="ja-JP" altLang="en-US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209</xdr:col>
      <xdr:colOff>78158</xdr:colOff>
      <xdr:row>12</xdr:row>
      <xdr:rowOff>60839</xdr:rowOff>
    </xdr:from>
    <xdr:to>
      <xdr:col>214</xdr:col>
      <xdr:colOff>119062</xdr:colOff>
      <xdr:row>14</xdr:row>
      <xdr:rowOff>37309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D107C27A-31B7-C14D-1175-20D8C1527240}"/>
            </a:ext>
          </a:extLst>
        </xdr:cNvPr>
        <xdr:cNvSpPr/>
      </xdr:nvSpPr>
      <xdr:spPr>
        <a:xfrm>
          <a:off x="72551502" y="2203964"/>
          <a:ext cx="1791123" cy="333658"/>
        </a:xfrm>
        <a:prstGeom prst="wedgeRectCallout">
          <a:avLst>
            <a:gd name="adj1" fmla="val -6689"/>
            <a:gd name="adj2" fmla="val 9905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ここで承認依頼→不承認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64</xdr:col>
      <xdr:colOff>0</xdr:colOff>
      <xdr:row>121</xdr:row>
      <xdr:rowOff>178594</xdr:rowOff>
    </xdr:from>
    <xdr:to>
      <xdr:col>71</xdr:col>
      <xdr:colOff>0</xdr:colOff>
      <xdr:row>143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5035AF01-C599-2878-4E4B-106A4375BBAA}"/>
            </a:ext>
          </a:extLst>
        </xdr:cNvPr>
        <xdr:cNvSpPr/>
      </xdr:nvSpPr>
      <xdr:spPr>
        <a:xfrm>
          <a:off x="25011529" y="22702418"/>
          <a:ext cx="2117912" cy="3933964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確認外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r>
            <a:rPr lang="ja-JP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>
              <a:effectLst/>
            </a:rPr>
            <a:t> </a:t>
          </a:r>
          <a:endParaRPr kumimoji="1" lang="ja-JP" altLang="en-US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169</xdr:col>
      <xdr:colOff>0</xdr:colOff>
      <xdr:row>108</xdr:row>
      <xdr:rowOff>1</xdr:rowOff>
    </xdr:from>
    <xdr:to>
      <xdr:col>176</xdr:col>
      <xdr:colOff>0</xdr:colOff>
      <xdr:row>115</xdr:row>
      <xdr:rowOff>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D5F20B7-5B21-F1C3-227D-89EDCB6388AD}"/>
            </a:ext>
          </a:extLst>
        </xdr:cNvPr>
        <xdr:cNvSpPr/>
      </xdr:nvSpPr>
      <xdr:spPr>
        <a:xfrm>
          <a:off x="59010176" y="20080942"/>
          <a:ext cx="2330824" cy="131108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確認外</a:t>
          </a:r>
          <a:endParaRPr lang="ja-JP" altLang="ja-JP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169</xdr:col>
      <xdr:colOff>0</xdr:colOff>
      <xdr:row>122</xdr:row>
      <xdr:rowOff>1</xdr:rowOff>
    </xdr:from>
    <xdr:to>
      <xdr:col>176</xdr:col>
      <xdr:colOff>0</xdr:colOff>
      <xdr:row>143</xdr:row>
      <xdr:rowOff>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F7FA4A5-183C-7689-5B4A-3E3C2FB6A64A}"/>
            </a:ext>
          </a:extLst>
        </xdr:cNvPr>
        <xdr:cNvSpPr/>
      </xdr:nvSpPr>
      <xdr:spPr>
        <a:xfrm>
          <a:off x="59010176" y="22703119"/>
          <a:ext cx="2330824" cy="393326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確認外</a:t>
          </a:r>
          <a:endParaRPr lang="ja-JP" altLang="ja-JP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001\&#33337;&#33334;\MIYA\F-N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NIP"/>
      <sheetName val="顧客直近（Ⅱ事後）0403"/>
      <sheetName val="ﾏﾄﾒ表累年H1-H12"/>
      <sheetName val="項目リスト"/>
      <sheetName val="list"/>
      <sheetName val="社員リスト"/>
      <sheetName val="代車特約クラス"/>
      <sheetName val="リスト"/>
      <sheetName val="ｸﾞﾗﾌ雑危険計累年10年"/>
      <sheetName val="入力規則"/>
      <sheetName val="Sheet2"/>
      <sheetName val="イナズマ"/>
      <sheetName val="概算見積書"/>
      <sheetName val="変更管理一覧表"/>
      <sheetName val="作成条件"/>
      <sheetName val="進捗状況報告"/>
      <sheetName val="イナズマ.xls"/>
      <sheetName val="ﾄﾗｯｷﾝｸﾞﾁｪｯｸシート"/>
      <sheetName val="課題管理一覧表"/>
      <sheetName val="WKシート"/>
      <sheetName val="DS-700 "/>
      <sheetName val="DS-710 "/>
      <sheetName val="DS-715 "/>
      <sheetName val="DS-720"/>
      <sheetName val="DS-725"/>
      <sheetName val="×別紙1"/>
      <sheetName val="%E3%82%A4%E3%83%8A%E3%82%BA%E3%"/>
      <sheetName val="見積条件票"/>
      <sheetName val="PRM"/>
      <sheetName val="入力規制用"/>
      <sheetName val="テーブル"/>
      <sheetName val="DS-600"/>
      <sheetName val="雑危険計"/>
      <sheetName val="表"/>
      <sheetName val="Sheet1"/>
      <sheetName val="リスト&amp;サマリ"/>
      <sheetName val="参考（設定値）"/>
      <sheetName val="メイン"/>
      <sheetName val="データ"/>
      <sheetName val="【３版】β版 パス変換ツール"/>
      <sheetName val="【２版】パス変換ツール"/>
      <sheetName val="【初版】パス変換ツール"/>
      <sheetName val="master"/>
      <sheetName val="Config"/>
      <sheetName val="プルダウン"/>
      <sheetName val="ﾒﾓﾘ所要量"/>
      <sheetName val="マスタ"/>
      <sheetName val="管理表"/>
      <sheetName val="管理"/>
      <sheetName val="領域"/>
      <sheetName val="レビュー記録表（本紙）"/>
      <sheetName val="ＤＤ新旧対応"/>
      <sheetName val="団体Web"/>
      <sheetName val="データパターン"/>
      <sheetName val="header"/>
      <sheetName val="生人台帳"/>
      <sheetName val="Work"/>
      <sheetName val="表示文言一覧"/>
      <sheetName val="イナズマ_xls"/>
      <sheetName val="DS-700_"/>
      <sheetName val="DS-710_"/>
      <sheetName val="DS-715_"/>
      <sheetName val="リスト内容"/>
      <sheetName val="B票システムシート2"/>
      <sheetName val="B票システムシート1"/>
      <sheetName val="記入要領"/>
      <sheetName val="イナズマ_xls1"/>
      <sheetName val="DS-700_1"/>
      <sheetName val="DS-710_1"/>
      <sheetName val="DS-715_1"/>
      <sheetName val="【３版】β版_パス変換ツール"/>
      <sheetName val="データシート"/>
      <sheetName val="イナズマ_xls2"/>
      <sheetName val="DS-700_2"/>
      <sheetName val="DS-710_2"/>
      <sheetName val="DS-715_2"/>
      <sheetName val="【３版】β版_パス変換ツール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7718-C7D1-4CE5-AD7A-50C7C1F076B6}">
  <sheetPr codeName="Sheet1">
    <pageSetUpPr fitToPage="1"/>
  </sheetPr>
  <dimension ref="B1:CM432"/>
  <sheetViews>
    <sheetView tabSelected="1" zoomScale="80" zoomScaleNormal="80" workbookViewId="0">
      <pane xSplit="2" ySplit="19" topLeftCell="C52" activePane="bottomRight" state="frozen"/>
      <selection activeCell="T27" sqref="T27"/>
      <selection pane="topRight" activeCell="T27" sqref="T27"/>
      <selection pane="bottomLeft" activeCell="T27" sqref="T27"/>
      <selection pane="bottomRight"/>
    </sheetView>
  </sheetViews>
  <sheetFormatPr defaultColWidth="2.625" defaultRowHeight="14.25" outlineLevelRow="1" x14ac:dyDescent="0.25"/>
  <cols>
    <col min="1" max="1" width="0.75" style="1" customWidth="1"/>
    <col min="2" max="2" width="2.625" style="1"/>
    <col min="3" max="5" width="4.625" style="1" customWidth="1"/>
    <col min="6" max="13" width="2.625" style="1" customWidth="1"/>
    <col min="14" max="20" width="2.625" style="1"/>
    <col min="21" max="22" width="6.625" style="32" customWidth="1"/>
    <col min="23" max="23" width="6.625" style="32" hidden="1" customWidth="1"/>
    <col min="24" max="24" width="6.625" style="32" customWidth="1"/>
    <col min="25" max="38" width="2.625" style="1"/>
    <col min="39" max="39" width="13" style="1" customWidth="1"/>
    <col min="40" max="41" width="2.625" style="32"/>
    <col min="42" max="42" width="26.25" style="1" customWidth="1"/>
    <col min="43" max="43" width="7.5" style="1" bestFit="1" customWidth="1"/>
    <col min="44" max="51" width="2.625" style="1"/>
    <col min="52" max="55" width="2.875" style="32" customWidth="1"/>
    <col min="56" max="56" width="2.625" style="1" customWidth="1"/>
    <col min="57" max="70" width="2.625" style="1"/>
    <col min="71" max="72" width="4.875" style="32" bestFit="1" customWidth="1"/>
    <col min="73" max="73" width="2.625" style="1"/>
    <col min="74" max="74" width="7.25" style="32" customWidth="1"/>
    <col min="75" max="81" width="6.625" style="1" customWidth="1"/>
    <col min="82" max="16384" width="2.625" style="1"/>
  </cols>
  <sheetData>
    <row r="1" spans="2:91" ht="4.5" customHeight="1" x14ac:dyDescent="0.25">
      <c r="E1" s="39"/>
      <c r="Z1" s="32"/>
      <c r="AW1" s="32"/>
      <c r="AX1" s="32"/>
      <c r="AY1" s="32"/>
      <c r="BM1" s="32"/>
      <c r="BN1" s="32"/>
      <c r="BO1" s="32"/>
      <c r="BP1" s="32"/>
      <c r="BQ1" s="32"/>
      <c r="BR1" s="32"/>
      <c r="CM1" s="1" t="s">
        <v>88</v>
      </c>
    </row>
    <row r="2" spans="2:91" s="40" customFormat="1" ht="12" x14ac:dyDescent="0.15">
      <c r="B2" s="40" t="s">
        <v>510</v>
      </c>
      <c r="E2" s="41"/>
      <c r="U2" s="42"/>
      <c r="V2" s="42"/>
      <c r="W2" s="42"/>
      <c r="X2" s="42"/>
      <c r="Z2" s="42"/>
      <c r="AN2" s="42"/>
      <c r="AO2" s="42"/>
      <c r="AW2" s="42"/>
      <c r="AX2" s="42"/>
      <c r="AY2" s="42"/>
      <c r="AZ2" s="42"/>
      <c r="BA2" s="42"/>
      <c r="BB2" s="42"/>
      <c r="BC2" s="42"/>
      <c r="BM2" s="42"/>
      <c r="BN2" s="42"/>
      <c r="BO2" s="42"/>
      <c r="BP2" s="42"/>
      <c r="BQ2" s="42"/>
      <c r="BR2" s="42"/>
      <c r="BS2" s="42"/>
      <c r="BT2" s="42"/>
      <c r="BV2" s="42"/>
    </row>
    <row r="3" spans="2:91" s="43" customFormat="1" ht="19.5" x14ac:dyDescent="0.25">
      <c r="B3" s="53" t="s">
        <v>112</v>
      </c>
      <c r="E3" s="44"/>
      <c r="U3" s="45"/>
      <c r="V3" s="45"/>
      <c r="W3" s="45"/>
      <c r="X3" s="45"/>
      <c r="Z3" s="45"/>
      <c r="AN3" s="45"/>
      <c r="AO3" s="45"/>
      <c r="AW3" s="45"/>
      <c r="AX3" s="45"/>
      <c r="AY3" s="45"/>
      <c r="AZ3" s="45"/>
      <c r="BA3" s="45"/>
      <c r="BB3" s="45"/>
      <c r="BC3" s="45"/>
      <c r="BM3" s="45"/>
      <c r="BN3" s="45"/>
      <c r="BO3" s="45"/>
      <c r="BP3" s="45"/>
      <c r="BQ3" s="45"/>
      <c r="BR3" s="45"/>
      <c r="BS3" s="45"/>
      <c r="BT3" s="45"/>
      <c r="BV3" s="45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2:91" x14ac:dyDescent="0.25">
      <c r="E4" s="39"/>
      <c r="Z4" s="32"/>
      <c r="AX4" s="32"/>
      <c r="AY4" s="32"/>
      <c r="BM4" s="32"/>
      <c r="BN4" s="32"/>
      <c r="BO4" s="32"/>
      <c r="BP4" s="32"/>
      <c r="BQ4" s="32"/>
      <c r="BR4" s="32"/>
    </row>
    <row r="5" spans="2:91" ht="15" x14ac:dyDescent="0.25">
      <c r="B5" s="1" t="s">
        <v>34</v>
      </c>
      <c r="C5" s="1" t="s">
        <v>35</v>
      </c>
      <c r="E5" s="39"/>
      <c r="Z5" s="32"/>
      <c r="AP5"/>
      <c r="AW5" s="32"/>
      <c r="AX5" s="32"/>
      <c r="AY5" s="32"/>
      <c r="BM5" s="32"/>
      <c r="BN5" s="32"/>
      <c r="BO5" s="32"/>
      <c r="BP5" s="32"/>
      <c r="BQ5" s="32"/>
      <c r="BR5" s="32"/>
      <c r="CD5" s="46"/>
      <c r="CE5" s="46"/>
      <c r="CF5" s="46"/>
      <c r="CG5" s="46"/>
      <c r="CH5" s="46"/>
      <c r="CI5" s="46"/>
      <c r="CJ5" s="46"/>
      <c r="CK5" s="46"/>
      <c r="CL5" s="46"/>
      <c r="CM5" s="46"/>
    </row>
    <row r="6" spans="2:91" outlineLevel="1" x14ac:dyDescent="0.25">
      <c r="E6" s="39"/>
      <c r="Z6" s="32"/>
      <c r="AX6" s="32"/>
      <c r="AY6" s="32"/>
      <c r="BM6" s="32"/>
      <c r="BN6" s="32"/>
      <c r="BO6" s="32"/>
      <c r="BP6" s="32"/>
      <c r="BQ6" s="32"/>
      <c r="BR6" s="32"/>
      <c r="CD6" s="46"/>
      <c r="CE6" s="46"/>
      <c r="CF6" s="46"/>
      <c r="CG6" s="46"/>
      <c r="CH6" s="46"/>
      <c r="CI6" s="46"/>
      <c r="CJ6" s="46"/>
      <c r="CK6" s="46"/>
      <c r="CL6" s="46"/>
      <c r="CM6" s="46"/>
    </row>
    <row r="7" spans="2:91" outlineLevel="1" x14ac:dyDescent="0.25">
      <c r="C7" s="1" t="s">
        <v>114</v>
      </c>
      <c r="E7" s="39"/>
      <c r="Z7" s="32"/>
      <c r="AU7" s="32"/>
      <c r="AW7" s="32"/>
      <c r="AX7" s="32"/>
      <c r="AY7" s="32"/>
      <c r="BM7" s="32"/>
      <c r="BN7" s="32"/>
      <c r="BO7" s="32"/>
      <c r="BP7" s="32"/>
      <c r="BQ7" s="32"/>
      <c r="BR7" s="32"/>
      <c r="CD7" s="46"/>
      <c r="CE7" s="46"/>
      <c r="CF7" s="46"/>
      <c r="CG7" s="46"/>
      <c r="CH7" s="46"/>
      <c r="CI7" s="46"/>
      <c r="CJ7" s="46"/>
      <c r="CK7" s="46"/>
      <c r="CL7" s="46"/>
      <c r="CM7" s="46"/>
    </row>
    <row r="8" spans="2:91" outlineLevel="1" x14ac:dyDescent="0.25">
      <c r="C8" s="1" t="s">
        <v>115</v>
      </c>
      <c r="E8" s="39"/>
      <c r="Z8" s="32"/>
      <c r="AU8" s="32"/>
      <c r="AW8" s="32"/>
      <c r="AX8" s="32"/>
      <c r="AY8" s="32"/>
      <c r="BM8" s="32"/>
      <c r="BN8" s="32"/>
      <c r="BO8" s="32"/>
      <c r="BP8" s="32"/>
      <c r="BQ8" s="32"/>
      <c r="BR8" s="32"/>
      <c r="CD8" s="46"/>
      <c r="CE8" s="46"/>
      <c r="CF8" s="46"/>
      <c r="CG8" s="46"/>
      <c r="CH8" s="46"/>
      <c r="CI8" s="46"/>
      <c r="CJ8" s="46"/>
      <c r="CK8" s="46"/>
      <c r="CL8" s="46"/>
      <c r="CM8" s="46"/>
    </row>
    <row r="9" spans="2:91" outlineLevel="1" x14ac:dyDescent="0.25">
      <c r="E9" s="39"/>
      <c r="Z9" s="32"/>
      <c r="AU9" s="32"/>
      <c r="AW9" s="32"/>
      <c r="AX9" s="32"/>
      <c r="AY9" s="32"/>
      <c r="BW9" s="32"/>
      <c r="BX9" s="47"/>
      <c r="BY9" s="47" t="s">
        <v>36</v>
      </c>
      <c r="BZ9" s="47"/>
      <c r="CA9" s="47" t="s">
        <v>37</v>
      </c>
      <c r="CB9" s="47" t="s">
        <v>38</v>
      </c>
      <c r="CC9" s="32"/>
      <c r="CD9" s="46"/>
      <c r="CE9" s="46"/>
      <c r="CF9" s="46"/>
      <c r="CG9" s="46"/>
      <c r="CH9" s="46"/>
      <c r="CI9" s="46"/>
      <c r="CJ9" s="46"/>
      <c r="CK9" s="46"/>
      <c r="CL9" s="46"/>
      <c r="CM9" s="46"/>
    </row>
    <row r="10" spans="2:91" ht="15" outlineLevel="1" thickBot="1" x14ac:dyDescent="0.3">
      <c r="C10" s="48" t="s">
        <v>42</v>
      </c>
      <c r="D10" s="1" t="s">
        <v>113</v>
      </c>
      <c r="E10" s="39"/>
      <c r="U10" s="49" t="s">
        <v>39</v>
      </c>
      <c r="V10" s="49" t="s">
        <v>40</v>
      </c>
      <c r="W10" s="49" t="s">
        <v>41</v>
      </c>
      <c r="Z10" s="32"/>
      <c r="AW10" s="32"/>
      <c r="AX10" s="32"/>
      <c r="AY10" s="32"/>
      <c r="BW10" s="32"/>
      <c r="BX10" s="50"/>
      <c r="BY10" s="50">
        <f>BY14/(BW14-BZ14)</f>
        <v>0</v>
      </c>
      <c r="BZ10" s="47"/>
      <c r="CA10" s="50">
        <f>CA14/(BW14-BZ14)</f>
        <v>1</v>
      </c>
      <c r="CB10" s="50">
        <f>CB14/(BW14-BZ14)</f>
        <v>0</v>
      </c>
      <c r="CC10" s="32"/>
      <c r="CD10" s="46"/>
      <c r="CE10" s="46"/>
      <c r="CF10" s="46"/>
      <c r="CG10" s="46"/>
      <c r="CH10" s="46"/>
      <c r="CI10" s="46"/>
      <c r="CJ10" s="46"/>
      <c r="CK10" s="46"/>
      <c r="CL10" s="46"/>
      <c r="CM10" s="46"/>
    </row>
    <row r="11" spans="2:91" ht="15" outlineLevel="1" thickTop="1" x14ac:dyDescent="0.25">
      <c r="C11" s="48"/>
      <c r="E11" s="39"/>
      <c r="U11" s="34" t="s">
        <v>63</v>
      </c>
      <c r="V11" s="34" t="s">
        <v>43</v>
      </c>
      <c r="W11" s="34" t="s">
        <v>26</v>
      </c>
      <c r="Z11" s="32"/>
      <c r="AW11" s="32"/>
      <c r="AX11" s="32"/>
      <c r="AY11" s="32"/>
      <c r="AZ11" s="1"/>
      <c r="BW11" s="6" t="s">
        <v>44</v>
      </c>
      <c r="BX11" s="8"/>
      <c r="BY11" s="8"/>
      <c r="BZ11" s="8"/>
      <c r="CA11" s="8"/>
      <c r="CB11" s="8"/>
      <c r="CC11" s="10"/>
      <c r="CD11" s="46"/>
      <c r="CE11" s="46"/>
      <c r="CF11" s="46"/>
      <c r="CG11" s="46"/>
      <c r="CH11" s="46"/>
      <c r="CI11" s="46"/>
      <c r="CJ11" s="46"/>
      <c r="CK11" s="46"/>
      <c r="CL11" s="46"/>
      <c r="CM11" s="46"/>
    </row>
    <row r="12" spans="2:91" outlineLevel="1" x14ac:dyDescent="0.25">
      <c r="E12" s="39"/>
      <c r="U12" s="34" t="s">
        <v>64</v>
      </c>
      <c r="V12" s="34" t="s">
        <v>45</v>
      </c>
      <c r="W12" s="34" t="s">
        <v>46</v>
      </c>
      <c r="Z12" s="32"/>
      <c r="AW12" s="32"/>
      <c r="AX12" s="32"/>
      <c r="AY12" s="32"/>
      <c r="BW12" s="16" t="s">
        <v>5</v>
      </c>
      <c r="BX12" s="15"/>
      <c r="BY12" s="15" t="s">
        <v>5</v>
      </c>
      <c r="BZ12" s="16" t="s">
        <v>6</v>
      </c>
      <c r="CA12" s="16"/>
      <c r="CB12" s="19" t="s">
        <v>7</v>
      </c>
      <c r="CC12" s="16" t="s">
        <v>8</v>
      </c>
      <c r="CD12" s="46"/>
      <c r="CE12" s="46"/>
      <c r="CF12" s="46"/>
      <c r="CG12" s="46"/>
      <c r="CH12" s="46"/>
      <c r="CI12" s="46"/>
      <c r="CJ12" s="46"/>
      <c r="CK12" s="46"/>
      <c r="CL12" s="46"/>
      <c r="CM12" s="46"/>
    </row>
    <row r="13" spans="2:91" ht="15" outlineLevel="1" thickBot="1" x14ac:dyDescent="0.3">
      <c r="E13" s="39"/>
      <c r="U13" s="34" t="s">
        <v>47</v>
      </c>
      <c r="V13" s="34" t="s">
        <v>73</v>
      </c>
      <c r="W13" s="34" t="s">
        <v>22</v>
      </c>
      <c r="Z13" s="32"/>
      <c r="AW13" s="32"/>
      <c r="AX13" s="32"/>
      <c r="AY13" s="32"/>
      <c r="BW13" s="25" t="s">
        <v>14</v>
      </c>
      <c r="BX13" s="28" t="s">
        <v>48</v>
      </c>
      <c r="BY13" s="28" t="s">
        <v>16</v>
      </c>
      <c r="BZ13" s="28" t="s">
        <v>17</v>
      </c>
      <c r="CA13" s="28" t="s">
        <v>18</v>
      </c>
      <c r="CB13" s="28" t="s">
        <v>16</v>
      </c>
      <c r="CC13" s="25" t="s">
        <v>49</v>
      </c>
      <c r="CD13" s="46"/>
      <c r="CE13" s="46"/>
      <c r="CF13" s="46"/>
      <c r="CG13" s="46"/>
      <c r="CH13" s="46"/>
      <c r="CI13" s="46"/>
      <c r="CJ13" s="46"/>
      <c r="CK13" s="46"/>
      <c r="CL13" s="46"/>
      <c r="CM13" s="46"/>
    </row>
    <row r="14" spans="2:91" ht="15" outlineLevel="1" thickTop="1" x14ac:dyDescent="0.25">
      <c r="E14" s="39"/>
      <c r="U14" s="31" t="s">
        <v>22</v>
      </c>
      <c r="V14" s="31" t="s">
        <v>22</v>
      </c>
      <c r="W14" s="31"/>
      <c r="Z14" s="32"/>
      <c r="AW14" s="32"/>
      <c r="AX14" s="32"/>
      <c r="AY14" s="32"/>
      <c r="BW14" s="51">
        <f>SUM(BW20:BW432)</f>
        <v>422</v>
      </c>
      <c r="BX14" s="51">
        <v>0</v>
      </c>
      <c r="BY14" s="51">
        <v>0</v>
      </c>
      <c r="BZ14" s="51">
        <v>0</v>
      </c>
      <c r="CA14" s="51">
        <f>SUM(CA20:CA432)</f>
        <v>422</v>
      </c>
      <c r="CB14" s="51">
        <v>0</v>
      </c>
      <c r="CC14" s="51">
        <v>0</v>
      </c>
      <c r="CD14" s="46"/>
      <c r="CE14" s="46"/>
      <c r="CF14" s="46"/>
      <c r="CG14" s="46"/>
      <c r="CH14" s="46"/>
      <c r="CI14" s="46"/>
      <c r="CJ14" s="46"/>
      <c r="CK14" s="46"/>
      <c r="CL14" s="46"/>
      <c r="CM14" s="46"/>
    </row>
    <row r="15" spans="2:91" outlineLevel="1" x14ac:dyDescent="0.25">
      <c r="AO15" s="52"/>
    </row>
    <row r="17" spans="3:91" x14ac:dyDescent="0.25">
      <c r="C17" s="2"/>
      <c r="D17" s="3"/>
      <c r="E17" s="4"/>
      <c r="F17" s="2"/>
      <c r="G17" s="3"/>
      <c r="H17" s="3"/>
      <c r="I17" s="3"/>
      <c r="J17" s="2"/>
      <c r="K17" s="3"/>
      <c r="L17" s="3"/>
      <c r="M17" s="3"/>
      <c r="N17" s="2"/>
      <c r="O17" s="3"/>
      <c r="P17" s="3"/>
      <c r="Q17" s="3"/>
      <c r="R17" s="3"/>
      <c r="S17" s="3"/>
      <c r="T17" s="5"/>
      <c r="U17" s="6" t="s">
        <v>0</v>
      </c>
      <c r="V17" s="7"/>
      <c r="W17" s="7"/>
      <c r="X17" s="7"/>
      <c r="Y17" s="8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6" t="s">
        <v>77</v>
      </c>
      <c r="AO17" s="8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8"/>
      <c r="BA17" s="8"/>
      <c r="BB17" s="8"/>
      <c r="BC17" s="8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8"/>
      <c r="BT17" s="8"/>
      <c r="BU17" s="9"/>
      <c r="BV17" s="59"/>
      <c r="BW17" s="6" t="s">
        <v>87</v>
      </c>
      <c r="BX17" s="8"/>
      <c r="BY17" s="8"/>
      <c r="BZ17" s="8"/>
      <c r="CA17" s="8"/>
      <c r="CB17" s="8"/>
      <c r="CC17" s="10"/>
      <c r="CD17" s="2"/>
      <c r="CE17" s="3"/>
      <c r="CF17" s="3"/>
      <c r="CG17" s="3"/>
      <c r="CH17" s="3"/>
      <c r="CI17" s="3"/>
      <c r="CJ17" s="3"/>
      <c r="CK17" s="3"/>
      <c r="CL17" s="5"/>
      <c r="CM17" s="33"/>
    </row>
    <row r="18" spans="3:91" x14ac:dyDescent="0.25">
      <c r="C18" s="11"/>
      <c r="D18" s="12"/>
      <c r="E18" s="13"/>
      <c r="F18" s="11"/>
      <c r="G18" s="12"/>
      <c r="H18" s="12"/>
      <c r="I18" s="12"/>
      <c r="J18" s="11"/>
      <c r="K18" s="12"/>
      <c r="L18" s="12"/>
      <c r="M18" s="12"/>
      <c r="N18" s="11"/>
      <c r="O18" s="12"/>
      <c r="P18" s="12"/>
      <c r="Q18" s="12"/>
      <c r="R18" s="12"/>
      <c r="S18" s="12"/>
      <c r="T18" s="14"/>
      <c r="U18" s="15" t="s">
        <v>1</v>
      </c>
      <c r="V18" s="15" t="s">
        <v>2</v>
      </c>
      <c r="W18" s="15" t="s">
        <v>3</v>
      </c>
      <c r="X18" s="16" t="s">
        <v>4</v>
      </c>
      <c r="Y18" s="17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5"/>
      <c r="AO18" s="17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7"/>
      <c r="BA18" s="17"/>
      <c r="BB18" s="17"/>
      <c r="BC18" s="17"/>
      <c r="BD18" s="12"/>
      <c r="BE18" s="18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56" t="s">
        <v>80</v>
      </c>
      <c r="BT18" s="56" t="s">
        <v>82</v>
      </c>
      <c r="BU18" s="12"/>
      <c r="BV18" s="60"/>
      <c r="BW18" s="16" t="s">
        <v>5</v>
      </c>
      <c r="BX18" s="15"/>
      <c r="BY18" s="15" t="s">
        <v>6</v>
      </c>
      <c r="BZ18" s="16" t="s">
        <v>6</v>
      </c>
      <c r="CA18" s="16"/>
      <c r="CB18" s="19" t="s">
        <v>7</v>
      </c>
      <c r="CC18" s="16" t="s">
        <v>8</v>
      </c>
      <c r="CD18" s="11"/>
      <c r="CE18" s="12"/>
      <c r="CF18" s="12"/>
      <c r="CG18" s="12"/>
      <c r="CH18" s="12"/>
      <c r="CI18" s="12"/>
      <c r="CJ18" s="12"/>
      <c r="CK18" s="12"/>
      <c r="CL18" s="14"/>
      <c r="CM18" s="33"/>
    </row>
    <row r="19" spans="3:91" ht="15" thickBot="1" x14ac:dyDescent="0.3">
      <c r="C19" s="20" t="s">
        <v>9</v>
      </c>
      <c r="D19" s="21"/>
      <c r="E19" s="22"/>
      <c r="F19" s="20" t="s">
        <v>11</v>
      </c>
      <c r="G19" s="21"/>
      <c r="H19" s="21"/>
      <c r="I19" s="21"/>
      <c r="J19" s="29" t="s">
        <v>10</v>
      </c>
      <c r="K19" s="21"/>
      <c r="L19" s="21"/>
      <c r="M19" s="21"/>
      <c r="N19" s="20" t="s">
        <v>32</v>
      </c>
      <c r="O19" s="21"/>
      <c r="P19" s="21"/>
      <c r="Q19" s="21"/>
      <c r="R19" s="21"/>
      <c r="S19" s="21"/>
      <c r="T19" s="23"/>
      <c r="U19" s="24" t="s">
        <v>11</v>
      </c>
      <c r="V19" s="24" t="s">
        <v>10</v>
      </c>
      <c r="W19" s="24" t="s">
        <v>12</v>
      </c>
      <c r="X19" s="25" t="s">
        <v>13</v>
      </c>
      <c r="Y19" s="26" t="s">
        <v>33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38" t="s">
        <v>76</v>
      </c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58"/>
      <c r="BA19" s="58"/>
      <c r="BB19" s="58"/>
      <c r="BC19" s="58"/>
      <c r="BD19" s="26"/>
      <c r="BE19" s="27" t="s">
        <v>60</v>
      </c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57" t="s">
        <v>81</v>
      </c>
      <c r="BT19" s="57" t="s">
        <v>83</v>
      </c>
      <c r="BU19" s="26"/>
      <c r="BV19" s="25" t="s">
        <v>2</v>
      </c>
      <c r="BW19" s="25" t="s">
        <v>14</v>
      </c>
      <c r="BX19" s="28" t="s">
        <v>15</v>
      </c>
      <c r="BY19" s="28" t="s">
        <v>16</v>
      </c>
      <c r="BZ19" s="28" t="s">
        <v>17</v>
      </c>
      <c r="CA19" s="28" t="s">
        <v>18</v>
      </c>
      <c r="CB19" s="28" t="s">
        <v>16</v>
      </c>
      <c r="CC19" s="25" t="s">
        <v>19</v>
      </c>
      <c r="CD19" s="20" t="s">
        <v>20</v>
      </c>
      <c r="CE19" s="21"/>
      <c r="CF19" s="21"/>
      <c r="CG19" s="21"/>
      <c r="CH19" s="21"/>
      <c r="CI19" s="21"/>
      <c r="CJ19" s="21"/>
      <c r="CK19" s="21"/>
      <c r="CL19" s="23"/>
      <c r="CM19" s="33"/>
    </row>
    <row r="20" spans="3:91" s="61" customFormat="1" ht="15" thickTop="1" x14ac:dyDescent="0.25">
      <c r="C20" s="62" t="s">
        <v>42</v>
      </c>
      <c r="D20" s="63">
        <v>100</v>
      </c>
      <c r="E20" s="64">
        <v>1</v>
      </c>
      <c r="F20" s="65" t="s">
        <v>31</v>
      </c>
      <c r="I20" s="66"/>
      <c r="J20" s="67" t="s">
        <v>27</v>
      </c>
      <c r="K20" s="68"/>
      <c r="L20" s="68"/>
      <c r="M20" s="69"/>
      <c r="N20" s="67" t="s">
        <v>24</v>
      </c>
      <c r="O20" s="68"/>
      <c r="P20" s="68"/>
      <c r="Q20" s="68"/>
      <c r="R20" s="68"/>
      <c r="S20" s="68"/>
      <c r="T20" s="70"/>
      <c r="U20" s="34" t="s">
        <v>47</v>
      </c>
      <c r="V20" s="73" t="s">
        <v>451</v>
      </c>
      <c r="W20" s="73"/>
      <c r="X20" s="62">
        <f>BW20</f>
        <v>4</v>
      </c>
      <c r="Y20" s="71" t="s">
        <v>50</v>
      </c>
      <c r="Z20" s="85" t="s">
        <v>423</v>
      </c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74"/>
      <c r="AL20" s="74"/>
      <c r="AM20" s="75"/>
      <c r="AN20" s="122" t="s">
        <v>100</v>
      </c>
      <c r="AO20" s="227"/>
      <c r="AP20" s="121" t="s">
        <v>427</v>
      </c>
      <c r="AQ20" s="121" t="s">
        <v>428</v>
      </c>
      <c r="AR20" s="121"/>
      <c r="AS20" s="121"/>
      <c r="AT20" s="121"/>
      <c r="AU20" s="121"/>
      <c r="AV20" s="121"/>
      <c r="AW20" s="121"/>
      <c r="AX20" s="122"/>
      <c r="AY20" s="122"/>
      <c r="AZ20" s="227"/>
      <c r="BA20" s="227"/>
      <c r="BB20" s="227"/>
      <c r="BC20" s="227"/>
      <c r="BD20" s="122"/>
      <c r="BE20" s="78" t="s">
        <v>50</v>
      </c>
      <c r="BF20" s="68" t="s">
        <v>121</v>
      </c>
      <c r="BG20" s="68"/>
      <c r="BH20" s="68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9">
        <v>2</v>
      </c>
      <c r="BT20" s="79">
        <v>2</v>
      </c>
      <c r="BU20" s="75"/>
      <c r="BV20" s="63" t="str">
        <f t="shared" ref="BV20" si="0">IF(BW20&lt;&gt;"",IF(BW20=CB20+BZ20,"完了","未完"),"")</f>
        <v>未完</v>
      </c>
      <c r="BW20" s="63">
        <f>SUM(BS20:BT32)</f>
        <v>4</v>
      </c>
      <c r="BX20" s="80">
        <v>0</v>
      </c>
      <c r="BY20" s="80">
        <v>0</v>
      </c>
      <c r="BZ20" s="80">
        <v>0</v>
      </c>
      <c r="CA20" s="80">
        <f>BW20-(BX20+BY20+BZ20)</f>
        <v>4</v>
      </c>
      <c r="CB20" s="80">
        <v>0</v>
      </c>
      <c r="CC20" s="80">
        <v>0</v>
      </c>
      <c r="CD20" s="67"/>
      <c r="CE20" s="68"/>
      <c r="CF20" s="68"/>
      <c r="CG20" s="68"/>
      <c r="CH20" s="68"/>
      <c r="CI20" s="68"/>
      <c r="CJ20" s="68"/>
      <c r="CK20" s="68"/>
      <c r="CL20" s="69"/>
    </row>
    <row r="21" spans="3:91" s="61" customFormat="1" x14ac:dyDescent="0.25">
      <c r="C21" s="65"/>
      <c r="D21" s="81"/>
      <c r="E21" s="82"/>
      <c r="F21" s="65"/>
      <c r="I21" s="66"/>
      <c r="J21" s="65"/>
      <c r="M21" s="66"/>
      <c r="N21" s="65"/>
      <c r="T21" s="83"/>
      <c r="U21" s="62"/>
      <c r="V21" s="84"/>
      <c r="W21" s="84"/>
      <c r="X21" s="81"/>
      <c r="Y21" s="65"/>
      <c r="Z21" s="61" t="s">
        <v>421</v>
      </c>
      <c r="AA21" s="85"/>
      <c r="AB21" s="85"/>
      <c r="AC21" s="85"/>
      <c r="AD21" s="85"/>
      <c r="AE21" s="91"/>
      <c r="AF21" s="85"/>
      <c r="AG21" s="85"/>
      <c r="AH21" s="85"/>
      <c r="AI21" s="85"/>
      <c r="AJ21" s="85"/>
      <c r="AK21" s="85"/>
      <c r="AL21" s="85"/>
      <c r="AM21" s="86"/>
      <c r="AN21" s="94"/>
      <c r="AO21" s="94"/>
      <c r="AP21" s="95" t="s">
        <v>52</v>
      </c>
      <c r="AQ21" s="95"/>
      <c r="AR21" s="125"/>
      <c r="AS21" s="125"/>
      <c r="AT21" s="125"/>
      <c r="AU21" s="125"/>
      <c r="AV21" s="125"/>
      <c r="AW21" s="125"/>
      <c r="AX21" s="125"/>
      <c r="AY21" s="125"/>
      <c r="AZ21" s="94"/>
      <c r="BA21" s="94"/>
      <c r="BB21" s="94"/>
      <c r="BC21" s="94"/>
      <c r="BD21" s="125"/>
      <c r="BE21" s="113" t="s">
        <v>50</v>
      </c>
      <c r="BF21" s="61" t="s">
        <v>61</v>
      </c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8"/>
      <c r="BT21" s="88"/>
      <c r="BU21" s="86"/>
      <c r="BV21" s="81"/>
      <c r="BW21" s="81"/>
      <c r="BX21" s="89"/>
      <c r="BY21" s="89"/>
      <c r="BZ21" s="89"/>
      <c r="CA21" s="89"/>
      <c r="CB21" s="89"/>
      <c r="CC21" s="81"/>
      <c r="CD21" s="65"/>
      <c r="CL21" s="66"/>
    </row>
    <row r="22" spans="3:91" s="61" customFormat="1" x14ac:dyDescent="0.25">
      <c r="C22" s="65"/>
      <c r="D22" s="90"/>
      <c r="E22" s="82"/>
      <c r="F22" s="65"/>
      <c r="I22" s="66"/>
      <c r="J22" s="65"/>
      <c r="M22" s="66"/>
      <c r="N22" s="65"/>
      <c r="T22" s="83"/>
      <c r="U22" s="62"/>
      <c r="V22" s="84"/>
      <c r="W22" s="84"/>
      <c r="X22" s="81"/>
      <c r="Y22" s="71" t="s">
        <v>50</v>
      </c>
      <c r="Z22" s="85" t="s">
        <v>424</v>
      </c>
      <c r="AA22" s="85"/>
      <c r="AB22" s="85"/>
      <c r="AC22" s="85"/>
      <c r="AD22" s="85"/>
      <c r="AE22" s="91"/>
      <c r="AF22" s="85"/>
      <c r="AG22" s="85"/>
      <c r="AH22" s="85"/>
      <c r="AI22" s="85"/>
      <c r="AJ22" s="85"/>
      <c r="AK22" s="85"/>
      <c r="AL22" s="85"/>
      <c r="AM22" s="86"/>
      <c r="AN22" s="94" t="s">
        <v>84</v>
      </c>
      <c r="AO22" s="94"/>
      <c r="AP22" s="125" t="s">
        <v>28</v>
      </c>
      <c r="AQ22" s="95" t="s">
        <v>429</v>
      </c>
      <c r="AR22" s="95"/>
      <c r="AS22" s="95"/>
      <c r="AT22" s="95"/>
      <c r="AU22" s="95"/>
      <c r="AV22" s="95"/>
      <c r="AW22" s="95"/>
      <c r="AX22" s="125"/>
      <c r="AY22" s="125"/>
      <c r="AZ22" s="94"/>
      <c r="BA22" s="94"/>
      <c r="BB22" s="94"/>
      <c r="BC22" s="94"/>
      <c r="BD22" s="125"/>
      <c r="BE22" s="113" t="s">
        <v>50</v>
      </c>
      <c r="BF22" s="61" t="s">
        <v>62</v>
      </c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8"/>
      <c r="BT22" s="88"/>
      <c r="BU22" s="86"/>
      <c r="BV22" s="81"/>
      <c r="BW22" s="81"/>
      <c r="BX22" s="89"/>
      <c r="BY22" s="89"/>
      <c r="BZ22" s="89"/>
      <c r="CA22" s="89"/>
      <c r="CB22" s="89"/>
      <c r="CC22" s="81"/>
      <c r="CD22" s="65"/>
      <c r="CL22" s="66"/>
    </row>
    <row r="23" spans="3:91" s="61" customFormat="1" x14ac:dyDescent="0.25">
      <c r="C23" s="65"/>
      <c r="D23" s="90"/>
      <c r="E23" s="82"/>
      <c r="F23" s="65"/>
      <c r="I23" s="66"/>
      <c r="J23" s="65"/>
      <c r="N23" s="65"/>
      <c r="T23" s="83"/>
      <c r="U23" s="62"/>
      <c r="V23" s="84"/>
      <c r="W23" s="84"/>
      <c r="X23" s="81"/>
      <c r="Y23" s="65"/>
      <c r="Z23" s="61" t="s">
        <v>422</v>
      </c>
      <c r="AA23" s="91"/>
      <c r="AB23" s="85"/>
      <c r="AC23" s="85"/>
      <c r="AD23" s="85"/>
      <c r="AE23" s="91"/>
      <c r="AF23" s="85"/>
      <c r="AG23" s="85"/>
      <c r="AH23" s="85"/>
      <c r="AI23" s="85"/>
      <c r="AJ23" s="85"/>
      <c r="AK23" s="85"/>
      <c r="AL23" s="85"/>
      <c r="AM23" s="86"/>
      <c r="AN23" s="94"/>
      <c r="AO23" s="94"/>
      <c r="AP23" s="125" t="s">
        <v>430</v>
      </c>
      <c r="AQ23" s="37"/>
      <c r="AR23" s="95"/>
      <c r="AS23" s="95"/>
      <c r="AT23" s="95"/>
      <c r="AU23" s="95"/>
      <c r="AV23" s="95"/>
      <c r="AW23" s="95"/>
      <c r="AX23" s="125"/>
      <c r="AY23" s="125"/>
      <c r="AZ23" s="94"/>
      <c r="BA23" s="94"/>
      <c r="BB23" s="94"/>
      <c r="BC23" s="94"/>
      <c r="BD23" s="125"/>
      <c r="BE23" s="87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8"/>
      <c r="BT23" s="88"/>
      <c r="BU23" s="86"/>
      <c r="BV23" s="81"/>
      <c r="BW23" s="81"/>
      <c r="BX23" s="89"/>
      <c r="BY23" s="89"/>
      <c r="BZ23" s="89"/>
      <c r="CA23" s="89"/>
      <c r="CB23" s="89"/>
      <c r="CC23" s="81"/>
      <c r="CD23" s="65"/>
      <c r="CL23" s="66"/>
    </row>
    <row r="24" spans="3:91" s="61" customFormat="1" x14ac:dyDescent="0.25">
      <c r="C24" s="65"/>
      <c r="D24" s="90"/>
      <c r="E24" s="82"/>
      <c r="F24" s="65"/>
      <c r="I24" s="66"/>
      <c r="J24" s="65"/>
      <c r="N24" s="65"/>
      <c r="T24" s="83"/>
      <c r="U24" s="62"/>
      <c r="V24" s="84"/>
      <c r="W24" s="84"/>
      <c r="X24" s="81"/>
      <c r="AK24" s="85"/>
      <c r="AL24" s="85"/>
      <c r="AM24" s="86"/>
      <c r="AN24" s="94" t="s">
        <v>101</v>
      </c>
      <c r="AO24" s="94"/>
      <c r="AP24" s="125" t="s">
        <v>427</v>
      </c>
      <c r="AQ24" s="95" t="s">
        <v>431</v>
      </c>
      <c r="AR24" s="95"/>
      <c r="AS24" s="95"/>
      <c r="AT24" s="95"/>
      <c r="AU24" s="95"/>
      <c r="AV24" s="95"/>
      <c r="AW24" s="95"/>
      <c r="AX24" s="125"/>
      <c r="AY24" s="125"/>
      <c r="AZ24" s="94"/>
      <c r="BA24" s="94"/>
      <c r="BB24" s="94"/>
      <c r="BC24" s="94"/>
      <c r="BD24" s="125"/>
      <c r="BE24" s="87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8"/>
      <c r="BT24" s="88"/>
      <c r="BU24" s="86"/>
      <c r="BV24" s="81"/>
      <c r="BW24" s="81"/>
      <c r="BX24" s="89"/>
      <c r="BY24" s="89"/>
      <c r="BZ24" s="89"/>
      <c r="CA24" s="89"/>
      <c r="CB24" s="89"/>
      <c r="CC24" s="81"/>
      <c r="CD24" s="65"/>
      <c r="CL24" s="66"/>
    </row>
    <row r="25" spans="3:91" s="61" customFormat="1" x14ac:dyDescent="0.25">
      <c r="C25" s="65"/>
      <c r="D25" s="90"/>
      <c r="E25" s="82"/>
      <c r="F25" s="65"/>
      <c r="I25" s="66"/>
      <c r="J25" s="65"/>
      <c r="N25" s="65"/>
      <c r="T25" s="83"/>
      <c r="U25" s="62"/>
      <c r="V25" s="84"/>
      <c r="W25" s="84"/>
      <c r="X25" s="81"/>
      <c r="AK25" s="85"/>
      <c r="AL25" s="85"/>
      <c r="AM25" s="86"/>
      <c r="AN25" s="94"/>
      <c r="AO25" s="94"/>
      <c r="AP25" s="95" t="s">
        <v>52</v>
      </c>
      <c r="AQ25" s="95"/>
      <c r="AR25" s="95"/>
      <c r="AS25" s="95"/>
      <c r="AT25" s="95"/>
      <c r="AU25" s="95"/>
      <c r="AV25" s="95"/>
      <c r="AW25" s="95"/>
      <c r="AX25" s="125"/>
      <c r="AY25" s="125"/>
      <c r="AZ25" s="94"/>
      <c r="BA25" s="94"/>
      <c r="BB25" s="94"/>
      <c r="BC25" s="94"/>
      <c r="BD25" s="125"/>
      <c r="BE25" s="87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8"/>
      <c r="BT25" s="88"/>
      <c r="BU25" s="86"/>
      <c r="BV25" s="81"/>
      <c r="BW25" s="81"/>
      <c r="BX25" s="89"/>
      <c r="BY25" s="89"/>
      <c r="BZ25" s="89"/>
      <c r="CA25" s="89"/>
      <c r="CB25" s="89"/>
      <c r="CC25" s="81"/>
      <c r="CD25" s="65"/>
      <c r="CL25" s="66"/>
    </row>
    <row r="26" spans="3:91" s="61" customFormat="1" x14ac:dyDescent="0.25">
      <c r="C26" s="65"/>
      <c r="D26" s="90"/>
      <c r="E26" s="82"/>
      <c r="F26" s="65"/>
      <c r="I26" s="66"/>
      <c r="J26" s="65"/>
      <c r="N26" s="65"/>
      <c r="T26" s="83"/>
      <c r="U26" s="62"/>
      <c r="V26" s="84"/>
      <c r="W26" s="84"/>
      <c r="X26" s="81"/>
      <c r="AK26" s="85"/>
      <c r="AL26" s="85"/>
      <c r="AM26" s="86"/>
      <c r="AN26" s="94" t="s">
        <v>71</v>
      </c>
      <c r="AO26" s="94"/>
      <c r="AP26" s="61" t="s">
        <v>135</v>
      </c>
      <c r="AQ26" s="95"/>
      <c r="AR26" s="95"/>
      <c r="AS26" s="95"/>
      <c r="AT26" s="95"/>
      <c r="AU26" s="95"/>
      <c r="AV26" s="95"/>
      <c r="AW26" s="95"/>
      <c r="AX26" s="125"/>
      <c r="AY26" s="125"/>
      <c r="AZ26" s="94"/>
      <c r="BA26" s="94"/>
      <c r="BB26" s="94"/>
      <c r="BC26" s="94"/>
      <c r="BD26" s="125"/>
      <c r="BE26" s="87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8"/>
      <c r="BT26" s="88"/>
      <c r="BU26" s="86"/>
      <c r="BV26" s="81"/>
      <c r="BW26" s="81"/>
      <c r="BX26" s="89"/>
      <c r="BY26" s="89"/>
      <c r="BZ26" s="89"/>
      <c r="CA26" s="89"/>
      <c r="CB26" s="89"/>
      <c r="CC26" s="81"/>
      <c r="CD26" s="65"/>
      <c r="CL26" s="66"/>
    </row>
    <row r="27" spans="3:91" s="61" customFormat="1" x14ac:dyDescent="0.25">
      <c r="C27" s="65"/>
      <c r="D27" s="90"/>
      <c r="E27" s="82"/>
      <c r="F27" s="65"/>
      <c r="I27" s="66"/>
      <c r="J27" s="65"/>
      <c r="N27" s="65"/>
      <c r="T27" s="83"/>
      <c r="U27" s="62"/>
      <c r="V27" s="84"/>
      <c r="W27" s="84"/>
      <c r="X27" s="81"/>
      <c r="AK27" s="85"/>
      <c r="AL27" s="85"/>
      <c r="AM27" s="86"/>
      <c r="AN27" s="94"/>
      <c r="AO27" s="94"/>
      <c r="AP27" s="95" t="s">
        <v>52</v>
      </c>
      <c r="AQ27" s="95"/>
      <c r="AR27" s="95"/>
      <c r="AS27" s="95"/>
      <c r="AT27" s="95"/>
      <c r="AU27" s="95"/>
      <c r="AV27" s="95"/>
      <c r="AW27" s="95"/>
      <c r="AX27" s="125"/>
      <c r="AY27" s="125"/>
      <c r="AZ27" s="94"/>
      <c r="BA27" s="94"/>
      <c r="BB27" s="94"/>
      <c r="BC27" s="94"/>
      <c r="BD27" s="125"/>
      <c r="BE27" s="87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8"/>
      <c r="BT27" s="88"/>
      <c r="BU27" s="86"/>
      <c r="BV27" s="81"/>
      <c r="BW27" s="81"/>
      <c r="BX27" s="89"/>
      <c r="BY27" s="89"/>
      <c r="BZ27" s="89"/>
      <c r="CA27" s="89"/>
      <c r="CB27" s="89"/>
      <c r="CC27" s="81"/>
      <c r="CD27" s="65"/>
      <c r="CL27" s="66"/>
    </row>
    <row r="28" spans="3:91" s="61" customFormat="1" x14ac:dyDescent="0.25">
      <c r="C28" s="65"/>
      <c r="D28" s="90"/>
      <c r="E28" s="82"/>
      <c r="F28" s="65"/>
      <c r="I28" s="66"/>
      <c r="J28" s="65"/>
      <c r="N28" s="65"/>
      <c r="T28" s="83"/>
      <c r="U28" s="62"/>
      <c r="V28" s="84"/>
      <c r="W28" s="84"/>
      <c r="X28" s="81"/>
      <c r="AK28" s="85"/>
      <c r="AL28" s="85"/>
      <c r="AM28" s="86"/>
      <c r="AN28" s="61" t="s">
        <v>72</v>
      </c>
      <c r="AO28" s="94"/>
      <c r="AP28" s="61" t="s">
        <v>130</v>
      </c>
      <c r="AQ28" s="95" t="s">
        <v>432</v>
      </c>
      <c r="AR28" s="95"/>
      <c r="AS28" s="95"/>
      <c r="AT28" s="95"/>
      <c r="AU28" s="95"/>
      <c r="AV28" s="95"/>
      <c r="AW28" s="95"/>
      <c r="AX28" s="125"/>
      <c r="AY28" s="125"/>
      <c r="AZ28" s="94"/>
      <c r="BA28" s="94"/>
      <c r="BB28" s="94"/>
      <c r="BC28" s="94"/>
      <c r="BD28" s="125"/>
      <c r="BE28" s="87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8"/>
      <c r="BT28" s="88"/>
      <c r="BU28" s="86"/>
      <c r="BV28" s="81"/>
      <c r="BW28" s="81"/>
      <c r="BX28" s="89"/>
      <c r="BY28" s="89"/>
      <c r="BZ28" s="89"/>
      <c r="CA28" s="89"/>
      <c r="CB28" s="89"/>
      <c r="CC28" s="81"/>
      <c r="CD28" s="65"/>
      <c r="CL28" s="66"/>
    </row>
    <row r="29" spans="3:91" s="61" customFormat="1" x14ac:dyDescent="0.25">
      <c r="C29" s="65"/>
      <c r="D29" s="90"/>
      <c r="E29" s="82"/>
      <c r="F29" s="65"/>
      <c r="I29" s="66"/>
      <c r="J29" s="65"/>
      <c r="N29" s="65"/>
      <c r="T29" s="83"/>
      <c r="U29" s="62"/>
      <c r="V29" s="84"/>
      <c r="W29" s="84"/>
      <c r="X29" s="81"/>
      <c r="AK29" s="85"/>
      <c r="AL29" s="85"/>
      <c r="AM29" s="86"/>
      <c r="AN29" s="94"/>
      <c r="AO29" s="94"/>
      <c r="AP29" s="95"/>
      <c r="AQ29" s="239" t="s">
        <v>54</v>
      </c>
      <c r="AR29" s="95" t="s">
        <v>433</v>
      </c>
      <c r="AS29" s="95"/>
      <c r="AT29" s="95"/>
      <c r="AU29" s="95"/>
      <c r="AV29" s="95"/>
      <c r="AW29" s="95"/>
      <c r="AX29" s="125"/>
      <c r="AY29" s="125"/>
      <c r="AZ29" s="94"/>
      <c r="BA29" s="94"/>
      <c r="BB29" s="94"/>
      <c r="BC29" s="94"/>
      <c r="BD29" s="125"/>
      <c r="BE29" s="87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8"/>
      <c r="BT29" s="88"/>
      <c r="BU29" s="86"/>
      <c r="BV29" s="81"/>
      <c r="BW29" s="81"/>
      <c r="BX29" s="89"/>
      <c r="BY29" s="89"/>
      <c r="BZ29" s="89"/>
      <c r="CA29" s="89"/>
      <c r="CB29" s="89"/>
      <c r="CC29" s="81"/>
      <c r="CD29" s="65"/>
      <c r="CL29" s="66"/>
    </row>
    <row r="30" spans="3:91" s="61" customFormat="1" x14ac:dyDescent="0.25">
      <c r="C30" s="65"/>
      <c r="D30" s="90"/>
      <c r="E30" s="82"/>
      <c r="F30" s="65"/>
      <c r="I30" s="66"/>
      <c r="J30" s="65"/>
      <c r="N30" s="65"/>
      <c r="T30" s="83"/>
      <c r="U30" s="62"/>
      <c r="V30" s="84"/>
      <c r="W30" s="84"/>
      <c r="X30" s="81"/>
      <c r="AK30" s="85"/>
      <c r="AL30" s="85"/>
      <c r="AM30" s="86"/>
      <c r="AN30" s="94"/>
      <c r="AO30" s="94"/>
      <c r="AP30" s="95"/>
      <c r="AQ30" s="95"/>
      <c r="AR30" s="95" t="s">
        <v>434</v>
      </c>
      <c r="AS30" s="95"/>
      <c r="AT30" s="95"/>
      <c r="AU30" s="95"/>
      <c r="AV30" s="95"/>
      <c r="AW30" s="95"/>
      <c r="AX30" s="125"/>
      <c r="AY30" s="125"/>
      <c r="AZ30" s="94"/>
      <c r="BA30" s="94"/>
      <c r="BB30" s="94"/>
      <c r="BC30" s="94"/>
      <c r="BD30" s="125"/>
      <c r="BE30" s="87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8"/>
      <c r="BT30" s="88"/>
      <c r="BU30" s="86"/>
      <c r="BV30" s="81"/>
      <c r="BW30" s="81"/>
      <c r="BX30" s="89"/>
      <c r="BY30" s="89"/>
      <c r="BZ30" s="89"/>
      <c r="CA30" s="89"/>
      <c r="CB30" s="89"/>
      <c r="CC30" s="81"/>
      <c r="CD30" s="65"/>
      <c r="CL30" s="66"/>
    </row>
    <row r="31" spans="3:91" s="61" customFormat="1" x14ac:dyDescent="0.25">
      <c r="C31" s="65"/>
      <c r="D31" s="90"/>
      <c r="E31" s="82"/>
      <c r="F31" s="65"/>
      <c r="I31" s="66"/>
      <c r="J31" s="65"/>
      <c r="N31" s="65"/>
      <c r="T31" s="83"/>
      <c r="U31" s="62"/>
      <c r="V31" s="84"/>
      <c r="W31" s="84"/>
      <c r="X31" s="81"/>
      <c r="Y31" s="6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6"/>
      <c r="AN31" s="94"/>
      <c r="AO31" s="94"/>
      <c r="AP31" s="95"/>
      <c r="AQ31" s="37"/>
      <c r="AS31" s="95"/>
      <c r="AT31" s="95"/>
      <c r="AU31" s="95"/>
      <c r="AV31" s="95"/>
      <c r="AW31" s="95"/>
      <c r="AX31" s="125"/>
      <c r="AY31" s="125"/>
      <c r="AZ31" s="94"/>
      <c r="BA31" s="94"/>
      <c r="BB31" s="94"/>
      <c r="BC31" s="94"/>
      <c r="BD31" s="125"/>
      <c r="BE31" s="87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8"/>
      <c r="BT31" s="88"/>
      <c r="BU31" s="86"/>
      <c r="BV31" s="81"/>
      <c r="BW31" s="81"/>
      <c r="BX31" s="89"/>
      <c r="BY31" s="89"/>
      <c r="BZ31" s="89"/>
      <c r="CA31" s="89"/>
      <c r="CB31" s="89"/>
      <c r="CC31" s="81"/>
      <c r="CD31" s="65"/>
      <c r="CL31" s="66"/>
    </row>
    <row r="32" spans="3:91" s="61" customFormat="1" x14ac:dyDescent="0.25">
      <c r="C32" s="65"/>
      <c r="D32" s="90"/>
      <c r="E32" s="96"/>
      <c r="F32" s="334"/>
      <c r="G32" s="335"/>
      <c r="H32" s="335"/>
      <c r="I32" s="336"/>
      <c r="J32" s="65"/>
      <c r="N32" s="65"/>
      <c r="T32" s="66"/>
      <c r="U32" s="62"/>
      <c r="V32" s="84"/>
      <c r="W32" s="84"/>
      <c r="X32" s="97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6"/>
      <c r="AN32" s="98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62"/>
      <c r="BA32" s="62"/>
      <c r="BB32" s="62"/>
      <c r="BC32" s="62"/>
      <c r="BD32" s="85"/>
      <c r="BE32" s="87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8"/>
      <c r="BT32" s="88"/>
      <c r="BU32" s="86"/>
      <c r="BV32" s="81"/>
      <c r="BW32" s="81"/>
      <c r="BX32" s="89"/>
      <c r="BY32" s="89"/>
      <c r="BZ32" s="89"/>
      <c r="CA32" s="89"/>
      <c r="CB32" s="89"/>
      <c r="CC32" s="81"/>
      <c r="CD32" s="65"/>
      <c r="CL32" s="66"/>
    </row>
    <row r="33" spans="3:90" s="61" customFormat="1" x14ac:dyDescent="0.25">
      <c r="C33" s="71"/>
      <c r="D33" s="81"/>
      <c r="E33" s="111">
        <v>2</v>
      </c>
      <c r="F33" s="334"/>
      <c r="G33" s="335"/>
      <c r="H33" s="335"/>
      <c r="I33" s="336"/>
      <c r="J33" s="65"/>
      <c r="N33" s="65"/>
      <c r="T33" s="66"/>
      <c r="U33" s="54" t="s">
        <v>47</v>
      </c>
      <c r="V33" s="73" t="s">
        <v>451</v>
      </c>
      <c r="W33" s="73"/>
      <c r="X33" s="62">
        <f>BW33</f>
        <v>2</v>
      </c>
      <c r="Y33" s="72" t="s">
        <v>50</v>
      </c>
      <c r="Z33" s="68" t="s">
        <v>425</v>
      </c>
      <c r="AA33" s="68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5"/>
      <c r="AN33" s="122" t="s">
        <v>100</v>
      </c>
      <c r="AO33" s="227"/>
      <c r="AP33" s="121" t="s">
        <v>443</v>
      </c>
      <c r="AQ33" s="121" t="s">
        <v>67</v>
      </c>
      <c r="AR33" s="121"/>
      <c r="AS33" s="121"/>
      <c r="AT33" s="121"/>
      <c r="AU33" s="121"/>
      <c r="AV33" s="121"/>
      <c r="AW33" s="121"/>
      <c r="AX33" s="121"/>
      <c r="AY33" s="121"/>
      <c r="AZ33" s="227"/>
      <c r="BA33" s="227"/>
      <c r="BB33" s="227"/>
      <c r="BC33" s="227"/>
      <c r="BD33" s="68"/>
      <c r="BE33" s="78" t="s">
        <v>50</v>
      </c>
      <c r="BF33" s="68" t="s">
        <v>121</v>
      </c>
      <c r="BG33" s="68"/>
      <c r="BH33" s="68"/>
      <c r="BI33" s="74"/>
      <c r="BJ33" s="74"/>
      <c r="BK33" s="74"/>
      <c r="BL33" s="68"/>
      <c r="BM33" s="68"/>
      <c r="BN33" s="68"/>
      <c r="BO33" s="68"/>
      <c r="BP33" s="68"/>
      <c r="BQ33" s="68"/>
      <c r="BR33" s="68"/>
      <c r="BS33" s="112">
        <v>1</v>
      </c>
      <c r="BT33" s="112">
        <v>1</v>
      </c>
      <c r="BU33" s="69"/>
      <c r="BV33" s="63" t="str">
        <f t="shared" ref="BV33" si="1">IF(BW33&lt;&gt;"",IF(BW33=CB33+BZ33,"完了","未完"),"")</f>
        <v>未完</v>
      </c>
      <c r="BW33" s="63">
        <f>SUM(BS33:BT43)</f>
        <v>2</v>
      </c>
      <c r="BX33" s="80">
        <v>0</v>
      </c>
      <c r="BY33" s="80">
        <v>0</v>
      </c>
      <c r="BZ33" s="80">
        <v>0</v>
      </c>
      <c r="CA33" s="80">
        <f>BW33-(BX33+BY33+BZ33)</f>
        <v>2</v>
      </c>
      <c r="CB33" s="80">
        <v>0</v>
      </c>
      <c r="CC33" s="80">
        <v>0</v>
      </c>
      <c r="CD33" s="67"/>
      <c r="CE33" s="68"/>
      <c r="CF33" s="68"/>
      <c r="CG33" s="68"/>
      <c r="CH33" s="68"/>
      <c r="CI33" s="68"/>
      <c r="CJ33" s="68"/>
      <c r="CK33" s="68"/>
      <c r="CL33" s="69"/>
    </row>
    <row r="34" spans="3:90" s="61" customFormat="1" x14ac:dyDescent="0.25">
      <c r="C34" s="71"/>
      <c r="D34" s="81"/>
      <c r="E34" s="82"/>
      <c r="F34" s="334"/>
      <c r="G34" s="335"/>
      <c r="H34" s="335"/>
      <c r="I34" s="336"/>
      <c r="J34" s="65"/>
      <c r="N34" s="65"/>
      <c r="T34" s="66"/>
      <c r="U34" s="62"/>
      <c r="V34" s="84"/>
      <c r="W34" s="84"/>
      <c r="X34" s="62"/>
      <c r="Y34" s="124"/>
      <c r="Z34" s="95" t="s">
        <v>56</v>
      </c>
      <c r="AA34" s="95" t="s">
        <v>58</v>
      </c>
      <c r="AB34" s="125"/>
      <c r="AC34" s="125"/>
      <c r="AD34" s="125"/>
      <c r="AE34" s="125"/>
      <c r="AF34" s="125"/>
      <c r="AG34" s="125"/>
      <c r="AH34" s="125"/>
      <c r="AI34" s="125"/>
      <c r="AJ34" s="85"/>
      <c r="AK34" s="85"/>
      <c r="AL34" s="85"/>
      <c r="AM34" s="86"/>
      <c r="AN34" s="94"/>
      <c r="AO34" s="94"/>
      <c r="AP34" s="125" t="s">
        <v>435</v>
      </c>
      <c r="AQ34" s="95"/>
      <c r="AR34" s="95"/>
      <c r="AS34" s="95"/>
      <c r="AT34" s="95"/>
      <c r="AU34" s="95"/>
      <c r="AV34" s="95"/>
      <c r="AW34" s="95"/>
      <c r="AX34" s="95"/>
      <c r="AY34" s="95"/>
      <c r="AZ34" s="94"/>
      <c r="BA34" s="94"/>
      <c r="BB34" s="94"/>
      <c r="BC34" s="94"/>
      <c r="BE34" s="113"/>
      <c r="BS34" s="114"/>
      <c r="BT34" s="114"/>
      <c r="BU34" s="66"/>
      <c r="BV34" s="81"/>
      <c r="BW34" s="90"/>
      <c r="BX34" s="90"/>
      <c r="BY34" s="90"/>
      <c r="BZ34" s="90"/>
      <c r="CA34" s="90"/>
      <c r="CB34" s="90"/>
      <c r="CC34" s="90"/>
      <c r="CD34" s="65"/>
      <c r="CE34" s="93"/>
      <c r="CL34" s="66"/>
    </row>
    <row r="35" spans="3:90" s="61" customFormat="1" x14ac:dyDescent="0.25">
      <c r="C35" s="71"/>
      <c r="D35" s="81"/>
      <c r="E35" s="82"/>
      <c r="F35" s="334"/>
      <c r="G35" s="335"/>
      <c r="H35" s="335"/>
      <c r="I35" s="336"/>
      <c r="J35" s="65"/>
      <c r="N35" s="65"/>
      <c r="T35" s="66"/>
      <c r="U35" s="62"/>
      <c r="V35" s="84"/>
      <c r="W35" s="84"/>
      <c r="X35" s="62"/>
      <c r="Y35" s="124"/>
      <c r="Z35" s="125" t="s">
        <v>56</v>
      </c>
      <c r="AA35" s="125" t="s">
        <v>59</v>
      </c>
      <c r="AB35" s="125"/>
      <c r="AC35" s="125"/>
      <c r="AD35" s="125"/>
      <c r="AE35" s="125"/>
      <c r="AF35" s="125"/>
      <c r="AG35" s="125"/>
      <c r="AH35" s="125"/>
      <c r="AI35" s="125"/>
      <c r="AJ35" s="85"/>
      <c r="AK35" s="85"/>
      <c r="AL35" s="85"/>
      <c r="AM35" s="86"/>
      <c r="AN35" s="94" t="s">
        <v>84</v>
      </c>
      <c r="AO35" s="94"/>
      <c r="AP35" s="125" t="s">
        <v>69</v>
      </c>
      <c r="AQ35" s="95" t="s">
        <v>70</v>
      </c>
      <c r="AR35" s="95"/>
      <c r="AS35" s="95"/>
      <c r="AT35" s="95"/>
      <c r="AU35" s="95"/>
      <c r="AV35" s="95"/>
      <c r="AW35" s="95"/>
      <c r="AX35" s="95"/>
      <c r="AY35" s="95"/>
      <c r="AZ35" s="94"/>
      <c r="BA35" s="94"/>
      <c r="BB35" s="94"/>
      <c r="BC35" s="94"/>
      <c r="BE35" s="113"/>
      <c r="BS35" s="114"/>
      <c r="BT35" s="114"/>
      <c r="BU35" s="66"/>
      <c r="BV35" s="81" t="str">
        <f t="shared" ref="BV35:BV37" si="2">IF(BW35&lt;&gt;"",IF(BW35=CB35+BZ35,"完了","未完"),"")</f>
        <v/>
      </c>
      <c r="BW35" s="90"/>
      <c r="BX35" s="90"/>
      <c r="BY35" s="90"/>
      <c r="BZ35" s="90"/>
      <c r="CA35" s="90"/>
      <c r="CB35" s="90"/>
      <c r="CC35" s="90"/>
      <c r="CD35" s="65"/>
      <c r="CL35" s="66"/>
    </row>
    <row r="36" spans="3:90" s="61" customFormat="1" x14ac:dyDescent="0.25">
      <c r="C36" s="71"/>
      <c r="D36" s="81"/>
      <c r="E36" s="82"/>
      <c r="F36" s="334"/>
      <c r="G36" s="335"/>
      <c r="H36" s="335"/>
      <c r="I36" s="336"/>
      <c r="J36" s="65"/>
      <c r="N36" s="65"/>
      <c r="T36" s="66"/>
      <c r="U36" s="62"/>
      <c r="V36" s="84"/>
      <c r="W36" s="84"/>
      <c r="X36" s="62"/>
      <c r="Y36" s="65"/>
      <c r="Z36" s="85"/>
      <c r="AA36" s="85"/>
      <c r="AB36" s="85"/>
      <c r="AC36" s="85"/>
      <c r="AD36" s="85"/>
      <c r="AE36" s="91"/>
      <c r="AF36" s="85"/>
      <c r="AG36" s="85"/>
      <c r="AH36" s="85"/>
      <c r="AI36" s="85"/>
      <c r="AJ36" s="85"/>
      <c r="AK36" s="85"/>
      <c r="AL36" s="85"/>
      <c r="AM36" s="86"/>
      <c r="AN36" s="94"/>
      <c r="AO36" s="94"/>
      <c r="AP36" s="125"/>
      <c r="AQ36" s="95"/>
      <c r="AR36" s="95"/>
      <c r="AS36" s="95"/>
      <c r="AT36" s="95"/>
      <c r="AU36" s="95"/>
      <c r="AV36" s="95"/>
      <c r="AW36" s="95"/>
      <c r="AX36" s="95"/>
      <c r="AY36" s="95"/>
      <c r="AZ36" s="94"/>
      <c r="BA36" s="94"/>
      <c r="BB36" s="94"/>
      <c r="BC36" s="94"/>
      <c r="BE36" s="113"/>
      <c r="BS36" s="114"/>
      <c r="BT36" s="114"/>
      <c r="BU36" s="66"/>
      <c r="BV36" s="81" t="str">
        <f t="shared" si="2"/>
        <v/>
      </c>
      <c r="BW36" s="90"/>
      <c r="BX36" s="90"/>
      <c r="BY36" s="90"/>
      <c r="BZ36" s="90"/>
      <c r="CA36" s="90"/>
      <c r="CB36" s="90"/>
      <c r="CC36" s="90"/>
      <c r="CD36" s="65"/>
      <c r="CL36" s="66"/>
    </row>
    <row r="37" spans="3:90" s="61" customFormat="1" x14ac:dyDescent="0.25">
      <c r="C37" s="71"/>
      <c r="D37" s="81"/>
      <c r="E37" s="82"/>
      <c r="F37" s="334"/>
      <c r="G37" s="335"/>
      <c r="H37" s="335"/>
      <c r="I37" s="336"/>
      <c r="J37" s="65"/>
      <c r="N37" s="65"/>
      <c r="T37" s="66"/>
      <c r="U37" s="62"/>
      <c r="V37" s="84"/>
      <c r="W37" s="84"/>
      <c r="X37" s="62"/>
      <c r="Y37" s="65"/>
      <c r="Z37" s="91"/>
      <c r="AA37" s="91"/>
      <c r="AB37" s="85"/>
      <c r="AC37" s="85"/>
      <c r="AD37" s="85"/>
      <c r="AE37" s="91"/>
      <c r="AF37" s="85"/>
      <c r="AG37" s="85"/>
      <c r="AH37" s="85"/>
      <c r="AI37" s="85"/>
      <c r="AJ37" s="85"/>
      <c r="AK37" s="85"/>
      <c r="AL37" s="85"/>
      <c r="AM37" s="86"/>
      <c r="AN37" s="94" t="s">
        <v>101</v>
      </c>
      <c r="AO37" s="94"/>
      <c r="AP37" s="125" t="s">
        <v>427</v>
      </c>
      <c r="AQ37" s="95" t="s">
        <v>68</v>
      </c>
      <c r="AR37" s="95"/>
      <c r="AS37" s="95"/>
      <c r="AT37" s="95"/>
      <c r="AU37" s="95"/>
      <c r="AV37" s="95"/>
      <c r="AW37" s="95"/>
      <c r="AX37" s="95"/>
      <c r="AY37" s="95"/>
      <c r="AZ37" s="94"/>
      <c r="BA37" s="94"/>
      <c r="BB37" s="94"/>
      <c r="BC37" s="94"/>
      <c r="BE37" s="113"/>
      <c r="BS37" s="114"/>
      <c r="BT37" s="114"/>
      <c r="BU37" s="66"/>
      <c r="BV37" s="81" t="str">
        <f t="shared" si="2"/>
        <v/>
      </c>
      <c r="BW37" s="90"/>
      <c r="BX37" s="90"/>
      <c r="BY37" s="90"/>
      <c r="BZ37" s="90"/>
      <c r="CA37" s="90"/>
      <c r="CB37" s="90"/>
      <c r="CC37" s="90"/>
      <c r="CD37" s="65"/>
      <c r="CL37" s="66"/>
    </row>
    <row r="38" spans="3:90" s="61" customFormat="1" x14ac:dyDescent="0.25">
      <c r="C38" s="71"/>
      <c r="D38" s="81"/>
      <c r="E38" s="82"/>
      <c r="F38" s="334"/>
      <c r="G38" s="335"/>
      <c r="H38" s="335"/>
      <c r="I38" s="336"/>
      <c r="J38" s="65"/>
      <c r="N38" s="65"/>
      <c r="T38" s="66"/>
      <c r="U38" s="62"/>
      <c r="V38" s="84"/>
      <c r="W38" s="84"/>
      <c r="X38" s="62"/>
      <c r="Y38" s="65"/>
      <c r="Z38" s="91"/>
      <c r="AA38" s="91"/>
      <c r="AB38" s="85"/>
      <c r="AC38" s="85"/>
      <c r="AD38" s="85"/>
      <c r="AE38" s="91"/>
      <c r="AF38" s="85"/>
      <c r="AG38" s="85"/>
      <c r="AH38" s="85"/>
      <c r="AI38" s="85"/>
      <c r="AJ38" s="85"/>
      <c r="AK38" s="85"/>
      <c r="AL38" s="85"/>
      <c r="AM38" s="86"/>
      <c r="AN38" s="94"/>
      <c r="AO38" s="94"/>
      <c r="AP38" s="125" t="s">
        <v>51</v>
      </c>
      <c r="AQ38" s="95"/>
      <c r="AR38" s="95"/>
      <c r="AS38" s="95"/>
      <c r="AT38" s="95"/>
      <c r="AU38" s="95"/>
      <c r="AV38" s="95"/>
      <c r="AW38" s="95"/>
      <c r="AX38" s="95"/>
      <c r="AY38" s="95"/>
      <c r="AZ38" s="94"/>
      <c r="BA38" s="94"/>
      <c r="BB38" s="94"/>
      <c r="BC38" s="94"/>
      <c r="BE38" s="113"/>
      <c r="BS38" s="114"/>
      <c r="BT38" s="114"/>
      <c r="BU38" s="66"/>
      <c r="BV38" s="81"/>
      <c r="BW38" s="90"/>
      <c r="BX38" s="90"/>
      <c r="BY38" s="90"/>
      <c r="BZ38" s="90"/>
      <c r="CA38" s="90"/>
      <c r="CB38" s="90"/>
      <c r="CC38" s="90"/>
      <c r="CD38" s="65"/>
      <c r="CL38" s="66"/>
    </row>
    <row r="39" spans="3:90" s="61" customFormat="1" x14ac:dyDescent="0.25">
      <c r="C39" s="71"/>
      <c r="D39" s="81"/>
      <c r="E39" s="82"/>
      <c r="F39" s="334"/>
      <c r="G39" s="335"/>
      <c r="H39" s="335"/>
      <c r="I39" s="336"/>
      <c r="J39" s="65"/>
      <c r="N39" s="65"/>
      <c r="T39" s="66"/>
      <c r="U39" s="62"/>
      <c r="V39" s="84"/>
      <c r="W39" s="84"/>
      <c r="X39" s="62"/>
      <c r="Y39" s="65"/>
      <c r="Z39" s="91"/>
      <c r="AA39" s="91"/>
      <c r="AB39" s="85"/>
      <c r="AC39" s="85"/>
      <c r="AD39" s="85"/>
      <c r="AE39" s="91"/>
      <c r="AF39" s="85"/>
      <c r="AG39" s="85"/>
      <c r="AH39" s="85"/>
      <c r="AI39" s="85"/>
      <c r="AJ39" s="85"/>
      <c r="AK39" s="85"/>
      <c r="AL39" s="85"/>
      <c r="AM39" s="86"/>
      <c r="AN39" s="94" t="s">
        <v>108</v>
      </c>
      <c r="AO39" s="94"/>
      <c r="AP39" s="85" t="s">
        <v>129</v>
      </c>
      <c r="AQ39" s="95" t="s">
        <v>498</v>
      </c>
      <c r="AR39" s="95"/>
      <c r="AS39" s="95"/>
      <c r="AT39" s="95"/>
      <c r="AU39" s="95"/>
      <c r="AV39" s="95"/>
      <c r="AW39" s="95"/>
      <c r="AX39" s="95"/>
      <c r="AY39" s="95"/>
      <c r="AZ39" s="94"/>
      <c r="BA39" s="94"/>
      <c r="BB39" s="94"/>
      <c r="BC39" s="94"/>
      <c r="BE39" s="113"/>
      <c r="BS39" s="114"/>
      <c r="BT39" s="114"/>
      <c r="BU39" s="66"/>
      <c r="BV39" s="81"/>
      <c r="BW39" s="90"/>
      <c r="BX39" s="90"/>
      <c r="BY39" s="90"/>
      <c r="BZ39" s="90"/>
      <c r="CA39" s="90"/>
      <c r="CB39" s="90"/>
      <c r="CC39" s="90"/>
      <c r="CD39" s="65"/>
      <c r="CL39" s="66"/>
    </row>
    <row r="40" spans="3:90" s="61" customFormat="1" x14ac:dyDescent="0.25">
      <c r="C40" s="71"/>
      <c r="D40" s="81"/>
      <c r="E40" s="82"/>
      <c r="F40" s="334"/>
      <c r="G40" s="335"/>
      <c r="H40" s="335"/>
      <c r="I40" s="336"/>
      <c r="J40" s="65"/>
      <c r="N40" s="65"/>
      <c r="T40" s="66"/>
      <c r="U40" s="62"/>
      <c r="V40" s="84"/>
      <c r="W40" s="84"/>
      <c r="X40" s="62"/>
      <c r="Y40" s="65"/>
      <c r="Z40" s="91"/>
      <c r="AA40" s="91"/>
      <c r="AB40" s="85"/>
      <c r="AC40" s="85"/>
      <c r="AD40" s="85"/>
      <c r="AE40" s="91"/>
      <c r="AF40" s="85"/>
      <c r="AG40" s="85"/>
      <c r="AH40" s="85"/>
      <c r="AI40" s="85"/>
      <c r="AJ40" s="85"/>
      <c r="AK40" s="85"/>
      <c r="AL40" s="85"/>
      <c r="AM40" s="86"/>
      <c r="AN40" s="94"/>
      <c r="AO40" s="94"/>
      <c r="AP40" s="125" t="s">
        <v>435</v>
      </c>
      <c r="AQ40" s="95"/>
      <c r="AR40" s="95"/>
      <c r="AS40" s="95"/>
      <c r="AT40" s="95"/>
      <c r="AU40" s="95"/>
      <c r="AV40" s="95"/>
      <c r="AW40" s="95"/>
      <c r="AX40" s="95"/>
      <c r="AY40" s="95"/>
      <c r="AZ40" s="94"/>
      <c r="BA40" s="94"/>
      <c r="BB40" s="94"/>
      <c r="BC40" s="94"/>
      <c r="BE40" s="113"/>
      <c r="BS40" s="114"/>
      <c r="BT40" s="114"/>
      <c r="BU40" s="66"/>
      <c r="BV40" s="81"/>
      <c r="BW40" s="90"/>
      <c r="BX40" s="90"/>
      <c r="BY40" s="90"/>
      <c r="BZ40" s="90"/>
      <c r="CA40" s="90"/>
      <c r="CB40" s="90"/>
      <c r="CC40" s="90"/>
      <c r="CD40" s="65"/>
      <c r="CL40" s="66"/>
    </row>
    <row r="41" spans="3:90" s="61" customFormat="1" x14ac:dyDescent="0.25">
      <c r="C41" s="71"/>
      <c r="D41" s="81"/>
      <c r="E41" s="82"/>
      <c r="F41" s="334"/>
      <c r="G41" s="335"/>
      <c r="H41" s="335"/>
      <c r="I41" s="336"/>
      <c r="J41" s="65"/>
      <c r="N41" s="65"/>
      <c r="T41" s="66"/>
      <c r="U41" s="62"/>
      <c r="V41" s="84"/>
      <c r="W41" s="84"/>
      <c r="X41" s="62"/>
      <c r="Y41" s="65"/>
      <c r="Z41" s="91"/>
      <c r="AA41" s="91"/>
      <c r="AB41" s="85"/>
      <c r="AC41" s="85"/>
      <c r="AD41" s="85"/>
      <c r="AE41" s="91"/>
      <c r="AF41" s="85"/>
      <c r="AG41" s="85"/>
      <c r="AH41" s="85"/>
      <c r="AI41" s="85"/>
      <c r="AJ41" s="85"/>
      <c r="AK41" s="85"/>
      <c r="AL41" s="85"/>
      <c r="AM41" s="86"/>
      <c r="AN41" s="94" t="s">
        <v>72</v>
      </c>
      <c r="AO41" s="94"/>
      <c r="AP41" s="125" t="s">
        <v>69</v>
      </c>
      <c r="AQ41" s="95" t="s">
        <v>499</v>
      </c>
      <c r="AR41" s="95"/>
      <c r="AS41" s="95"/>
      <c r="AT41" s="95"/>
      <c r="AU41" s="95"/>
      <c r="AV41" s="95"/>
      <c r="AW41" s="95"/>
      <c r="AX41" s="95"/>
      <c r="AY41" s="95"/>
      <c r="AZ41" s="94"/>
      <c r="BA41" s="94"/>
      <c r="BB41" s="94"/>
      <c r="BC41" s="94"/>
      <c r="BE41" s="113"/>
      <c r="BS41" s="114"/>
      <c r="BT41" s="114"/>
      <c r="BU41" s="66"/>
      <c r="BV41" s="81"/>
      <c r="BW41" s="90"/>
      <c r="BX41" s="90"/>
      <c r="BY41" s="90"/>
      <c r="BZ41" s="90"/>
      <c r="CA41" s="90"/>
      <c r="CB41" s="90"/>
      <c r="CC41" s="90"/>
      <c r="CD41" s="65"/>
      <c r="CL41" s="66"/>
    </row>
    <row r="42" spans="3:90" s="61" customFormat="1" x14ac:dyDescent="0.25">
      <c r="C42" s="71"/>
      <c r="D42" s="81"/>
      <c r="E42" s="82"/>
      <c r="F42" s="334"/>
      <c r="G42" s="335"/>
      <c r="H42" s="335"/>
      <c r="I42" s="336"/>
      <c r="J42" s="65"/>
      <c r="N42" s="65"/>
      <c r="T42" s="66"/>
      <c r="U42" s="62"/>
      <c r="V42" s="84"/>
      <c r="W42" s="84"/>
      <c r="X42" s="62"/>
      <c r="Y42" s="65"/>
      <c r="AM42" s="66"/>
      <c r="AN42" s="71"/>
      <c r="AO42" s="62"/>
      <c r="AP42" s="85"/>
      <c r="AZ42" s="62"/>
      <c r="BA42" s="62"/>
      <c r="BB42" s="62"/>
      <c r="BC42" s="62"/>
      <c r="BE42" s="113"/>
      <c r="BS42" s="114"/>
      <c r="BT42" s="114"/>
      <c r="BU42" s="66"/>
      <c r="BV42" s="81" t="str">
        <f t="shared" ref="BV42:BV44" si="3">IF(BW42&lt;&gt;"",IF(BW42=CB42+BZ42,"完了","未完"),"")</f>
        <v/>
      </c>
      <c r="BW42" s="90"/>
      <c r="BX42" s="90"/>
      <c r="BY42" s="90"/>
      <c r="BZ42" s="90"/>
      <c r="CA42" s="90"/>
      <c r="CB42" s="90"/>
      <c r="CC42" s="90"/>
      <c r="CD42" s="65"/>
      <c r="CL42" s="66"/>
    </row>
    <row r="43" spans="3:90" s="61" customFormat="1" x14ac:dyDescent="0.25">
      <c r="C43" s="81"/>
      <c r="D43" s="81"/>
      <c r="E43" s="115"/>
      <c r="F43" s="334"/>
      <c r="G43" s="335"/>
      <c r="H43" s="335"/>
      <c r="I43" s="336"/>
      <c r="J43" s="65"/>
      <c r="N43" s="65"/>
      <c r="T43" s="66"/>
      <c r="U43" s="105"/>
      <c r="V43" s="116"/>
      <c r="W43" s="116"/>
      <c r="X43" s="105"/>
      <c r="Y43" s="101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2"/>
      <c r="AN43" s="117"/>
      <c r="AO43" s="105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5"/>
      <c r="BA43" s="105"/>
      <c r="BB43" s="105"/>
      <c r="BC43" s="105"/>
      <c r="BD43" s="100"/>
      <c r="BE43" s="118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32"/>
      <c r="BT43" s="132"/>
      <c r="BU43" s="102"/>
      <c r="BV43" s="97" t="str">
        <f t="shared" si="3"/>
        <v/>
      </c>
      <c r="BW43" s="119"/>
      <c r="BX43" s="119"/>
      <c r="BY43" s="119"/>
      <c r="BZ43" s="119"/>
      <c r="CA43" s="119"/>
      <c r="CB43" s="119"/>
      <c r="CC43" s="119"/>
      <c r="CD43" s="101"/>
      <c r="CE43" s="100"/>
      <c r="CF43" s="100"/>
      <c r="CG43" s="100"/>
      <c r="CH43" s="100"/>
      <c r="CI43" s="100"/>
      <c r="CJ43" s="100"/>
      <c r="CK43" s="100"/>
      <c r="CL43" s="102"/>
    </row>
    <row r="44" spans="3:90" s="61" customFormat="1" x14ac:dyDescent="0.25">
      <c r="C44" s="71"/>
      <c r="D44" s="81"/>
      <c r="E44" s="111">
        <v>3</v>
      </c>
      <c r="F44" s="334"/>
      <c r="G44" s="335"/>
      <c r="H44" s="335"/>
      <c r="I44" s="336"/>
      <c r="J44" s="65"/>
      <c r="N44" s="65"/>
      <c r="T44" s="66"/>
      <c r="U44" s="34" t="s">
        <v>64</v>
      </c>
      <c r="V44" s="73" t="s">
        <v>102</v>
      </c>
      <c r="W44" s="73"/>
      <c r="X44" s="62">
        <f>BW44</f>
        <v>4</v>
      </c>
      <c r="Y44" s="120" t="s">
        <v>53</v>
      </c>
      <c r="Z44" s="121" t="s">
        <v>437</v>
      </c>
      <c r="AA44" s="121"/>
      <c r="AB44" s="122"/>
      <c r="AC44" s="122"/>
      <c r="AD44" s="122"/>
      <c r="AE44" s="122"/>
      <c r="AF44" s="122"/>
      <c r="AG44" s="122"/>
      <c r="AH44" s="122"/>
      <c r="AI44" s="122"/>
      <c r="AJ44" s="122"/>
      <c r="AK44" s="74"/>
      <c r="AL44" s="74"/>
      <c r="AM44" s="75"/>
      <c r="AN44" s="122" t="s">
        <v>103</v>
      </c>
      <c r="AO44" s="227"/>
      <c r="AP44" s="121"/>
      <c r="AQ44" s="121"/>
      <c r="AR44" s="121"/>
      <c r="AS44" s="68"/>
      <c r="AT44" s="68"/>
      <c r="AU44" s="68"/>
      <c r="AV44" s="68"/>
      <c r="AW44" s="68"/>
      <c r="AX44" s="68"/>
      <c r="AY44" s="68"/>
      <c r="AZ44" s="76"/>
      <c r="BA44" s="76"/>
      <c r="BB44" s="76"/>
      <c r="BC44" s="76"/>
      <c r="BD44" s="68"/>
      <c r="BE44" s="78" t="s">
        <v>50</v>
      </c>
      <c r="BF44" s="68" t="s">
        <v>121</v>
      </c>
      <c r="BG44" s="68"/>
      <c r="BH44" s="68"/>
      <c r="BI44" s="74"/>
      <c r="BJ44" s="74"/>
      <c r="BK44" s="74"/>
      <c r="BL44" s="68"/>
      <c r="BM44" s="68"/>
      <c r="BN44" s="68"/>
      <c r="BO44" s="68"/>
      <c r="BP44" s="68"/>
      <c r="BQ44" s="68"/>
      <c r="BR44" s="68"/>
      <c r="BS44" s="112">
        <v>2</v>
      </c>
      <c r="BT44" s="112">
        <v>2</v>
      </c>
      <c r="BU44" s="69"/>
      <c r="BV44" s="63" t="str">
        <f t="shared" si="3"/>
        <v>未完</v>
      </c>
      <c r="BW44" s="63">
        <f>SUM(BS44:BT56)</f>
        <v>4</v>
      </c>
      <c r="BX44" s="80">
        <v>0</v>
      </c>
      <c r="BY44" s="80">
        <v>0</v>
      </c>
      <c r="BZ44" s="80">
        <v>0</v>
      </c>
      <c r="CA44" s="80">
        <f>BW44-(BX44+BY44+BZ44)</f>
        <v>4</v>
      </c>
      <c r="CB44" s="80">
        <v>0</v>
      </c>
      <c r="CC44" s="80">
        <v>0</v>
      </c>
      <c r="CD44" s="67"/>
      <c r="CE44" s="68"/>
      <c r="CF44" s="68"/>
      <c r="CG44" s="68"/>
      <c r="CH44" s="68"/>
      <c r="CI44" s="68"/>
      <c r="CJ44" s="68"/>
      <c r="CK44" s="68"/>
      <c r="CL44" s="69"/>
    </row>
    <row r="45" spans="3:90" s="61" customFormat="1" x14ac:dyDescent="0.25">
      <c r="C45" s="71"/>
      <c r="D45" s="81"/>
      <c r="E45" s="82"/>
      <c r="F45" s="334"/>
      <c r="G45" s="335"/>
      <c r="H45" s="335"/>
      <c r="I45" s="336"/>
      <c r="J45" s="65"/>
      <c r="N45" s="65"/>
      <c r="T45" s="66"/>
      <c r="U45" s="62"/>
      <c r="V45" s="84"/>
      <c r="W45" s="84"/>
      <c r="X45" s="62"/>
      <c r="Y45" s="124"/>
      <c r="Z45" s="125" t="s">
        <v>56</v>
      </c>
      <c r="AA45" s="95" t="s">
        <v>438</v>
      </c>
      <c r="AB45" s="125"/>
      <c r="AC45" s="125"/>
      <c r="AD45" s="125"/>
      <c r="AE45" s="125"/>
      <c r="AF45" s="125"/>
      <c r="AG45" s="125"/>
      <c r="AH45" s="125"/>
      <c r="AI45" s="125"/>
      <c r="AJ45" s="125"/>
      <c r="AK45" s="85"/>
      <c r="AL45" s="85"/>
      <c r="AM45" s="86"/>
      <c r="AN45" s="94" t="s">
        <v>100</v>
      </c>
      <c r="AO45" s="94"/>
      <c r="AP45" s="61" t="s">
        <v>135</v>
      </c>
      <c r="AQ45" s="95"/>
      <c r="AR45" s="95"/>
      <c r="AZ45" s="62"/>
      <c r="BA45" s="62"/>
      <c r="BB45" s="62"/>
      <c r="BC45" s="62"/>
      <c r="BE45" s="113" t="s">
        <v>50</v>
      </c>
      <c r="BF45" s="95" t="s">
        <v>439</v>
      </c>
      <c r="BS45" s="114"/>
      <c r="BT45" s="114"/>
      <c r="BU45" s="66"/>
      <c r="BV45" s="81"/>
      <c r="BW45" s="90"/>
      <c r="BX45" s="90"/>
      <c r="BY45" s="90"/>
      <c r="BZ45" s="90"/>
      <c r="CA45" s="90"/>
      <c r="CB45" s="90"/>
      <c r="CC45" s="90"/>
      <c r="CD45" s="65"/>
      <c r="CE45" s="93"/>
      <c r="CL45" s="66"/>
    </row>
    <row r="46" spans="3:90" s="61" customFormat="1" x14ac:dyDescent="0.25">
      <c r="C46" s="71"/>
      <c r="D46" s="81"/>
      <c r="E46" s="82"/>
      <c r="F46" s="334"/>
      <c r="G46" s="335"/>
      <c r="H46" s="335"/>
      <c r="I46" s="336"/>
      <c r="J46" s="65"/>
      <c r="N46" s="65"/>
      <c r="T46" s="66"/>
      <c r="U46" s="62"/>
      <c r="V46" s="84"/>
      <c r="W46" s="84"/>
      <c r="X46" s="62"/>
      <c r="Y46" s="65"/>
      <c r="Z46" s="85"/>
      <c r="AA46" s="85"/>
      <c r="AB46" s="85"/>
      <c r="AC46" s="85"/>
      <c r="AD46" s="85"/>
      <c r="AE46" s="91"/>
      <c r="AF46" s="85"/>
      <c r="AG46" s="85"/>
      <c r="AH46" s="85"/>
      <c r="AI46" s="85"/>
      <c r="AJ46" s="85"/>
      <c r="AK46" s="85"/>
      <c r="AL46" s="85"/>
      <c r="AM46" s="86"/>
      <c r="AN46" s="94"/>
      <c r="AO46" s="94"/>
      <c r="AP46" s="125" t="s">
        <v>440</v>
      </c>
      <c r="AQ46" s="95"/>
      <c r="AR46" s="95"/>
      <c r="AZ46" s="62"/>
      <c r="BA46" s="62"/>
      <c r="BB46" s="62"/>
      <c r="BC46" s="62"/>
      <c r="BE46" s="113"/>
      <c r="BS46" s="114"/>
      <c r="BT46" s="114"/>
      <c r="BU46" s="66"/>
      <c r="BV46" s="81" t="str">
        <f t="shared" ref="BV46:BV48" si="4">IF(BW46&lt;&gt;"",IF(BW46=CB46+BZ46,"完了","未完"),"")</f>
        <v/>
      </c>
      <c r="BW46" s="90"/>
      <c r="BX46" s="90"/>
      <c r="BY46" s="90"/>
      <c r="BZ46" s="90"/>
      <c r="CA46" s="90"/>
      <c r="CB46" s="90"/>
      <c r="CC46" s="90"/>
      <c r="CD46" s="65"/>
      <c r="CL46" s="66"/>
    </row>
    <row r="47" spans="3:90" s="61" customFormat="1" x14ac:dyDescent="0.25">
      <c r="C47" s="71"/>
      <c r="D47" s="81"/>
      <c r="E47" s="82"/>
      <c r="F47" s="334"/>
      <c r="G47" s="335"/>
      <c r="H47" s="335"/>
      <c r="I47" s="336"/>
      <c r="J47" s="65"/>
      <c r="N47" s="65"/>
      <c r="T47" s="66"/>
      <c r="U47" s="62"/>
      <c r="V47" s="84"/>
      <c r="W47" s="84"/>
      <c r="X47" s="62"/>
      <c r="Y47" s="65"/>
      <c r="Z47" s="85"/>
      <c r="AA47" s="85"/>
      <c r="AB47" s="85"/>
      <c r="AC47" s="85"/>
      <c r="AD47" s="85"/>
      <c r="AE47" s="91"/>
      <c r="AF47" s="85"/>
      <c r="AG47" s="85"/>
      <c r="AH47" s="85"/>
      <c r="AI47" s="85"/>
      <c r="AJ47" s="85"/>
      <c r="AK47" s="85"/>
      <c r="AL47" s="85"/>
      <c r="AM47" s="86"/>
      <c r="AN47" s="94" t="s">
        <v>84</v>
      </c>
      <c r="AO47" s="94"/>
      <c r="AP47" s="125" t="s">
        <v>106</v>
      </c>
      <c r="AQ47" s="95"/>
      <c r="AR47" s="95"/>
      <c r="AZ47" s="62"/>
      <c r="BA47" s="62"/>
      <c r="BB47" s="62"/>
      <c r="BC47" s="62"/>
      <c r="BE47" s="113"/>
      <c r="BS47" s="114"/>
      <c r="BT47" s="114"/>
      <c r="BU47" s="66"/>
      <c r="BV47" s="81" t="str">
        <f t="shared" si="4"/>
        <v/>
      </c>
      <c r="BW47" s="90"/>
      <c r="BX47" s="90"/>
      <c r="BY47" s="90"/>
      <c r="BZ47" s="90"/>
      <c r="CA47" s="90"/>
      <c r="CB47" s="90"/>
      <c r="CC47" s="90"/>
      <c r="CD47" s="65"/>
      <c r="CL47" s="66"/>
    </row>
    <row r="48" spans="3:90" s="61" customFormat="1" x14ac:dyDescent="0.25">
      <c r="C48" s="71"/>
      <c r="D48" s="81"/>
      <c r="E48" s="82"/>
      <c r="F48" s="334"/>
      <c r="G48" s="335"/>
      <c r="H48" s="335"/>
      <c r="I48" s="336"/>
      <c r="J48" s="65"/>
      <c r="N48" s="65"/>
      <c r="T48" s="66"/>
      <c r="U48" s="62"/>
      <c r="V48" s="84"/>
      <c r="W48" s="84"/>
      <c r="X48" s="62"/>
      <c r="Y48" s="65"/>
      <c r="Z48" s="91"/>
      <c r="AA48" s="91"/>
      <c r="AB48" s="85"/>
      <c r="AC48" s="85"/>
      <c r="AD48" s="85"/>
      <c r="AE48" s="91"/>
      <c r="AF48" s="85"/>
      <c r="AG48" s="85"/>
      <c r="AH48" s="85"/>
      <c r="AI48" s="85"/>
      <c r="AJ48" s="85"/>
      <c r="AK48" s="85"/>
      <c r="AL48" s="85"/>
      <c r="AM48" s="86"/>
      <c r="AN48" s="94"/>
      <c r="AO48" s="94"/>
      <c r="AP48" s="125"/>
      <c r="AQ48" s="95"/>
      <c r="AR48" s="95"/>
      <c r="AZ48" s="62"/>
      <c r="BA48" s="62"/>
      <c r="BB48" s="62"/>
      <c r="BC48" s="62"/>
      <c r="BE48" s="113"/>
      <c r="BS48" s="114"/>
      <c r="BT48" s="114"/>
      <c r="BU48" s="66"/>
      <c r="BV48" s="81" t="str">
        <f t="shared" si="4"/>
        <v/>
      </c>
      <c r="BW48" s="90"/>
      <c r="BX48" s="90"/>
      <c r="BY48" s="90"/>
      <c r="BZ48" s="90"/>
      <c r="CA48" s="90"/>
      <c r="CB48" s="90"/>
      <c r="CC48" s="90"/>
      <c r="CD48" s="65"/>
      <c r="CL48" s="66"/>
    </row>
    <row r="49" spans="3:90" s="61" customFormat="1" x14ac:dyDescent="0.25">
      <c r="C49" s="71"/>
      <c r="D49" s="81"/>
      <c r="E49" s="82"/>
      <c r="F49" s="334"/>
      <c r="G49" s="335"/>
      <c r="H49" s="335"/>
      <c r="I49" s="336"/>
      <c r="J49" s="65"/>
      <c r="N49" s="65"/>
      <c r="T49" s="66"/>
      <c r="U49" s="62"/>
      <c r="V49" s="84"/>
      <c r="W49" s="84"/>
      <c r="X49" s="62"/>
      <c r="Y49" s="65"/>
      <c r="Z49" s="93"/>
      <c r="AA49" s="93"/>
      <c r="AB49" s="85"/>
      <c r="AC49" s="85"/>
      <c r="AD49" s="85"/>
      <c r="AE49" s="91"/>
      <c r="AF49" s="85"/>
      <c r="AG49" s="85"/>
      <c r="AH49" s="85"/>
      <c r="AI49" s="85"/>
      <c r="AJ49" s="85"/>
      <c r="AK49" s="85"/>
      <c r="AL49" s="85"/>
      <c r="AM49" s="86"/>
      <c r="AN49" s="125" t="s">
        <v>105</v>
      </c>
      <c r="AO49" s="94"/>
      <c r="AP49" s="125"/>
      <c r="AQ49" s="95"/>
      <c r="AR49" s="95"/>
      <c r="AZ49" s="62"/>
      <c r="BA49" s="62"/>
      <c r="BB49" s="62"/>
      <c r="BC49" s="62"/>
      <c r="BE49" s="113"/>
      <c r="BS49" s="114"/>
      <c r="BT49" s="114"/>
      <c r="BU49" s="66"/>
      <c r="BV49" s="81"/>
      <c r="BW49" s="90"/>
      <c r="BX49" s="90"/>
      <c r="BY49" s="90"/>
      <c r="BZ49" s="90"/>
      <c r="CA49" s="90"/>
      <c r="CB49" s="90"/>
      <c r="CC49" s="90"/>
      <c r="CD49" s="65"/>
      <c r="CL49" s="66"/>
    </row>
    <row r="50" spans="3:90" s="61" customFormat="1" x14ac:dyDescent="0.25">
      <c r="C50" s="71"/>
      <c r="D50" s="81"/>
      <c r="E50" s="82"/>
      <c r="F50" s="334"/>
      <c r="G50" s="335"/>
      <c r="H50" s="335"/>
      <c r="I50" s="336"/>
      <c r="J50" s="65"/>
      <c r="N50" s="65"/>
      <c r="T50" s="66"/>
      <c r="U50" s="62"/>
      <c r="V50" s="84"/>
      <c r="W50" s="84"/>
      <c r="X50" s="62"/>
      <c r="Y50" s="65"/>
      <c r="Z50" s="91"/>
      <c r="AA50" s="91"/>
      <c r="AB50" s="85"/>
      <c r="AC50" s="85"/>
      <c r="AD50" s="85"/>
      <c r="AE50" s="91"/>
      <c r="AF50" s="85"/>
      <c r="AG50" s="85"/>
      <c r="AH50" s="85"/>
      <c r="AI50" s="85"/>
      <c r="AJ50" s="85"/>
      <c r="AK50" s="85"/>
      <c r="AL50" s="85"/>
      <c r="AM50" s="86"/>
      <c r="AN50" s="94" t="s">
        <v>100</v>
      </c>
      <c r="AO50" s="94"/>
      <c r="AP50" s="61" t="s">
        <v>130</v>
      </c>
      <c r="AQ50" s="95"/>
      <c r="AR50" s="95"/>
      <c r="AZ50" s="62"/>
      <c r="BA50" s="62"/>
      <c r="BB50" s="62"/>
      <c r="BC50" s="62"/>
      <c r="BE50" s="113"/>
      <c r="BS50" s="114"/>
      <c r="BT50" s="114"/>
      <c r="BU50" s="66"/>
      <c r="BV50" s="81"/>
      <c r="BW50" s="90"/>
      <c r="BX50" s="90"/>
      <c r="BY50" s="90"/>
      <c r="BZ50" s="90"/>
      <c r="CA50" s="90"/>
      <c r="CB50" s="90"/>
      <c r="CC50" s="90"/>
      <c r="CD50" s="65"/>
      <c r="CL50" s="66"/>
    </row>
    <row r="51" spans="3:90" s="61" customFormat="1" x14ac:dyDescent="0.25">
      <c r="C51" s="71"/>
      <c r="D51" s="81"/>
      <c r="E51" s="82"/>
      <c r="F51" s="334"/>
      <c r="G51" s="335"/>
      <c r="H51" s="335"/>
      <c r="I51" s="336"/>
      <c r="J51" s="65"/>
      <c r="N51" s="65"/>
      <c r="T51" s="66"/>
      <c r="U51" s="62"/>
      <c r="V51" s="84"/>
      <c r="W51" s="84"/>
      <c r="X51" s="62"/>
      <c r="Y51" s="65"/>
      <c r="Z51" s="91"/>
      <c r="AA51" s="91"/>
      <c r="AB51" s="85"/>
      <c r="AC51" s="85"/>
      <c r="AD51" s="85"/>
      <c r="AE51" s="91"/>
      <c r="AF51" s="85"/>
      <c r="AG51" s="85"/>
      <c r="AH51" s="85"/>
      <c r="AI51" s="85"/>
      <c r="AJ51" s="85"/>
      <c r="AK51" s="85"/>
      <c r="AL51" s="85"/>
      <c r="AM51" s="86"/>
      <c r="AN51" s="94"/>
      <c r="AO51" s="94"/>
      <c r="AP51" s="125" t="s">
        <v>51</v>
      </c>
      <c r="AQ51" s="95"/>
      <c r="AR51" s="95"/>
      <c r="AZ51" s="62"/>
      <c r="BA51" s="62"/>
      <c r="BB51" s="62"/>
      <c r="BC51" s="62"/>
      <c r="BE51" s="113"/>
      <c r="BS51" s="99"/>
      <c r="BT51" s="99"/>
      <c r="BU51" s="66"/>
      <c r="BV51" s="81"/>
      <c r="BW51" s="90"/>
      <c r="BX51" s="90"/>
      <c r="BY51" s="90"/>
      <c r="BZ51" s="90"/>
      <c r="CA51" s="90"/>
      <c r="CB51" s="90"/>
      <c r="CC51" s="90"/>
      <c r="CD51" s="65"/>
      <c r="CL51" s="66"/>
    </row>
    <row r="52" spans="3:90" s="61" customFormat="1" x14ac:dyDescent="0.25">
      <c r="C52" s="71"/>
      <c r="D52" s="81"/>
      <c r="E52" s="82"/>
      <c r="F52" s="334"/>
      <c r="G52" s="335"/>
      <c r="H52" s="335"/>
      <c r="I52" s="336"/>
      <c r="J52" s="65"/>
      <c r="N52" s="65"/>
      <c r="T52" s="66"/>
      <c r="U52" s="62"/>
      <c r="V52" s="84"/>
      <c r="W52" s="84"/>
      <c r="X52" s="62"/>
      <c r="Y52" s="65"/>
      <c r="Z52" s="91"/>
      <c r="AA52" s="91"/>
      <c r="AB52" s="85"/>
      <c r="AC52" s="85"/>
      <c r="AD52" s="85"/>
      <c r="AE52" s="91"/>
      <c r="AF52" s="85"/>
      <c r="AG52" s="85"/>
      <c r="AH52" s="85"/>
      <c r="AI52" s="85"/>
      <c r="AJ52" s="85"/>
      <c r="AK52" s="85"/>
      <c r="AL52" s="85"/>
      <c r="AM52" s="86"/>
      <c r="AN52" s="94" t="s">
        <v>84</v>
      </c>
      <c r="AO52" s="94"/>
      <c r="AP52" s="85" t="s">
        <v>29</v>
      </c>
      <c r="AQ52" s="95"/>
      <c r="AR52" s="95"/>
      <c r="AZ52" s="62"/>
      <c r="BA52" s="62"/>
      <c r="BB52" s="62"/>
      <c r="BC52" s="62"/>
      <c r="BE52" s="113"/>
      <c r="BS52" s="99"/>
      <c r="BT52" s="99"/>
      <c r="BU52" s="66"/>
      <c r="BV52" s="81"/>
      <c r="BW52" s="90"/>
      <c r="BX52" s="90"/>
      <c r="BY52" s="90"/>
      <c r="BZ52" s="90"/>
      <c r="CA52" s="90"/>
      <c r="CB52" s="90"/>
      <c r="CC52" s="90"/>
      <c r="CD52" s="65"/>
      <c r="CL52" s="66"/>
    </row>
    <row r="53" spans="3:90" s="61" customFormat="1" x14ac:dyDescent="0.25">
      <c r="C53" s="71"/>
      <c r="D53" s="81"/>
      <c r="E53" s="82"/>
      <c r="F53" s="334"/>
      <c r="G53" s="335"/>
      <c r="H53" s="335"/>
      <c r="I53" s="336"/>
      <c r="J53" s="65"/>
      <c r="N53" s="65"/>
      <c r="T53" s="66"/>
      <c r="U53" s="62"/>
      <c r="V53" s="84"/>
      <c r="W53" s="84"/>
      <c r="X53" s="62"/>
      <c r="Y53" s="65"/>
      <c r="AM53" s="66"/>
      <c r="AN53" s="94"/>
      <c r="AO53" s="94"/>
      <c r="AP53" s="125" t="s">
        <v>440</v>
      </c>
      <c r="AQ53" s="95"/>
      <c r="AR53" s="95"/>
      <c r="AZ53" s="62"/>
      <c r="BA53" s="62"/>
      <c r="BB53" s="62"/>
      <c r="BC53" s="62"/>
      <c r="BE53" s="113"/>
      <c r="BS53" s="99"/>
      <c r="BT53" s="99"/>
      <c r="BU53" s="66"/>
      <c r="BV53" s="81" t="str">
        <f t="shared" ref="BV53:BV116" si="5">IF(BW53&lt;&gt;"",IF(BW53=CB53+BZ53,"完了","未完"),"")</f>
        <v/>
      </c>
      <c r="BW53" s="90"/>
      <c r="BX53" s="90"/>
      <c r="BY53" s="90"/>
      <c r="BZ53" s="90"/>
      <c r="CA53" s="90"/>
      <c r="CB53" s="90"/>
      <c r="CC53" s="90"/>
      <c r="CD53" s="65"/>
      <c r="CL53" s="66"/>
    </row>
    <row r="54" spans="3:90" s="61" customFormat="1" x14ac:dyDescent="0.25">
      <c r="C54" s="71"/>
      <c r="D54" s="81"/>
      <c r="E54" s="82"/>
      <c r="F54" s="71"/>
      <c r="G54" s="62"/>
      <c r="H54" s="62"/>
      <c r="I54" s="136"/>
      <c r="J54" s="65"/>
      <c r="N54" s="65"/>
      <c r="T54" s="66"/>
      <c r="U54" s="62"/>
      <c r="V54" s="84"/>
      <c r="W54" s="84"/>
      <c r="X54" s="62"/>
      <c r="Y54" s="65"/>
      <c r="AM54" s="66"/>
      <c r="AN54" s="94" t="s">
        <v>66</v>
      </c>
      <c r="AO54" s="94"/>
      <c r="AP54" s="125" t="s">
        <v>106</v>
      </c>
      <c r="AQ54" s="95"/>
      <c r="AR54" s="95"/>
      <c r="AZ54" s="62"/>
      <c r="BA54" s="62"/>
      <c r="BB54" s="62"/>
      <c r="BC54" s="62"/>
      <c r="BE54" s="113"/>
      <c r="BS54" s="99"/>
      <c r="BT54" s="99"/>
      <c r="BU54" s="66"/>
      <c r="BV54" s="81"/>
      <c r="BW54" s="90"/>
      <c r="BX54" s="90"/>
      <c r="BY54" s="90"/>
      <c r="BZ54" s="90"/>
      <c r="CA54" s="90"/>
      <c r="CB54" s="90"/>
      <c r="CC54" s="90"/>
      <c r="CD54" s="65"/>
      <c r="CL54" s="66"/>
    </row>
    <row r="55" spans="3:90" s="61" customFormat="1" x14ac:dyDescent="0.25">
      <c r="C55" s="71"/>
      <c r="D55" s="81"/>
      <c r="E55" s="82"/>
      <c r="F55" s="71"/>
      <c r="G55" s="62"/>
      <c r="H55" s="62"/>
      <c r="I55" s="136"/>
      <c r="J55" s="65"/>
      <c r="N55" s="65"/>
      <c r="T55" s="66"/>
      <c r="U55" s="62"/>
      <c r="V55" s="84"/>
      <c r="W55" s="84"/>
      <c r="X55" s="62"/>
      <c r="Y55" s="65"/>
      <c r="AM55" s="66"/>
      <c r="AN55" s="94"/>
      <c r="AO55" s="94"/>
      <c r="AP55" s="125"/>
      <c r="AQ55" s="95"/>
      <c r="AR55" s="95"/>
      <c r="AZ55" s="62"/>
      <c r="BA55" s="62"/>
      <c r="BB55" s="62"/>
      <c r="BC55" s="62"/>
      <c r="BE55" s="113"/>
      <c r="BS55" s="99"/>
      <c r="BT55" s="99"/>
      <c r="BU55" s="66"/>
      <c r="BV55" s="81"/>
      <c r="BW55" s="90"/>
      <c r="BX55" s="90"/>
      <c r="BY55" s="90"/>
      <c r="BZ55" s="90"/>
      <c r="CA55" s="90"/>
      <c r="CB55" s="90"/>
      <c r="CC55" s="90"/>
      <c r="CD55" s="65"/>
      <c r="CL55" s="66"/>
    </row>
    <row r="56" spans="3:90" s="61" customFormat="1" x14ac:dyDescent="0.25">
      <c r="C56" s="81"/>
      <c r="D56" s="81"/>
      <c r="E56" s="115"/>
      <c r="F56" s="65"/>
      <c r="I56" s="66"/>
      <c r="J56" s="65"/>
      <c r="M56" s="66"/>
      <c r="N56" s="65"/>
      <c r="T56" s="66"/>
      <c r="U56" s="105"/>
      <c r="V56" s="116"/>
      <c r="W56" s="116"/>
      <c r="X56" s="105"/>
      <c r="Y56" s="101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2"/>
      <c r="AQ56" s="95"/>
      <c r="AR56" s="95"/>
      <c r="AS56" s="100"/>
      <c r="AT56" s="100"/>
      <c r="AU56" s="100"/>
      <c r="AV56" s="100"/>
      <c r="AW56" s="100"/>
      <c r="AX56" s="100"/>
      <c r="AY56" s="100"/>
      <c r="AZ56" s="105"/>
      <c r="BA56" s="105"/>
      <c r="BB56" s="105"/>
      <c r="BC56" s="105"/>
      <c r="BD56" s="100"/>
      <c r="BE56" s="118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4"/>
      <c r="BT56" s="104"/>
      <c r="BU56" s="102"/>
      <c r="BV56" s="97" t="str">
        <f t="shared" si="5"/>
        <v/>
      </c>
      <c r="BW56" s="119"/>
      <c r="BX56" s="119"/>
      <c r="BY56" s="119"/>
      <c r="BZ56" s="119"/>
      <c r="CA56" s="119"/>
      <c r="CB56" s="119"/>
      <c r="CC56" s="119"/>
      <c r="CD56" s="101"/>
      <c r="CE56" s="100"/>
      <c r="CF56" s="100"/>
      <c r="CG56" s="100"/>
      <c r="CH56" s="100"/>
      <c r="CI56" s="100"/>
      <c r="CJ56" s="100"/>
      <c r="CK56" s="100"/>
      <c r="CL56" s="102"/>
    </row>
    <row r="57" spans="3:90" s="61" customFormat="1" x14ac:dyDescent="0.25">
      <c r="C57" s="71"/>
      <c r="D57" s="81"/>
      <c r="E57" s="111">
        <v>4</v>
      </c>
      <c r="F57" s="65"/>
      <c r="I57" s="66"/>
      <c r="J57" s="65"/>
      <c r="N57" s="65"/>
      <c r="T57" s="66"/>
      <c r="U57" s="34" t="s">
        <v>64</v>
      </c>
      <c r="V57" s="73" t="s">
        <v>102</v>
      </c>
      <c r="W57" s="73"/>
      <c r="X57" s="62">
        <f>BW57</f>
        <v>2</v>
      </c>
      <c r="Y57" s="120" t="s">
        <v>53</v>
      </c>
      <c r="Z57" s="121" t="s">
        <v>441</v>
      </c>
      <c r="AA57" s="121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5"/>
      <c r="AN57" s="122" t="s">
        <v>100</v>
      </c>
      <c r="AO57" s="227"/>
      <c r="AP57" s="121" t="s">
        <v>443</v>
      </c>
      <c r="AQ57" s="77"/>
      <c r="AR57" s="68"/>
      <c r="AS57" s="68"/>
      <c r="AT57" s="68"/>
      <c r="AU57" s="68"/>
      <c r="AV57" s="68"/>
      <c r="AW57" s="68"/>
      <c r="AX57" s="68"/>
      <c r="AY57" s="68"/>
      <c r="AZ57" s="76"/>
      <c r="BA57" s="76"/>
      <c r="BB57" s="76"/>
      <c r="BC57" s="76"/>
      <c r="BD57" s="68"/>
      <c r="BE57" s="78" t="s">
        <v>50</v>
      </c>
      <c r="BF57" s="68" t="s">
        <v>121</v>
      </c>
      <c r="BG57" s="68"/>
      <c r="BH57" s="68"/>
      <c r="BI57" s="74"/>
      <c r="BJ57" s="74"/>
      <c r="BK57" s="74"/>
      <c r="BL57" s="68"/>
      <c r="BM57" s="68"/>
      <c r="BN57" s="68"/>
      <c r="BO57" s="68"/>
      <c r="BP57" s="68"/>
      <c r="BQ57" s="68"/>
      <c r="BR57" s="68"/>
      <c r="BS57" s="112">
        <v>1</v>
      </c>
      <c r="BT57" s="112">
        <v>1</v>
      </c>
      <c r="BU57" s="69"/>
      <c r="BV57" s="63" t="str">
        <f>IF(BW57&lt;&gt;"",IF(BW57=CB57+BZ57,"完了","未完"),"")</f>
        <v>未完</v>
      </c>
      <c r="BW57" s="63">
        <f>SUM(BS57:BT61)</f>
        <v>2</v>
      </c>
      <c r="BX57" s="80">
        <v>0</v>
      </c>
      <c r="BY57" s="80">
        <v>0</v>
      </c>
      <c r="BZ57" s="80">
        <v>0</v>
      </c>
      <c r="CA57" s="80">
        <f>BW57-(BX57+BY57+BZ57)</f>
        <v>2</v>
      </c>
      <c r="CB57" s="80">
        <v>0</v>
      </c>
      <c r="CC57" s="80">
        <v>0</v>
      </c>
      <c r="CD57" s="67"/>
      <c r="CE57" s="68"/>
      <c r="CF57" s="68"/>
      <c r="CG57" s="68"/>
      <c r="CH57" s="68"/>
      <c r="CI57" s="68"/>
      <c r="CJ57" s="68"/>
      <c r="CK57" s="68"/>
      <c r="CL57" s="69"/>
    </row>
    <row r="58" spans="3:90" s="61" customFormat="1" x14ac:dyDescent="0.25">
      <c r="C58" s="71"/>
      <c r="D58" s="81"/>
      <c r="E58" s="82"/>
      <c r="F58" s="65"/>
      <c r="I58" s="66"/>
      <c r="J58" s="65"/>
      <c r="N58" s="65"/>
      <c r="T58" s="66"/>
      <c r="U58" s="62"/>
      <c r="V58" s="84"/>
      <c r="W58" s="84"/>
      <c r="X58" s="62"/>
      <c r="Y58" s="124"/>
      <c r="Z58" s="396" t="s">
        <v>54</v>
      </c>
      <c r="AA58" s="396" t="s">
        <v>442</v>
      </c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6"/>
      <c r="AN58" s="94"/>
      <c r="AO58" s="94"/>
      <c r="AP58" s="95" t="s">
        <v>435</v>
      </c>
      <c r="AZ58" s="62"/>
      <c r="BA58" s="62"/>
      <c r="BB58" s="62"/>
      <c r="BC58" s="62"/>
      <c r="BE58" s="113"/>
      <c r="BS58" s="114"/>
      <c r="BT58" s="114"/>
      <c r="BU58" s="66"/>
      <c r="BV58" s="81"/>
      <c r="BW58" s="90"/>
      <c r="BX58" s="90"/>
      <c r="BY58" s="90"/>
      <c r="BZ58" s="90"/>
      <c r="CA58" s="90"/>
      <c r="CB58" s="90"/>
      <c r="CC58" s="90"/>
      <c r="CD58" s="65"/>
      <c r="CE58" s="93"/>
      <c r="CL58" s="66"/>
    </row>
    <row r="59" spans="3:90" s="61" customFormat="1" x14ac:dyDescent="0.25">
      <c r="C59" s="71"/>
      <c r="D59" s="81"/>
      <c r="E59" s="82"/>
      <c r="F59" s="65"/>
      <c r="I59" s="66"/>
      <c r="J59" s="65"/>
      <c r="N59" s="65"/>
      <c r="T59" s="66"/>
      <c r="U59" s="62"/>
      <c r="V59" s="84"/>
      <c r="W59" s="84"/>
      <c r="X59" s="62"/>
      <c r="Y59" s="65"/>
      <c r="Z59" s="91" t="s">
        <v>57</v>
      </c>
      <c r="AA59" s="91" t="s">
        <v>649</v>
      </c>
      <c r="AB59" s="85"/>
      <c r="AC59" s="85"/>
      <c r="AD59" s="85"/>
      <c r="AE59" s="91"/>
      <c r="AF59" s="85"/>
      <c r="AG59" s="85"/>
      <c r="AH59" s="85"/>
      <c r="AI59" s="85"/>
      <c r="AJ59" s="85"/>
      <c r="AK59" s="85"/>
      <c r="AL59" s="85"/>
      <c r="AM59" s="86"/>
      <c r="AN59" s="94" t="s">
        <v>84</v>
      </c>
      <c r="AO59" s="94"/>
      <c r="AP59" s="125" t="s">
        <v>444</v>
      </c>
      <c r="AZ59" s="62"/>
      <c r="BA59" s="62"/>
      <c r="BB59" s="62"/>
      <c r="BC59" s="62"/>
      <c r="BE59" s="113"/>
      <c r="BS59" s="114"/>
      <c r="BT59" s="114"/>
      <c r="BU59" s="66"/>
      <c r="BV59" s="81" t="str">
        <f t="shared" ref="BV59:BV115" si="6">IF(BW59&lt;&gt;"",IF(BW59=CB59+BZ59,"完了","未完"),"")</f>
        <v/>
      </c>
      <c r="BW59" s="90"/>
      <c r="BX59" s="90"/>
      <c r="BY59" s="90"/>
      <c r="BZ59" s="90"/>
      <c r="CA59" s="90"/>
      <c r="CB59" s="90"/>
      <c r="CC59" s="90"/>
      <c r="CD59" s="65"/>
      <c r="CL59" s="66"/>
    </row>
    <row r="60" spans="3:90" s="61" customFormat="1" x14ac:dyDescent="0.25">
      <c r="C60" s="71"/>
      <c r="D60" s="81"/>
      <c r="E60" s="82"/>
      <c r="F60" s="65"/>
      <c r="I60" s="66"/>
      <c r="J60" s="65"/>
      <c r="N60" s="65"/>
      <c r="T60" s="66"/>
      <c r="U60" s="62"/>
      <c r="V60" s="84"/>
      <c r="W60" s="84"/>
      <c r="X60" s="62"/>
      <c r="Y60" s="65"/>
      <c r="Z60" s="85"/>
      <c r="AA60" s="85"/>
      <c r="AB60" s="85"/>
      <c r="AC60" s="85"/>
      <c r="AD60" s="85"/>
      <c r="AE60" s="91"/>
      <c r="AF60" s="85"/>
      <c r="AG60" s="85"/>
      <c r="AH60" s="85"/>
      <c r="AI60" s="85"/>
      <c r="AJ60" s="85"/>
      <c r="AK60" s="85"/>
      <c r="AL60" s="85"/>
      <c r="AM60" s="86"/>
      <c r="AN60" s="71"/>
      <c r="AO60" s="62"/>
      <c r="AP60" s="85"/>
      <c r="AZ60" s="62"/>
      <c r="BA60" s="62"/>
      <c r="BB60" s="62"/>
      <c r="BC60" s="62"/>
      <c r="BE60" s="113"/>
      <c r="BS60" s="114"/>
      <c r="BT60" s="114"/>
      <c r="BU60" s="66"/>
      <c r="BV60" s="81" t="str">
        <f t="shared" si="6"/>
        <v/>
      </c>
      <c r="BW60" s="90"/>
      <c r="BX60" s="90"/>
      <c r="BY60" s="90"/>
      <c r="BZ60" s="90"/>
      <c r="CA60" s="90"/>
      <c r="CB60" s="90"/>
      <c r="CC60" s="90"/>
      <c r="CD60" s="65"/>
      <c r="CL60" s="66"/>
    </row>
    <row r="61" spans="3:90" s="61" customFormat="1" x14ac:dyDescent="0.25">
      <c r="C61" s="71"/>
      <c r="D61" s="81"/>
      <c r="E61" s="82"/>
      <c r="F61" s="65"/>
      <c r="I61" s="66"/>
      <c r="J61" s="65"/>
      <c r="N61" s="65"/>
      <c r="T61" s="66"/>
      <c r="U61" s="62"/>
      <c r="V61" s="84"/>
      <c r="W61" s="84"/>
      <c r="X61" s="62"/>
      <c r="Y61" s="65"/>
      <c r="Z61" s="91"/>
      <c r="AA61" s="91"/>
      <c r="AB61" s="85"/>
      <c r="AC61" s="85"/>
      <c r="AD61" s="85"/>
      <c r="AE61" s="91"/>
      <c r="AF61" s="85"/>
      <c r="AG61" s="85"/>
      <c r="AH61" s="85"/>
      <c r="AI61" s="85"/>
      <c r="AJ61" s="85"/>
      <c r="AK61" s="85"/>
      <c r="AL61" s="85"/>
      <c r="AM61" s="86"/>
      <c r="AN61" s="92"/>
      <c r="AO61" s="62"/>
      <c r="AP61" s="85"/>
      <c r="AZ61" s="62"/>
      <c r="BA61" s="62"/>
      <c r="BB61" s="62"/>
      <c r="BC61" s="62"/>
      <c r="BE61" s="113"/>
      <c r="BS61" s="114"/>
      <c r="BT61" s="114"/>
      <c r="BU61" s="66"/>
      <c r="BV61" s="81" t="str">
        <f t="shared" si="6"/>
        <v/>
      </c>
      <c r="BW61" s="90"/>
      <c r="BX61" s="90"/>
      <c r="BY61" s="90"/>
      <c r="BZ61" s="90"/>
      <c r="CA61" s="90"/>
      <c r="CB61" s="90"/>
      <c r="CC61" s="90"/>
      <c r="CD61" s="65"/>
      <c r="CL61" s="66"/>
    </row>
    <row r="62" spans="3:90" s="61" customFormat="1" x14ac:dyDescent="0.25">
      <c r="C62" s="71"/>
      <c r="D62" s="81"/>
      <c r="E62" s="111">
        <v>5</v>
      </c>
      <c r="F62" s="65"/>
      <c r="I62" s="66"/>
      <c r="J62" s="65"/>
      <c r="M62" s="66"/>
      <c r="N62" s="65"/>
      <c r="T62" s="66"/>
      <c r="U62" s="54" t="s">
        <v>64</v>
      </c>
      <c r="V62" s="73" t="s">
        <v>102</v>
      </c>
      <c r="W62" s="73"/>
      <c r="X62" s="397">
        <v>2</v>
      </c>
      <c r="Y62" s="120" t="s">
        <v>53</v>
      </c>
      <c r="Z62" s="121" t="s">
        <v>445</v>
      </c>
      <c r="AA62" s="121"/>
      <c r="AB62" s="122"/>
      <c r="AC62" s="122"/>
      <c r="AD62" s="122"/>
      <c r="AE62" s="129"/>
      <c r="AF62" s="74"/>
      <c r="AG62" s="74"/>
      <c r="AH62" s="74"/>
      <c r="AI62" s="74"/>
      <c r="AJ62" s="74"/>
      <c r="AK62" s="74"/>
      <c r="AL62" s="74"/>
      <c r="AM62" s="75"/>
      <c r="AN62" s="122" t="s">
        <v>103</v>
      </c>
      <c r="AO62" s="227"/>
      <c r="AP62" s="121"/>
      <c r="AQ62" s="68"/>
      <c r="AR62" s="68"/>
      <c r="AS62" s="68"/>
      <c r="AT62" s="68"/>
      <c r="AU62" s="68"/>
      <c r="AV62" s="68"/>
      <c r="AW62" s="68"/>
      <c r="AX62" s="68"/>
      <c r="AY62" s="68"/>
      <c r="AZ62" s="76"/>
      <c r="BA62" s="76"/>
      <c r="BB62" s="76"/>
      <c r="BC62" s="76"/>
      <c r="BD62" s="68"/>
      <c r="BE62" s="78" t="s">
        <v>50</v>
      </c>
      <c r="BF62" s="68" t="s">
        <v>121</v>
      </c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398">
        <v>1</v>
      </c>
      <c r="BT62" s="398">
        <v>1</v>
      </c>
      <c r="BU62" s="69"/>
      <c r="BV62" s="63" t="str">
        <f>IF(BW62&lt;&gt;"",IF(BW62=CB62+BZ62,"完了","未完"),"")</f>
        <v>未完</v>
      </c>
      <c r="BW62" s="63">
        <f>SUM(BS62:BT74)</f>
        <v>2</v>
      </c>
      <c r="BX62" s="80">
        <v>0</v>
      </c>
      <c r="BY62" s="80">
        <v>0</v>
      </c>
      <c r="BZ62" s="80">
        <v>0</v>
      </c>
      <c r="CA62" s="80">
        <f>BW62-(BX62+BY62+BZ62)</f>
        <v>2</v>
      </c>
      <c r="CB62" s="80">
        <v>0</v>
      </c>
      <c r="CC62" s="80">
        <v>0</v>
      </c>
      <c r="CD62" s="67"/>
      <c r="CE62" s="68"/>
      <c r="CF62" s="68"/>
      <c r="CG62" s="68"/>
      <c r="CH62" s="68"/>
      <c r="CI62" s="68"/>
      <c r="CJ62" s="68"/>
      <c r="CK62" s="68"/>
      <c r="CL62" s="69"/>
    </row>
    <row r="63" spans="3:90" s="61" customFormat="1" x14ac:dyDescent="0.25">
      <c r="C63" s="71"/>
      <c r="D63" s="81"/>
      <c r="E63" s="82"/>
      <c r="F63" s="65"/>
      <c r="I63" s="66"/>
      <c r="J63" s="65"/>
      <c r="N63" s="65"/>
      <c r="T63" s="66"/>
      <c r="U63" s="62"/>
      <c r="V63" s="84"/>
      <c r="W63" s="84"/>
      <c r="X63" s="62"/>
      <c r="Y63" s="124"/>
      <c r="Z63" s="125" t="s">
        <v>56</v>
      </c>
      <c r="AA63" s="95" t="s">
        <v>439</v>
      </c>
      <c r="AB63" s="125"/>
      <c r="AC63" s="125"/>
      <c r="AD63" s="125"/>
      <c r="AE63" s="91"/>
      <c r="AF63" s="85"/>
      <c r="AG63" s="85"/>
      <c r="AH63" s="85"/>
      <c r="AI63" s="85"/>
      <c r="AJ63" s="85"/>
      <c r="AK63" s="85"/>
      <c r="AL63" s="85"/>
      <c r="AM63" s="86"/>
      <c r="AN63" s="94" t="s">
        <v>100</v>
      </c>
      <c r="AO63" s="94"/>
      <c r="AP63" s="61" t="s">
        <v>135</v>
      </c>
      <c r="AZ63" s="62"/>
      <c r="BA63" s="62"/>
      <c r="BB63" s="62"/>
      <c r="BC63" s="62"/>
      <c r="BE63" s="113" t="s">
        <v>50</v>
      </c>
      <c r="BF63" s="95" t="s">
        <v>439</v>
      </c>
      <c r="BS63" s="114"/>
      <c r="BT63" s="114"/>
      <c r="BU63" s="66"/>
      <c r="BV63" s="81" t="str">
        <f t="shared" si="6"/>
        <v/>
      </c>
      <c r="BW63" s="90"/>
      <c r="BX63" s="90"/>
      <c r="BY63" s="90"/>
      <c r="BZ63" s="90"/>
      <c r="CA63" s="90"/>
      <c r="CB63" s="90"/>
      <c r="CC63" s="90"/>
      <c r="CD63" s="65"/>
      <c r="CL63" s="66"/>
    </row>
    <row r="64" spans="3:90" s="61" customFormat="1" x14ac:dyDescent="0.25">
      <c r="C64" s="71"/>
      <c r="D64" s="81"/>
      <c r="E64" s="82"/>
      <c r="F64" s="65"/>
      <c r="I64" s="66"/>
      <c r="J64" s="65"/>
      <c r="N64" s="65"/>
      <c r="T64" s="66"/>
      <c r="U64" s="62"/>
      <c r="V64" s="84"/>
      <c r="W64" s="84"/>
      <c r="X64" s="62"/>
      <c r="Y64" s="65"/>
      <c r="Z64" s="85"/>
      <c r="AA64" s="85"/>
      <c r="AB64" s="85"/>
      <c r="AC64" s="85"/>
      <c r="AD64" s="85"/>
      <c r="AE64" s="91"/>
      <c r="AF64" s="85"/>
      <c r="AG64" s="85"/>
      <c r="AH64" s="85"/>
      <c r="AI64" s="85"/>
      <c r="AJ64" s="85"/>
      <c r="AK64" s="85"/>
      <c r="AL64" s="85"/>
      <c r="AM64" s="86"/>
      <c r="AN64" s="94"/>
      <c r="AO64" s="94"/>
      <c r="AP64" s="125" t="s">
        <v>440</v>
      </c>
      <c r="AZ64" s="62"/>
      <c r="BA64" s="62"/>
      <c r="BB64" s="62"/>
      <c r="BC64" s="62"/>
      <c r="BE64" s="113"/>
      <c r="BS64" s="114"/>
      <c r="BT64" s="114"/>
      <c r="BU64" s="66"/>
      <c r="BV64" s="81" t="str">
        <f t="shared" si="6"/>
        <v/>
      </c>
      <c r="BW64" s="90"/>
      <c r="BX64" s="90"/>
      <c r="BY64" s="90"/>
      <c r="BZ64" s="90"/>
      <c r="CA64" s="90"/>
      <c r="CB64" s="90"/>
      <c r="CC64" s="90"/>
      <c r="CD64" s="65"/>
      <c r="CL64" s="66"/>
    </row>
    <row r="65" spans="3:90" s="61" customFormat="1" x14ac:dyDescent="0.25">
      <c r="C65" s="71"/>
      <c r="D65" s="81"/>
      <c r="E65" s="82"/>
      <c r="F65" s="65"/>
      <c r="I65" s="66"/>
      <c r="J65" s="65"/>
      <c r="N65" s="65"/>
      <c r="T65" s="66"/>
      <c r="U65" s="62"/>
      <c r="V65" s="84"/>
      <c r="W65" s="84"/>
      <c r="X65" s="62"/>
      <c r="Y65" s="65"/>
      <c r="Z65" s="396" t="s">
        <v>54</v>
      </c>
      <c r="AA65" s="396" t="s">
        <v>104</v>
      </c>
      <c r="AB65" s="85"/>
      <c r="AC65" s="85"/>
      <c r="AD65" s="85"/>
      <c r="AE65" s="91"/>
      <c r="AF65" s="85"/>
      <c r="AG65" s="85"/>
      <c r="AH65" s="85"/>
      <c r="AI65" s="85"/>
      <c r="AJ65" s="85"/>
      <c r="AK65" s="85"/>
      <c r="AL65" s="85"/>
      <c r="AM65" s="86"/>
      <c r="AN65" s="94" t="s">
        <v>84</v>
      </c>
      <c r="AO65" s="94"/>
      <c r="AP65" s="125" t="s">
        <v>459</v>
      </c>
      <c r="AZ65" s="62"/>
      <c r="BA65" s="62"/>
      <c r="BB65" s="62"/>
      <c r="BC65" s="62"/>
      <c r="BE65" s="113"/>
      <c r="BS65" s="114"/>
      <c r="BT65" s="114"/>
      <c r="BU65" s="66"/>
      <c r="BV65" s="81" t="str">
        <f t="shared" si="6"/>
        <v/>
      </c>
      <c r="BW65" s="90"/>
      <c r="BX65" s="90"/>
      <c r="BY65" s="90"/>
      <c r="BZ65" s="90"/>
      <c r="CA65" s="90"/>
      <c r="CB65" s="90"/>
      <c r="CC65" s="90"/>
      <c r="CD65" s="65"/>
      <c r="CL65" s="66"/>
    </row>
    <row r="66" spans="3:90" s="61" customFormat="1" x14ac:dyDescent="0.25">
      <c r="C66" s="71"/>
      <c r="D66" s="81"/>
      <c r="E66" s="82"/>
      <c r="F66" s="65"/>
      <c r="I66" s="66"/>
      <c r="J66" s="65"/>
      <c r="N66" s="65"/>
      <c r="T66" s="66"/>
      <c r="U66" s="62"/>
      <c r="V66" s="84"/>
      <c r="W66" s="84"/>
      <c r="X66" s="62"/>
      <c r="Y66" s="65"/>
      <c r="Z66" s="91" t="s">
        <v>57</v>
      </c>
      <c r="AA66" s="93" t="s">
        <v>651</v>
      </c>
      <c r="AB66" s="85"/>
      <c r="AC66" s="85"/>
      <c r="AD66" s="85"/>
      <c r="AE66" s="91"/>
      <c r="AF66" s="85"/>
      <c r="AG66" s="85"/>
      <c r="AH66" s="85"/>
      <c r="AI66" s="85"/>
      <c r="AJ66" s="85"/>
      <c r="AK66" s="85"/>
      <c r="AL66" s="85"/>
      <c r="AM66" s="86"/>
      <c r="AN66" s="94"/>
      <c r="AO66" s="94"/>
      <c r="AP66" s="125"/>
      <c r="AZ66" s="62"/>
      <c r="BA66" s="62"/>
      <c r="BB66" s="62"/>
      <c r="BC66" s="62"/>
      <c r="BE66" s="113"/>
      <c r="BS66" s="114"/>
      <c r="BT66" s="114"/>
      <c r="BU66" s="66"/>
      <c r="BV66" s="81" t="str">
        <f t="shared" si="6"/>
        <v/>
      </c>
      <c r="BW66" s="90"/>
      <c r="BX66" s="90"/>
      <c r="BY66" s="90"/>
      <c r="BZ66" s="90"/>
      <c r="CA66" s="90"/>
      <c r="CB66" s="90"/>
      <c r="CC66" s="90"/>
      <c r="CD66" s="65"/>
      <c r="CL66" s="66"/>
    </row>
    <row r="67" spans="3:90" s="61" customFormat="1" x14ac:dyDescent="0.25">
      <c r="C67" s="71"/>
      <c r="D67" s="81"/>
      <c r="E67" s="82"/>
      <c r="F67" s="65"/>
      <c r="I67" s="66"/>
      <c r="J67" s="65"/>
      <c r="N67" s="65"/>
      <c r="T67" s="66"/>
      <c r="U67" s="62"/>
      <c r="V67" s="84"/>
      <c r="W67" s="84"/>
      <c r="X67" s="62"/>
      <c r="Y67" s="65"/>
      <c r="Z67" s="91"/>
      <c r="AA67" s="93" t="s">
        <v>650</v>
      </c>
      <c r="AB67" s="85"/>
      <c r="AC67" s="85"/>
      <c r="AD67" s="85"/>
      <c r="AE67" s="91"/>
      <c r="AF67" s="85"/>
      <c r="AG67" s="85"/>
      <c r="AH67" s="85"/>
      <c r="AI67" s="85"/>
      <c r="AJ67" s="85"/>
      <c r="AK67" s="85"/>
      <c r="AL67" s="85"/>
      <c r="AM67" s="86"/>
      <c r="AN67" s="234" t="s">
        <v>105</v>
      </c>
      <c r="AO67" s="232"/>
      <c r="AP67" s="234"/>
      <c r="AQ67" s="235"/>
      <c r="AR67" s="235"/>
      <c r="AS67" s="235"/>
      <c r="AT67" s="235"/>
      <c r="AU67" s="235"/>
      <c r="AV67" s="235"/>
      <c r="AW67" s="235"/>
      <c r="AX67" s="235"/>
      <c r="AY67" s="235"/>
      <c r="AZ67" s="236"/>
      <c r="BA67" s="236"/>
      <c r="BB67" s="236"/>
      <c r="BC67" s="236"/>
      <c r="BD67" s="235"/>
      <c r="BE67" s="113"/>
      <c r="BS67" s="114"/>
      <c r="BT67" s="114"/>
      <c r="BU67" s="66"/>
      <c r="BV67" s="81" t="str">
        <f t="shared" si="6"/>
        <v/>
      </c>
      <c r="BW67" s="90"/>
      <c r="BX67" s="90"/>
      <c r="BY67" s="90"/>
      <c r="BZ67" s="90"/>
      <c r="CA67" s="90"/>
      <c r="CB67" s="90"/>
      <c r="CC67" s="90"/>
      <c r="CD67" s="65"/>
      <c r="CL67" s="66"/>
    </row>
    <row r="68" spans="3:90" s="61" customFormat="1" x14ac:dyDescent="0.25">
      <c r="C68" s="71"/>
      <c r="D68" s="81"/>
      <c r="E68" s="82"/>
      <c r="F68" s="65"/>
      <c r="I68" s="66"/>
      <c r="J68" s="65"/>
      <c r="N68" s="65"/>
      <c r="T68" s="66"/>
      <c r="U68" s="62"/>
      <c r="V68" s="84"/>
      <c r="W68" s="84"/>
      <c r="X68" s="62"/>
      <c r="Y68" s="65"/>
      <c r="Z68" s="85"/>
      <c r="AA68" s="85"/>
      <c r="AB68" s="85"/>
      <c r="AC68" s="85"/>
      <c r="AD68" s="85"/>
      <c r="AE68" s="91"/>
      <c r="AF68" s="85"/>
      <c r="AG68" s="85"/>
      <c r="AH68" s="85"/>
      <c r="AI68" s="85"/>
      <c r="AJ68" s="85"/>
      <c r="AK68" s="85"/>
      <c r="AL68" s="85"/>
      <c r="AM68" s="86"/>
      <c r="AN68" s="232" t="s">
        <v>100</v>
      </c>
      <c r="AO68" s="232"/>
      <c r="AP68" s="235" t="s">
        <v>130</v>
      </c>
      <c r="AQ68" s="235"/>
      <c r="AR68" s="235"/>
      <c r="AS68" s="235"/>
      <c r="AT68" s="235"/>
      <c r="AU68" s="235"/>
      <c r="AV68" s="235"/>
      <c r="AW68" s="235"/>
      <c r="AX68" s="235"/>
      <c r="AY68" s="235"/>
      <c r="AZ68" s="236"/>
      <c r="BA68" s="236"/>
      <c r="BB68" s="236"/>
      <c r="BC68" s="236"/>
      <c r="BD68" s="235"/>
      <c r="BE68" s="113"/>
      <c r="BS68" s="114"/>
      <c r="BT68" s="114"/>
      <c r="BU68" s="66"/>
      <c r="BV68" s="81" t="str">
        <f t="shared" ref="BV68:BV74" si="7">IF(BW68&lt;&gt;"",IF(BW68=CB68+BZ68,"完了","未完"),"")</f>
        <v/>
      </c>
      <c r="BW68" s="90"/>
      <c r="BX68" s="90"/>
      <c r="BY68" s="90"/>
      <c r="BZ68" s="90"/>
      <c r="CA68" s="90"/>
      <c r="CB68" s="90"/>
      <c r="CC68" s="90"/>
      <c r="CD68" s="65"/>
      <c r="CL68" s="66"/>
    </row>
    <row r="69" spans="3:90" s="61" customFormat="1" x14ac:dyDescent="0.25">
      <c r="C69" s="71"/>
      <c r="D69" s="81"/>
      <c r="E69" s="82"/>
      <c r="F69" s="65"/>
      <c r="I69" s="66"/>
      <c r="J69" s="65"/>
      <c r="N69" s="65"/>
      <c r="T69" s="66"/>
      <c r="U69" s="62"/>
      <c r="V69" s="84"/>
      <c r="W69" s="84"/>
      <c r="X69" s="62"/>
      <c r="Y69" s="65"/>
      <c r="Z69" s="91"/>
      <c r="AA69" s="91"/>
      <c r="AB69" s="85"/>
      <c r="AC69" s="85"/>
      <c r="AD69" s="85"/>
      <c r="AE69" s="91"/>
      <c r="AF69" s="85"/>
      <c r="AG69" s="85"/>
      <c r="AH69" s="85"/>
      <c r="AI69" s="85"/>
      <c r="AJ69" s="85"/>
      <c r="AK69" s="85"/>
      <c r="AL69" s="85"/>
      <c r="AM69" s="86"/>
      <c r="AN69" s="232"/>
      <c r="AO69" s="232"/>
      <c r="AP69" s="234" t="s">
        <v>51</v>
      </c>
      <c r="AQ69" s="235"/>
      <c r="AR69" s="235"/>
      <c r="AS69" s="235"/>
      <c r="AT69" s="235"/>
      <c r="AU69" s="235"/>
      <c r="AV69" s="235"/>
      <c r="AW69" s="235"/>
      <c r="AX69" s="235"/>
      <c r="AY69" s="235"/>
      <c r="AZ69" s="236"/>
      <c r="BA69" s="236"/>
      <c r="BB69" s="236"/>
      <c r="BC69" s="236"/>
      <c r="BD69" s="235"/>
      <c r="BE69" s="113"/>
      <c r="BS69" s="114"/>
      <c r="BT69" s="114"/>
      <c r="BU69" s="66"/>
      <c r="BV69" s="81" t="str">
        <f t="shared" si="7"/>
        <v/>
      </c>
      <c r="BW69" s="90"/>
      <c r="BX69" s="90"/>
      <c r="BY69" s="90"/>
      <c r="BZ69" s="90"/>
      <c r="CA69" s="90"/>
      <c r="CB69" s="90"/>
      <c r="CC69" s="90"/>
      <c r="CD69" s="65"/>
      <c r="CL69" s="66"/>
    </row>
    <row r="70" spans="3:90" s="61" customFormat="1" x14ac:dyDescent="0.25">
      <c r="C70" s="71"/>
      <c r="D70" s="81"/>
      <c r="E70" s="82"/>
      <c r="F70" s="65"/>
      <c r="I70" s="66"/>
      <c r="J70" s="65"/>
      <c r="N70" s="65"/>
      <c r="T70" s="66"/>
      <c r="U70" s="62"/>
      <c r="V70" s="84"/>
      <c r="W70" s="84"/>
      <c r="X70" s="62"/>
      <c r="Y70" s="65"/>
      <c r="Z70" s="85"/>
      <c r="AA70" s="85"/>
      <c r="AB70" s="85"/>
      <c r="AC70" s="85"/>
      <c r="AD70" s="85"/>
      <c r="AE70" s="91"/>
      <c r="AF70" s="85"/>
      <c r="AG70" s="85"/>
      <c r="AH70" s="85"/>
      <c r="AI70" s="85"/>
      <c r="AJ70" s="85"/>
      <c r="AK70" s="85"/>
      <c r="AL70" s="85"/>
      <c r="AM70" s="86"/>
      <c r="AN70" s="232" t="s">
        <v>84</v>
      </c>
      <c r="AO70" s="232"/>
      <c r="AP70" s="231" t="s">
        <v>29</v>
      </c>
      <c r="AQ70" s="235"/>
      <c r="AR70" s="235"/>
      <c r="AS70" s="235"/>
      <c r="AT70" s="235"/>
      <c r="AU70" s="235"/>
      <c r="AV70" s="235"/>
      <c r="AW70" s="235"/>
      <c r="AX70" s="235"/>
      <c r="AY70" s="235"/>
      <c r="AZ70" s="236"/>
      <c r="BA70" s="236"/>
      <c r="BB70" s="236"/>
      <c r="BC70" s="236"/>
      <c r="BD70" s="235"/>
      <c r="BE70" s="113"/>
      <c r="BS70" s="114"/>
      <c r="BT70" s="114"/>
      <c r="BU70" s="66"/>
      <c r="BV70" s="81" t="str">
        <f t="shared" si="7"/>
        <v/>
      </c>
      <c r="BW70" s="90"/>
      <c r="BX70" s="90"/>
      <c r="BY70" s="90"/>
      <c r="BZ70" s="90"/>
      <c r="CA70" s="90"/>
      <c r="CB70" s="90"/>
      <c r="CC70" s="90"/>
      <c r="CD70" s="65"/>
      <c r="CL70" s="66"/>
    </row>
    <row r="71" spans="3:90" s="61" customFormat="1" x14ac:dyDescent="0.25">
      <c r="C71" s="71"/>
      <c r="D71" s="81"/>
      <c r="E71" s="82"/>
      <c r="F71" s="65"/>
      <c r="I71" s="66"/>
      <c r="J71" s="65"/>
      <c r="N71" s="65"/>
      <c r="T71" s="66"/>
      <c r="U71" s="62"/>
      <c r="V71" s="84"/>
      <c r="W71" s="84"/>
      <c r="X71" s="62"/>
      <c r="Y71" s="65"/>
      <c r="Z71" s="91"/>
      <c r="AA71" s="91"/>
      <c r="AB71" s="85"/>
      <c r="AC71" s="85"/>
      <c r="AD71" s="85"/>
      <c r="AE71" s="91"/>
      <c r="AF71" s="85"/>
      <c r="AG71" s="85"/>
      <c r="AH71" s="85"/>
      <c r="AI71" s="85"/>
      <c r="AJ71" s="85"/>
      <c r="AK71" s="85"/>
      <c r="AL71" s="85"/>
      <c r="AM71" s="86"/>
      <c r="AN71" s="232"/>
      <c r="AO71" s="232"/>
      <c r="AP71" s="234" t="s">
        <v>440</v>
      </c>
      <c r="AQ71" s="235"/>
      <c r="AR71" s="235"/>
      <c r="AS71" s="235"/>
      <c r="AT71" s="235"/>
      <c r="AU71" s="235"/>
      <c r="AV71" s="235"/>
      <c r="AW71" s="235"/>
      <c r="AX71" s="235"/>
      <c r="AY71" s="235"/>
      <c r="AZ71" s="236"/>
      <c r="BA71" s="236"/>
      <c r="BB71" s="236"/>
      <c r="BC71" s="236"/>
      <c r="BD71" s="235"/>
      <c r="BE71" s="113"/>
      <c r="BS71" s="114"/>
      <c r="BT71" s="114"/>
      <c r="BU71" s="66"/>
      <c r="BV71" s="81" t="str">
        <f t="shared" si="7"/>
        <v/>
      </c>
      <c r="BW71" s="90"/>
      <c r="BX71" s="90"/>
      <c r="BY71" s="90"/>
      <c r="BZ71" s="90"/>
      <c r="CA71" s="90"/>
      <c r="CB71" s="90"/>
      <c r="CC71" s="90"/>
      <c r="CD71" s="65"/>
      <c r="CL71" s="66"/>
    </row>
    <row r="72" spans="3:90" s="61" customFormat="1" x14ac:dyDescent="0.25">
      <c r="C72" s="71"/>
      <c r="D72" s="81"/>
      <c r="E72" s="82"/>
      <c r="F72" s="65"/>
      <c r="I72" s="66"/>
      <c r="J72" s="65"/>
      <c r="N72" s="65"/>
      <c r="T72" s="66"/>
      <c r="U72" s="62"/>
      <c r="V72" s="84"/>
      <c r="W72" s="84"/>
      <c r="X72" s="62"/>
      <c r="Y72" s="65"/>
      <c r="Z72" s="85"/>
      <c r="AA72" s="85"/>
      <c r="AB72" s="85"/>
      <c r="AC72" s="85"/>
      <c r="AD72" s="85"/>
      <c r="AE72" s="91"/>
      <c r="AF72" s="85"/>
      <c r="AG72" s="85"/>
      <c r="AH72" s="85"/>
      <c r="AI72" s="85"/>
      <c r="AJ72" s="85"/>
      <c r="AK72" s="85"/>
      <c r="AL72" s="85"/>
      <c r="AM72" s="86"/>
      <c r="AN72" s="232" t="s">
        <v>66</v>
      </c>
      <c r="AO72" s="232"/>
      <c r="AP72" s="234" t="s">
        <v>459</v>
      </c>
      <c r="AQ72" s="235"/>
      <c r="AR72" s="235"/>
      <c r="AS72" s="235"/>
      <c r="AT72" s="235"/>
      <c r="AU72" s="235"/>
      <c r="AV72" s="235"/>
      <c r="AW72" s="235"/>
      <c r="AX72" s="235"/>
      <c r="AY72" s="235"/>
      <c r="AZ72" s="236"/>
      <c r="BA72" s="236"/>
      <c r="BB72" s="236"/>
      <c r="BC72" s="236"/>
      <c r="BD72" s="235"/>
      <c r="BE72" s="113"/>
      <c r="BS72" s="114"/>
      <c r="BT72" s="114"/>
      <c r="BU72" s="66"/>
      <c r="BV72" s="81" t="str">
        <f t="shared" si="7"/>
        <v/>
      </c>
      <c r="BW72" s="90"/>
      <c r="BX72" s="90"/>
      <c r="BY72" s="90"/>
      <c r="BZ72" s="90"/>
      <c r="CA72" s="90"/>
      <c r="CB72" s="90"/>
      <c r="CC72" s="90"/>
      <c r="CD72" s="65"/>
      <c r="CL72" s="66"/>
    </row>
    <row r="73" spans="3:90" s="61" customFormat="1" x14ac:dyDescent="0.25">
      <c r="C73" s="71"/>
      <c r="D73" s="81"/>
      <c r="E73" s="82"/>
      <c r="F73" s="65"/>
      <c r="I73" s="66"/>
      <c r="J73" s="65"/>
      <c r="N73" s="65"/>
      <c r="T73" s="66"/>
      <c r="U73" s="71"/>
      <c r="V73" s="84"/>
      <c r="W73" s="84"/>
      <c r="X73" s="62"/>
      <c r="Y73" s="65"/>
      <c r="Z73" s="91"/>
      <c r="AA73" s="91"/>
      <c r="AB73" s="85"/>
      <c r="AC73" s="85"/>
      <c r="AD73" s="85"/>
      <c r="AE73" s="91"/>
      <c r="AF73" s="85"/>
      <c r="AG73" s="85"/>
      <c r="AH73" s="85"/>
      <c r="AI73" s="85"/>
      <c r="AJ73" s="85"/>
      <c r="AK73" s="85"/>
      <c r="AL73" s="85"/>
      <c r="AM73" s="86"/>
      <c r="AN73" s="94"/>
      <c r="AO73" s="94"/>
      <c r="AP73" s="125"/>
      <c r="AZ73" s="62"/>
      <c r="BA73" s="62"/>
      <c r="BB73" s="62"/>
      <c r="BC73" s="62"/>
      <c r="BE73" s="113"/>
      <c r="BS73" s="114"/>
      <c r="BT73" s="114"/>
      <c r="BU73" s="66"/>
      <c r="BV73" s="81" t="str">
        <f t="shared" si="7"/>
        <v/>
      </c>
      <c r="BW73" s="90"/>
      <c r="BX73" s="90"/>
      <c r="BY73" s="90"/>
      <c r="BZ73" s="90"/>
      <c r="CA73" s="90"/>
      <c r="CB73" s="90"/>
      <c r="CC73" s="90"/>
      <c r="CD73" s="65"/>
      <c r="CL73" s="66"/>
    </row>
    <row r="74" spans="3:90" s="61" customFormat="1" x14ac:dyDescent="0.25">
      <c r="C74" s="71"/>
      <c r="D74" s="81"/>
      <c r="E74" s="96"/>
      <c r="F74" s="65"/>
      <c r="I74" s="66"/>
      <c r="J74" s="65"/>
      <c r="N74" s="65"/>
      <c r="T74" s="66"/>
      <c r="U74" s="103"/>
      <c r="V74" s="116"/>
      <c r="W74" s="116"/>
      <c r="X74" s="105"/>
      <c r="Y74" s="101"/>
      <c r="Z74" s="127"/>
      <c r="AA74" s="127"/>
      <c r="AB74" s="127"/>
      <c r="AC74" s="127"/>
      <c r="AD74" s="127"/>
      <c r="AE74" s="228"/>
      <c r="AF74" s="127"/>
      <c r="AG74" s="127"/>
      <c r="AH74" s="127"/>
      <c r="AI74" s="127"/>
      <c r="AJ74" s="127"/>
      <c r="AK74" s="127"/>
      <c r="AL74" s="127"/>
      <c r="AM74" s="229"/>
      <c r="AN74" s="103"/>
      <c r="AO74" s="105"/>
      <c r="AP74" s="127"/>
      <c r="AQ74" s="100"/>
      <c r="AR74" s="100"/>
      <c r="AS74" s="100"/>
      <c r="AT74" s="100"/>
      <c r="AU74" s="100"/>
      <c r="AV74" s="100"/>
      <c r="AW74" s="100"/>
      <c r="AX74" s="100"/>
      <c r="AY74" s="100"/>
      <c r="AZ74" s="105"/>
      <c r="BA74" s="105"/>
      <c r="BB74" s="105"/>
      <c r="BC74" s="105"/>
      <c r="BD74" s="100"/>
      <c r="BE74" s="23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32"/>
      <c r="BT74" s="132"/>
      <c r="BU74" s="102"/>
      <c r="BV74" s="97" t="str">
        <f t="shared" si="7"/>
        <v/>
      </c>
      <c r="BW74" s="119"/>
      <c r="BX74" s="119"/>
      <c r="BY74" s="119"/>
      <c r="BZ74" s="119"/>
      <c r="CA74" s="119"/>
      <c r="CB74" s="119"/>
      <c r="CC74" s="119"/>
      <c r="CD74" s="101"/>
      <c r="CE74" s="100"/>
      <c r="CF74" s="100"/>
      <c r="CG74" s="100"/>
      <c r="CH74" s="100"/>
      <c r="CI74" s="100"/>
      <c r="CJ74" s="100"/>
      <c r="CK74" s="100"/>
      <c r="CL74" s="102"/>
    </row>
    <row r="75" spans="3:90" s="61" customFormat="1" x14ac:dyDescent="0.25">
      <c r="C75" s="71"/>
      <c r="D75" s="81"/>
      <c r="E75" s="82">
        <v>6</v>
      </c>
      <c r="F75" s="65"/>
      <c r="I75" s="66"/>
      <c r="J75" s="65"/>
      <c r="N75" s="65"/>
      <c r="T75" s="66"/>
      <c r="U75" s="34" t="s">
        <v>64</v>
      </c>
      <c r="V75" s="73" t="s">
        <v>102</v>
      </c>
      <c r="W75" s="73"/>
      <c r="X75" s="63">
        <f>BW75</f>
        <v>2</v>
      </c>
      <c r="Y75" s="72" t="s">
        <v>53</v>
      </c>
      <c r="Z75" s="68" t="s">
        <v>446</v>
      </c>
      <c r="AA75" s="68"/>
      <c r="AB75" s="74"/>
      <c r="AC75" s="74"/>
      <c r="AD75" s="85"/>
      <c r="AE75" s="91"/>
      <c r="AF75" s="85"/>
      <c r="AG75" s="85"/>
      <c r="AH75" s="85"/>
      <c r="AI75" s="85"/>
      <c r="AJ75" s="85"/>
      <c r="AK75" s="85"/>
      <c r="AL75" s="85"/>
      <c r="AM75" s="86"/>
      <c r="AN75" s="74" t="s">
        <v>103</v>
      </c>
      <c r="AO75" s="76"/>
      <c r="AP75" s="68"/>
      <c r="AZ75" s="62"/>
      <c r="BA75" s="62"/>
      <c r="BB75" s="62"/>
      <c r="BC75" s="62"/>
      <c r="BE75" s="78" t="s">
        <v>50</v>
      </c>
      <c r="BF75" s="68" t="s">
        <v>121</v>
      </c>
      <c r="BG75" s="68"/>
      <c r="BS75" s="114">
        <v>1</v>
      </c>
      <c r="BT75" s="114">
        <v>1</v>
      </c>
      <c r="BU75" s="66"/>
      <c r="BV75" s="63" t="str">
        <f>IF(BW75&lt;&gt;"",IF(BW75=CB75+BZ75,"完了","未完"),"")</f>
        <v>未完</v>
      </c>
      <c r="BW75" s="63">
        <f>SUM(BS75:BT87)</f>
        <v>2</v>
      </c>
      <c r="BX75" s="80">
        <v>0</v>
      </c>
      <c r="BY75" s="80">
        <v>0</v>
      </c>
      <c r="BZ75" s="80">
        <v>0</v>
      </c>
      <c r="CA75" s="80">
        <f>BW75-(BX75+BY75+BZ75)</f>
        <v>2</v>
      </c>
      <c r="CB75" s="80">
        <v>0</v>
      </c>
      <c r="CC75" s="80">
        <v>0</v>
      </c>
      <c r="CD75" s="65"/>
      <c r="CL75" s="66"/>
    </row>
    <row r="76" spans="3:90" s="61" customFormat="1" x14ac:dyDescent="0.25">
      <c r="C76" s="71"/>
      <c r="D76" s="81"/>
      <c r="E76" s="82"/>
      <c r="F76" s="65"/>
      <c r="I76" s="66"/>
      <c r="J76" s="65"/>
      <c r="N76" s="65"/>
      <c r="T76" s="66"/>
      <c r="U76" s="62"/>
      <c r="V76" s="84"/>
      <c r="W76" s="84"/>
      <c r="X76" s="62"/>
      <c r="Y76" s="65"/>
      <c r="Z76" s="61" t="s">
        <v>56</v>
      </c>
      <c r="AA76" s="61" t="s">
        <v>439</v>
      </c>
      <c r="AB76" s="85"/>
      <c r="AC76" s="85"/>
      <c r="AD76" s="85"/>
      <c r="AE76" s="91"/>
      <c r="AF76" s="85"/>
      <c r="AG76" s="85"/>
      <c r="AH76" s="85"/>
      <c r="AI76" s="85"/>
      <c r="AJ76" s="85"/>
      <c r="AK76" s="85"/>
      <c r="AL76" s="85"/>
      <c r="AM76" s="86"/>
      <c r="AN76" s="62" t="s">
        <v>55</v>
      </c>
      <c r="AO76" s="62"/>
      <c r="AP76" s="61" t="s">
        <v>443</v>
      </c>
      <c r="AZ76" s="62"/>
      <c r="BA76" s="62"/>
      <c r="BB76" s="62"/>
      <c r="BC76" s="62"/>
      <c r="BE76" s="113" t="s">
        <v>50</v>
      </c>
      <c r="BF76" s="95" t="s">
        <v>439</v>
      </c>
      <c r="BS76" s="114"/>
      <c r="BT76" s="114"/>
      <c r="BU76" s="66"/>
      <c r="BV76" s="81" t="str">
        <f t="shared" ref="BV76:BV83" si="8">IF(BW76&lt;&gt;"",IF(BW76=CB76+BZ76,"完了","未完"),"")</f>
        <v/>
      </c>
      <c r="BW76" s="90"/>
      <c r="BX76" s="90"/>
      <c r="BY76" s="90"/>
      <c r="BZ76" s="90"/>
      <c r="CA76" s="90"/>
      <c r="CB76" s="90"/>
      <c r="CC76" s="90"/>
      <c r="CD76" s="65"/>
      <c r="CL76" s="66"/>
    </row>
    <row r="77" spans="3:90" s="61" customFormat="1" x14ac:dyDescent="0.25">
      <c r="C77" s="71"/>
      <c r="D77" s="81"/>
      <c r="E77" s="82"/>
      <c r="F77" s="65"/>
      <c r="I77" s="66"/>
      <c r="J77" s="65"/>
      <c r="N77" s="65"/>
      <c r="T77" s="66"/>
      <c r="U77" s="62"/>
      <c r="V77" s="84"/>
      <c r="W77" s="84"/>
      <c r="X77" s="62"/>
      <c r="Y77" s="65"/>
      <c r="Z77" s="85"/>
      <c r="AA77" s="85"/>
      <c r="AB77" s="85"/>
      <c r="AC77" s="85"/>
      <c r="AD77" s="85"/>
      <c r="AE77" s="91"/>
      <c r="AF77" s="85"/>
      <c r="AG77" s="85"/>
      <c r="AH77" s="85"/>
      <c r="AI77" s="85"/>
      <c r="AJ77" s="85"/>
      <c r="AK77" s="85"/>
      <c r="AL77" s="85"/>
      <c r="AM77" s="86"/>
      <c r="AN77" s="62"/>
      <c r="AO77" s="62"/>
      <c r="AP77" s="85" t="s">
        <v>436</v>
      </c>
      <c r="AZ77" s="62"/>
      <c r="BA77" s="62"/>
      <c r="BB77" s="62"/>
      <c r="BC77" s="62"/>
      <c r="BE77" s="113"/>
      <c r="BS77" s="114"/>
      <c r="BT77" s="114"/>
      <c r="BU77" s="66"/>
      <c r="BV77" s="81" t="str">
        <f t="shared" si="8"/>
        <v/>
      </c>
      <c r="BW77" s="90"/>
      <c r="BX77" s="90"/>
      <c r="BY77" s="90"/>
      <c r="BZ77" s="90"/>
      <c r="CA77" s="90"/>
      <c r="CB77" s="90"/>
      <c r="CC77" s="90"/>
      <c r="CD77" s="65"/>
      <c r="CL77" s="66"/>
    </row>
    <row r="78" spans="3:90" s="61" customFormat="1" x14ac:dyDescent="0.25">
      <c r="C78" s="71"/>
      <c r="D78" s="81"/>
      <c r="E78" s="82"/>
      <c r="F78" s="65"/>
      <c r="I78" s="66"/>
      <c r="J78" s="65"/>
      <c r="N78" s="65"/>
      <c r="T78" s="66"/>
      <c r="U78" s="62"/>
      <c r="V78" s="84"/>
      <c r="W78" s="84"/>
      <c r="X78" s="62"/>
      <c r="Y78" s="65"/>
      <c r="Z78" s="93" t="s">
        <v>54</v>
      </c>
      <c r="AA78" s="93" t="s">
        <v>500</v>
      </c>
      <c r="AB78" s="85"/>
      <c r="AC78" s="85"/>
      <c r="AD78" s="85"/>
      <c r="AE78" s="91"/>
      <c r="AF78" s="85"/>
      <c r="AG78" s="85"/>
      <c r="AH78" s="85"/>
      <c r="AI78" s="85"/>
      <c r="AJ78" s="85"/>
      <c r="AK78" s="85"/>
      <c r="AL78" s="85"/>
      <c r="AM78" s="86"/>
      <c r="AN78" s="62" t="s">
        <v>65</v>
      </c>
      <c r="AO78" s="62"/>
      <c r="AP78" s="85" t="s">
        <v>107</v>
      </c>
      <c r="AZ78" s="62"/>
      <c r="BA78" s="62"/>
      <c r="BB78" s="62"/>
      <c r="BC78" s="62"/>
      <c r="BE78" s="113"/>
      <c r="BS78" s="114"/>
      <c r="BT78" s="114"/>
      <c r="BU78" s="66"/>
      <c r="BV78" s="81" t="str">
        <f t="shared" si="8"/>
        <v/>
      </c>
      <c r="BW78" s="90"/>
      <c r="BX78" s="90"/>
      <c r="BY78" s="90"/>
      <c r="BZ78" s="90"/>
      <c r="CA78" s="90"/>
      <c r="CB78" s="90"/>
      <c r="CC78" s="90"/>
      <c r="CD78" s="65"/>
      <c r="CL78" s="66"/>
    </row>
    <row r="79" spans="3:90" s="61" customFormat="1" x14ac:dyDescent="0.25">
      <c r="C79" s="71"/>
      <c r="D79" s="81"/>
      <c r="E79" s="82"/>
      <c r="F79" s="65"/>
      <c r="I79" s="66"/>
      <c r="J79" s="65"/>
      <c r="N79" s="65"/>
      <c r="T79" s="66"/>
      <c r="U79" s="62"/>
      <c r="V79" s="84"/>
      <c r="W79" s="84"/>
      <c r="X79" s="62"/>
      <c r="Y79" s="65"/>
      <c r="Z79" s="91"/>
      <c r="AA79" s="91"/>
      <c r="AB79" s="85"/>
      <c r="AC79" s="85"/>
      <c r="AD79" s="85"/>
      <c r="AE79" s="91"/>
      <c r="AF79" s="85"/>
      <c r="AG79" s="85"/>
      <c r="AH79" s="85"/>
      <c r="AI79" s="85"/>
      <c r="AJ79" s="85"/>
      <c r="AK79" s="85"/>
      <c r="AL79" s="85"/>
      <c r="AM79" s="86"/>
      <c r="AN79" s="94"/>
      <c r="AO79" s="62"/>
      <c r="AP79" s="85"/>
      <c r="AZ79" s="62"/>
      <c r="BA79" s="62"/>
      <c r="BB79" s="62"/>
      <c r="BC79" s="62"/>
      <c r="BE79" s="113"/>
      <c r="BS79" s="114"/>
      <c r="BT79" s="114"/>
      <c r="BU79" s="66"/>
      <c r="BV79" s="81" t="str">
        <f t="shared" si="8"/>
        <v/>
      </c>
      <c r="BW79" s="90"/>
      <c r="BX79" s="90"/>
      <c r="BY79" s="90"/>
      <c r="BZ79" s="90"/>
      <c r="CA79" s="90"/>
      <c r="CB79" s="90"/>
      <c r="CC79" s="90"/>
      <c r="CD79" s="65"/>
      <c r="CL79" s="66"/>
    </row>
    <row r="80" spans="3:90" s="61" customFormat="1" x14ac:dyDescent="0.25">
      <c r="C80" s="71"/>
      <c r="D80" s="81"/>
      <c r="E80" s="82"/>
      <c r="F80" s="65"/>
      <c r="I80" s="66"/>
      <c r="J80" s="65"/>
      <c r="N80" s="65"/>
      <c r="T80" s="66"/>
      <c r="U80" s="62"/>
      <c r="V80" s="84"/>
      <c r="W80" s="84"/>
      <c r="X80" s="62"/>
      <c r="Y80" s="65"/>
      <c r="Z80" s="85"/>
      <c r="AA80" s="85"/>
      <c r="AB80" s="85"/>
      <c r="AC80" s="85"/>
      <c r="AD80" s="85"/>
      <c r="AE80" s="91"/>
      <c r="AF80" s="85"/>
      <c r="AG80" s="85"/>
      <c r="AH80" s="85"/>
      <c r="AI80" s="85"/>
      <c r="AJ80" s="85"/>
      <c r="AK80" s="85"/>
      <c r="AL80" s="85"/>
      <c r="AM80" s="86"/>
      <c r="AN80" s="231" t="s">
        <v>105</v>
      </c>
      <c r="AO80" s="232"/>
      <c r="AP80" s="233"/>
      <c r="AQ80" s="235"/>
      <c r="AR80" s="235"/>
      <c r="AS80" s="235"/>
      <c r="AT80" s="235"/>
      <c r="AU80" s="235"/>
      <c r="AV80" s="235"/>
      <c r="AW80" s="235"/>
      <c r="AX80" s="235"/>
      <c r="AY80" s="235"/>
      <c r="AZ80" s="236"/>
      <c r="BA80" s="236"/>
      <c r="BB80" s="236"/>
      <c r="BC80" s="236"/>
      <c r="BD80" s="235"/>
      <c r="BE80" s="113"/>
      <c r="BS80" s="114"/>
      <c r="BT80" s="114"/>
      <c r="BU80" s="66"/>
      <c r="BV80" s="81" t="str">
        <f t="shared" si="8"/>
        <v/>
      </c>
      <c r="BW80" s="90"/>
      <c r="BX80" s="90"/>
      <c r="BY80" s="90"/>
      <c r="BZ80" s="90"/>
      <c r="CA80" s="90"/>
      <c r="CB80" s="90"/>
      <c r="CC80" s="90"/>
      <c r="CD80" s="65"/>
      <c r="CL80" s="66"/>
    </row>
    <row r="81" spans="3:90" s="61" customFormat="1" x14ac:dyDescent="0.25">
      <c r="C81" s="71"/>
      <c r="D81" s="81"/>
      <c r="E81" s="82"/>
      <c r="F81" s="65"/>
      <c r="I81" s="66"/>
      <c r="J81" s="65"/>
      <c r="N81" s="65"/>
      <c r="T81" s="66"/>
      <c r="U81" s="62"/>
      <c r="V81" s="84"/>
      <c r="W81" s="84"/>
      <c r="X81" s="62"/>
      <c r="Y81" s="65"/>
      <c r="Z81" s="91"/>
      <c r="AA81" s="91"/>
      <c r="AB81" s="85"/>
      <c r="AC81" s="85"/>
      <c r="AD81" s="85"/>
      <c r="AE81" s="91"/>
      <c r="AF81" s="85"/>
      <c r="AG81" s="85"/>
      <c r="AH81" s="85"/>
      <c r="AI81" s="85"/>
      <c r="AJ81" s="85"/>
      <c r="AK81" s="85"/>
      <c r="AL81" s="85"/>
      <c r="AM81" s="86"/>
      <c r="AN81" s="232" t="s">
        <v>100</v>
      </c>
      <c r="AO81" s="232"/>
      <c r="AP81" s="235" t="s">
        <v>130</v>
      </c>
      <c r="AQ81" s="235"/>
      <c r="AR81" s="235"/>
      <c r="AS81" s="235"/>
      <c r="AT81" s="235"/>
      <c r="AU81" s="235"/>
      <c r="AV81" s="235"/>
      <c r="AW81" s="235"/>
      <c r="AX81" s="235"/>
      <c r="AY81" s="235"/>
      <c r="AZ81" s="236"/>
      <c r="BA81" s="236"/>
      <c r="BB81" s="236"/>
      <c r="BC81" s="236"/>
      <c r="BD81" s="235"/>
      <c r="BE81" s="113"/>
      <c r="BS81" s="114"/>
      <c r="BT81" s="114"/>
      <c r="BU81" s="66"/>
      <c r="BV81" s="81" t="str">
        <f t="shared" si="8"/>
        <v/>
      </c>
      <c r="BW81" s="90"/>
      <c r="BX81" s="90"/>
      <c r="BY81" s="90"/>
      <c r="BZ81" s="90"/>
      <c r="CA81" s="90"/>
      <c r="CB81" s="90"/>
      <c r="CC81" s="90"/>
      <c r="CD81" s="65"/>
      <c r="CL81" s="66"/>
    </row>
    <row r="82" spans="3:90" s="61" customFormat="1" x14ac:dyDescent="0.25">
      <c r="C82" s="71"/>
      <c r="D82" s="81"/>
      <c r="E82" s="82"/>
      <c r="F82" s="65"/>
      <c r="I82" s="66"/>
      <c r="J82" s="65"/>
      <c r="N82" s="65"/>
      <c r="T82" s="66"/>
      <c r="U82" s="62"/>
      <c r="V82" s="84"/>
      <c r="W82" s="84"/>
      <c r="X82" s="62"/>
      <c r="Y82" s="65"/>
      <c r="Z82" s="85"/>
      <c r="AA82" s="85"/>
      <c r="AB82" s="85"/>
      <c r="AC82" s="85"/>
      <c r="AD82" s="85"/>
      <c r="AE82" s="91"/>
      <c r="AF82" s="85"/>
      <c r="AG82" s="85"/>
      <c r="AH82" s="85"/>
      <c r="AI82" s="85"/>
      <c r="AJ82" s="85"/>
      <c r="AK82" s="85"/>
      <c r="AL82" s="85"/>
      <c r="AM82" s="86"/>
      <c r="AN82" s="232"/>
      <c r="AO82" s="232"/>
      <c r="AP82" s="234" t="s">
        <v>51</v>
      </c>
      <c r="AQ82" s="235"/>
      <c r="AR82" s="235"/>
      <c r="AS82" s="235"/>
      <c r="AT82" s="235"/>
      <c r="AU82" s="235"/>
      <c r="AV82" s="235"/>
      <c r="AW82" s="235"/>
      <c r="AX82" s="235"/>
      <c r="AY82" s="235"/>
      <c r="AZ82" s="236"/>
      <c r="BA82" s="236"/>
      <c r="BB82" s="236"/>
      <c r="BC82" s="236"/>
      <c r="BD82" s="235"/>
      <c r="BE82" s="113"/>
      <c r="BS82" s="114"/>
      <c r="BT82" s="114"/>
      <c r="BU82" s="66"/>
      <c r="BV82" s="81" t="str">
        <f t="shared" si="8"/>
        <v/>
      </c>
      <c r="BW82" s="90"/>
      <c r="BX82" s="90"/>
      <c r="BY82" s="90"/>
      <c r="BZ82" s="90"/>
      <c r="CA82" s="90"/>
      <c r="CB82" s="90"/>
      <c r="CC82" s="90"/>
      <c r="CD82" s="65"/>
      <c r="CL82" s="66"/>
    </row>
    <row r="83" spans="3:90" s="61" customFormat="1" x14ac:dyDescent="0.25">
      <c r="C83" s="71"/>
      <c r="D83" s="81"/>
      <c r="E83" s="82"/>
      <c r="F83" s="65"/>
      <c r="I83" s="66"/>
      <c r="J83" s="65"/>
      <c r="N83" s="65"/>
      <c r="T83" s="66"/>
      <c r="U83" s="62"/>
      <c r="V83" s="84"/>
      <c r="W83" s="84"/>
      <c r="X83" s="62"/>
      <c r="Y83" s="65"/>
      <c r="Z83" s="91"/>
      <c r="AA83" s="91"/>
      <c r="AB83" s="85"/>
      <c r="AC83" s="85"/>
      <c r="AD83" s="85"/>
      <c r="AE83" s="91"/>
      <c r="AF83" s="85"/>
      <c r="AG83" s="85"/>
      <c r="AH83" s="85"/>
      <c r="AI83" s="85"/>
      <c r="AJ83" s="85"/>
      <c r="AK83" s="85"/>
      <c r="AL83" s="85"/>
      <c r="AM83" s="86"/>
      <c r="AN83" s="232" t="s">
        <v>84</v>
      </c>
      <c r="AO83" s="232"/>
      <c r="AP83" s="231" t="s">
        <v>29</v>
      </c>
      <c r="AQ83" s="235"/>
      <c r="AR83" s="235"/>
      <c r="AS83" s="235"/>
      <c r="AT83" s="235"/>
      <c r="AU83" s="235"/>
      <c r="AV83" s="235"/>
      <c r="AW83" s="235"/>
      <c r="AX83" s="235"/>
      <c r="AY83" s="235"/>
      <c r="AZ83" s="236"/>
      <c r="BA83" s="236"/>
      <c r="BB83" s="236"/>
      <c r="BC83" s="236"/>
      <c r="BD83" s="235"/>
      <c r="BE83" s="113"/>
      <c r="BS83" s="114"/>
      <c r="BT83" s="114"/>
      <c r="BU83" s="66"/>
      <c r="BV83" s="81" t="str">
        <f t="shared" si="8"/>
        <v/>
      </c>
      <c r="BW83" s="90"/>
      <c r="BX83" s="90"/>
      <c r="BY83" s="90"/>
      <c r="BZ83" s="90"/>
      <c r="CA83" s="90"/>
      <c r="CB83" s="90"/>
      <c r="CC83" s="90"/>
      <c r="CD83" s="65"/>
      <c r="CL83" s="66"/>
    </row>
    <row r="84" spans="3:90" s="61" customFormat="1" x14ac:dyDescent="0.25">
      <c r="C84" s="71"/>
      <c r="D84" s="81"/>
      <c r="E84" s="82"/>
      <c r="F84" s="65"/>
      <c r="I84" s="66"/>
      <c r="J84" s="65"/>
      <c r="N84" s="65"/>
      <c r="T84" s="66"/>
      <c r="U84" s="62"/>
      <c r="V84" s="84"/>
      <c r="W84" s="84"/>
      <c r="X84" s="62"/>
      <c r="Y84" s="65"/>
      <c r="Z84" s="85"/>
      <c r="AA84" s="85"/>
      <c r="AB84" s="85"/>
      <c r="AC84" s="85"/>
      <c r="AD84" s="85"/>
      <c r="AE84" s="91"/>
      <c r="AF84" s="85"/>
      <c r="AG84" s="85"/>
      <c r="AH84" s="85"/>
      <c r="AI84" s="85"/>
      <c r="AJ84" s="85"/>
      <c r="AK84" s="85"/>
      <c r="AL84" s="85"/>
      <c r="AM84" s="86"/>
      <c r="AN84" s="232"/>
      <c r="AO84" s="232"/>
      <c r="AP84" s="234" t="s">
        <v>440</v>
      </c>
      <c r="AQ84" s="235"/>
      <c r="AR84" s="235"/>
      <c r="AS84" s="235"/>
      <c r="AT84" s="235"/>
      <c r="AU84" s="235"/>
      <c r="AV84" s="235"/>
      <c r="AW84" s="235"/>
      <c r="AX84" s="235"/>
      <c r="AY84" s="235"/>
      <c r="AZ84" s="236"/>
      <c r="BA84" s="236"/>
      <c r="BB84" s="236"/>
      <c r="BC84" s="236"/>
      <c r="BD84" s="235"/>
      <c r="BE84" s="113"/>
      <c r="BS84" s="114"/>
      <c r="BT84" s="114"/>
      <c r="BU84" s="66"/>
      <c r="BV84" s="81" t="str">
        <f t="shared" si="6"/>
        <v/>
      </c>
      <c r="BW84" s="90"/>
      <c r="BX84" s="90"/>
      <c r="BY84" s="90"/>
      <c r="BZ84" s="90"/>
      <c r="CA84" s="90"/>
      <c r="CB84" s="90"/>
      <c r="CC84" s="90"/>
      <c r="CD84" s="65"/>
      <c r="CL84" s="66"/>
    </row>
    <row r="85" spans="3:90" s="61" customFormat="1" x14ac:dyDescent="0.25">
      <c r="C85" s="71"/>
      <c r="D85" s="81"/>
      <c r="E85" s="82"/>
      <c r="F85" s="65"/>
      <c r="I85" s="66"/>
      <c r="J85" s="65"/>
      <c r="N85" s="65"/>
      <c r="T85" s="66"/>
      <c r="U85" s="62"/>
      <c r="V85" s="84"/>
      <c r="W85" s="84"/>
      <c r="X85" s="62"/>
      <c r="Y85" s="65"/>
      <c r="Z85" s="91"/>
      <c r="AA85" s="91"/>
      <c r="AB85" s="85"/>
      <c r="AC85" s="85"/>
      <c r="AD85" s="85"/>
      <c r="AE85" s="91"/>
      <c r="AF85" s="85"/>
      <c r="AG85" s="85"/>
      <c r="AH85" s="85"/>
      <c r="AI85" s="85"/>
      <c r="AJ85" s="85"/>
      <c r="AK85" s="85"/>
      <c r="AL85" s="85"/>
      <c r="AM85" s="86"/>
      <c r="AN85" s="232" t="s">
        <v>66</v>
      </c>
      <c r="AO85" s="232"/>
      <c r="AP85" s="231" t="s">
        <v>107</v>
      </c>
      <c r="AQ85" s="235"/>
      <c r="AR85" s="235"/>
      <c r="AS85" s="235"/>
      <c r="AT85" s="235"/>
      <c r="AU85" s="235"/>
      <c r="AV85" s="235"/>
      <c r="AW85" s="235"/>
      <c r="AX85" s="235"/>
      <c r="AY85" s="235"/>
      <c r="AZ85" s="236"/>
      <c r="BA85" s="236"/>
      <c r="BB85" s="236"/>
      <c r="BC85" s="236"/>
      <c r="BD85" s="235"/>
      <c r="BE85" s="113"/>
      <c r="BS85" s="114"/>
      <c r="BT85" s="114"/>
      <c r="BU85" s="66"/>
      <c r="BV85" s="81" t="str">
        <f t="shared" si="6"/>
        <v/>
      </c>
      <c r="BW85" s="90"/>
      <c r="BX85" s="90"/>
      <c r="BY85" s="90"/>
      <c r="BZ85" s="90"/>
      <c r="CA85" s="90"/>
      <c r="CB85" s="90"/>
      <c r="CC85" s="90"/>
      <c r="CD85" s="65"/>
      <c r="CL85" s="66"/>
    </row>
    <row r="86" spans="3:90" s="61" customFormat="1" x14ac:dyDescent="0.25">
      <c r="C86" s="71"/>
      <c r="D86" s="81"/>
      <c r="E86" s="82"/>
      <c r="F86" s="65"/>
      <c r="I86" s="66"/>
      <c r="J86" s="65"/>
      <c r="N86" s="65"/>
      <c r="T86" s="66"/>
      <c r="U86" s="62"/>
      <c r="V86" s="84"/>
      <c r="W86" s="84"/>
      <c r="X86" s="62"/>
      <c r="Y86" s="65"/>
      <c r="Z86" s="85"/>
      <c r="AA86" s="85"/>
      <c r="AB86" s="85"/>
      <c r="AC86" s="85"/>
      <c r="AD86" s="85"/>
      <c r="AE86" s="91"/>
      <c r="AF86" s="85"/>
      <c r="AG86" s="85"/>
      <c r="AH86" s="85"/>
      <c r="AI86" s="85"/>
      <c r="AJ86" s="85"/>
      <c r="AK86" s="85"/>
      <c r="AL86" s="85"/>
      <c r="AM86" s="86"/>
      <c r="AN86" s="94"/>
      <c r="AO86" s="94"/>
      <c r="AP86" s="125"/>
      <c r="AZ86" s="62"/>
      <c r="BA86" s="62"/>
      <c r="BB86" s="62"/>
      <c r="BC86" s="62"/>
      <c r="BE86" s="113"/>
      <c r="BS86" s="114"/>
      <c r="BT86" s="114"/>
      <c r="BU86" s="66"/>
      <c r="BV86" s="81" t="str">
        <f t="shared" ref="BV86:BV106" si="9">IF(BW86&lt;&gt;"",IF(BW86=CB86+BZ86,"完了","未完"),"")</f>
        <v/>
      </c>
      <c r="BW86" s="90"/>
      <c r="BX86" s="90"/>
      <c r="BY86" s="90"/>
      <c r="BZ86" s="90"/>
      <c r="CA86" s="90"/>
      <c r="CB86" s="90"/>
      <c r="CC86" s="90"/>
      <c r="CD86" s="65"/>
      <c r="CL86" s="66"/>
    </row>
    <row r="87" spans="3:90" s="61" customFormat="1" x14ac:dyDescent="0.25">
      <c r="C87" s="71"/>
      <c r="D87" s="81"/>
      <c r="E87" s="82"/>
      <c r="F87" s="65"/>
      <c r="I87" s="66"/>
      <c r="J87" s="65"/>
      <c r="N87" s="65"/>
      <c r="T87" s="66"/>
      <c r="U87" s="62"/>
      <c r="V87" s="84"/>
      <c r="W87" s="84"/>
      <c r="X87" s="62"/>
      <c r="Y87" s="65"/>
      <c r="Z87" s="91"/>
      <c r="AA87" s="91"/>
      <c r="AB87" s="85"/>
      <c r="AC87" s="85"/>
      <c r="AD87" s="85"/>
      <c r="AE87" s="91"/>
      <c r="AF87" s="85"/>
      <c r="AG87" s="85"/>
      <c r="AH87" s="85"/>
      <c r="AI87" s="85"/>
      <c r="AJ87" s="85"/>
      <c r="AK87" s="85"/>
      <c r="AL87" s="85"/>
      <c r="AM87" s="86"/>
      <c r="AN87" s="92"/>
      <c r="AO87" s="62"/>
      <c r="AP87" s="85"/>
      <c r="AZ87" s="62"/>
      <c r="BA87" s="62"/>
      <c r="BB87" s="62"/>
      <c r="BC87" s="62"/>
      <c r="BE87" s="113"/>
      <c r="BS87" s="114"/>
      <c r="BT87" s="114"/>
      <c r="BU87" s="66"/>
      <c r="BV87" s="81" t="str">
        <f t="shared" si="9"/>
        <v/>
      </c>
      <c r="BW87" s="90"/>
      <c r="BX87" s="90"/>
      <c r="BY87" s="90"/>
      <c r="BZ87" s="90"/>
      <c r="CA87" s="90"/>
      <c r="CB87" s="90"/>
      <c r="CC87" s="90"/>
      <c r="CD87" s="65"/>
      <c r="CL87" s="66"/>
    </row>
    <row r="88" spans="3:90" s="61" customFormat="1" x14ac:dyDescent="0.25">
      <c r="C88" s="71"/>
      <c r="D88" s="81"/>
      <c r="E88" s="64">
        <v>7</v>
      </c>
      <c r="F88" s="65"/>
      <c r="I88" s="66"/>
      <c r="J88" s="65"/>
      <c r="N88" s="65"/>
      <c r="T88" s="66"/>
      <c r="U88" s="54" t="s">
        <v>64</v>
      </c>
      <c r="V88" s="73" t="s">
        <v>102</v>
      </c>
      <c r="W88" s="73"/>
      <c r="X88" s="63">
        <f>BW88</f>
        <v>2</v>
      </c>
      <c r="Y88" s="72" t="s">
        <v>53</v>
      </c>
      <c r="Z88" s="68" t="s">
        <v>447</v>
      </c>
      <c r="AA88" s="68"/>
      <c r="AB88" s="74"/>
      <c r="AC88" s="74"/>
      <c r="AD88" s="74"/>
      <c r="AE88" s="129"/>
      <c r="AF88" s="74"/>
      <c r="AG88" s="74"/>
      <c r="AH88" s="74"/>
      <c r="AI88" s="74"/>
      <c r="AJ88" s="74"/>
      <c r="AK88" s="74"/>
      <c r="AL88" s="74"/>
      <c r="AM88" s="75"/>
      <c r="AN88" s="237" t="s">
        <v>100</v>
      </c>
      <c r="AO88" s="227"/>
      <c r="AP88" s="121" t="s">
        <v>427</v>
      </c>
      <c r="AQ88" s="68"/>
      <c r="AR88" s="68"/>
      <c r="AS88" s="68"/>
      <c r="AT88" s="68"/>
      <c r="AU88" s="68"/>
      <c r="AV88" s="68"/>
      <c r="AW88" s="68"/>
      <c r="AX88" s="68"/>
      <c r="AY88" s="68"/>
      <c r="AZ88" s="76"/>
      <c r="BA88" s="76"/>
      <c r="BB88" s="76"/>
      <c r="BC88" s="76"/>
      <c r="BD88" s="68"/>
      <c r="BE88" s="78" t="s">
        <v>50</v>
      </c>
      <c r="BF88" s="68" t="s">
        <v>121</v>
      </c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112">
        <v>1</v>
      </c>
      <c r="BT88" s="112">
        <v>1</v>
      </c>
      <c r="BU88" s="69"/>
      <c r="BV88" s="63" t="str">
        <f>IF(BW88&lt;&gt;"",IF(BW88=CB88+BZ88,"完了","未完"),"")</f>
        <v>未完</v>
      </c>
      <c r="BW88" s="63">
        <f>SUM(BS88:BT106)</f>
        <v>2</v>
      </c>
      <c r="BX88" s="80">
        <v>0</v>
      </c>
      <c r="BY88" s="80">
        <v>0</v>
      </c>
      <c r="BZ88" s="80">
        <v>0</v>
      </c>
      <c r="CA88" s="80">
        <f>BW88-(BX88+BY88+BZ88)</f>
        <v>2</v>
      </c>
      <c r="CB88" s="80">
        <v>0</v>
      </c>
      <c r="CC88" s="80">
        <v>0</v>
      </c>
      <c r="CD88" s="67"/>
      <c r="CE88" s="68"/>
      <c r="CF88" s="68"/>
      <c r="CG88" s="68"/>
      <c r="CH88" s="68"/>
      <c r="CI88" s="68"/>
      <c r="CJ88" s="68"/>
      <c r="CK88" s="68"/>
      <c r="CL88" s="69"/>
    </row>
    <row r="89" spans="3:90" s="61" customFormat="1" x14ac:dyDescent="0.25">
      <c r="C89" s="71"/>
      <c r="D89" s="81"/>
      <c r="E89" s="82"/>
      <c r="F89" s="65"/>
      <c r="I89" s="66"/>
      <c r="J89" s="65"/>
      <c r="N89" s="65"/>
      <c r="T89" s="66"/>
      <c r="U89" s="62"/>
      <c r="V89" s="84"/>
      <c r="W89" s="84"/>
      <c r="X89" s="62"/>
      <c r="Y89" s="65"/>
      <c r="Z89" s="85" t="s">
        <v>448</v>
      </c>
      <c r="AA89" s="85"/>
      <c r="AB89" s="85"/>
      <c r="AC89" s="85"/>
      <c r="AD89" s="85"/>
      <c r="AE89" s="91"/>
      <c r="AF89" s="85"/>
      <c r="AG89" s="85"/>
      <c r="AH89" s="85"/>
      <c r="AI89" s="85"/>
      <c r="AJ89" s="85"/>
      <c r="AK89" s="85"/>
      <c r="AL89" s="85"/>
      <c r="AM89" s="86"/>
      <c r="AN89" s="94"/>
      <c r="AO89" s="94"/>
      <c r="AP89" s="95" t="s">
        <v>52</v>
      </c>
      <c r="AZ89" s="62"/>
      <c r="BA89" s="62"/>
      <c r="BB89" s="62"/>
      <c r="BC89" s="62"/>
      <c r="BE89" s="113"/>
      <c r="BF89" s="94" t="s">
        <v>53</v>
      </c>
      <c r="BG89" s="61" t="s">
        <v>450</v>
      </c>
      <c r="BS89" s="114"/>
      <c r="BT89" s="114"/>
      <c r="BU89" s="66"/>
      <c r="BV89" s="81" t="str">
        <f t="shared" si="9"/>
        <v/>
      </c>
      <c r="BW89" s="90"/>
      <c r="BX89" s="90"/>
      <c r="BY89" s="90"/>
      <c r="BZ89" s="90"/>
      <c r="CA89" s="90"/>
      <c r="CB89" s="90"/>
      <c r="CC89" s="90"/>
      <c r="CD89" s="65"/>
      <c r="CL89" s="66"/>
    </row>
    <row r="90" spans="3:90" s="61" customFormat="1" x14ac:dyDescent="0.25">
      <c r="C90" s="71"/>
      <c r="D90" s="81"/>
      <c r="E90" s="82"/>
      <c r="F90" s="65"/>
      <c r="I90" s="66"/>
      <c r="J90" s="65"/>
      <c r="N90" s="65"/>
      <c r="T90" s="66"/>
      <c r="U90" s="62"/>
      <c r="V90" s="84"/>
      <c r="W90" s="84"/>
      <c r="X90" s="62"/>
      <c r="Y90" s="65"/>
      <c r="Z90" s="85" t="s">
        <v>449</v>
      </c>
      <c r="AA90" s="85"/>
      <c r="AB90" s="85"/>
      <c r="AC90" s="85"/>
      <c r="AD90" s="85"/>
      <c r="AE90" s="91"/>
      <c r="AF90" s="85"/>
      <c r="AG90" s="85"/>
      <c r="AH90" s="85"/>
      <c r="AI90" s="85"/>
      <c r="AJ90" s="85"/>
      <c r="AK90" s="85"/>
      <c r="AL90" s="85"/>
      <c r="AM90" s="86"/>
      <c r="AN90" s="94" t="s">
        <v>84</v>
      </c>
      <c r="AO90" s="94"/>
      <c r="AP90" s="61" t="s">
        <v>135</v>
      </c>
      <c r="AQ90" s="61" t="s">
        <v>453</v>
      </c>
      <c r="AZ90" s="62"/>
      <c r="BA90" s="62"/>
      <c r="BB90" s="62"/>
      <c r="BC90" s="62"/>
      <c r="BE90" s="113"/>
      <c r="BF90" s="62" t="s">
        <v>53</v>
      </c>
      <c r="BG90" s="61" t="s">
        <v>126</v>
      </c>
      <c r="BS90" s="114"/>
      <c r="BT90" s="114"/>
      <c r="BU90" s="66"/>
      <c r="BV90" s="81" t="str">
        <f t="shared" si="9"/>
        <v/>
      </c>
      <c r="BW90" s="90"/>
      <c r="BX90" s="90"/>
      <c r="BY90" s="90"/>
      <c r="BZ90" s="90"/>
      <c r="CA90" s="90"/>
      <c r="CB90" s="90"/>
      <c r="CC90" s="90"/>
      <c r="CD90" s="65"/>
      <c r="CL90" s="66"/>
    </row>
    <row r="91" spans="3:90" s="61" customFormat="1" x14ac:dyDescent="0.25">
      <c r="C91" s="71"/>
      <c r="D91" s="81"/>
      <c r="E91" s="82"/>
      <c r="F91" s="65"/>
      <c r="I91" s="66"/>
      <c r="J91" s="65"/>
      <c r="N91" s="65"/>
      <c r="T91" s="66"/>
      <c r="U91" s="62"/>
      <c r="V91" s="84"/>
      <c r="W91" s="84"/>
      <c r="X91" s="62"/>
      <c r="Y91" s="65"/>
      <c r="AD91" s="85"/>
      <c r="AE91" s="91"/>
      <c r="AF91" s="85"/>
      <c r="AG91" s="85"/>
      <c r="AH91" s="85"/>
      <c r="AI91" s="85"/>
      <c r="AJ91" s="85"/>
      <c r="AK91" s="85"/>
      <c r="AL91" s="85"/>
      <c r="AM91" s="86"/>
      <c r="AN91" s="94"/>
      <c r="AO91" s="62"/>
      <c r="AP91" s="95" t="s">
        <v>52</v>
      </c>
      <c r="AZ91" s="62"/>
      <c r="BA91" s="62"/>
      <c r="BB91" s="62"/>
      <c r="BC91" s="62"/>
      <c r="BE91" s="113"/>
      <c r="BS91" s="114"/>
      <c r="BT91" s="114"/>
      <c r="BU91" s="66"/>
      <c r="BV91" s="81" t="str">
        <f t="shared" si="9"/>
        <v/>
      </c>
      <c r="BW91" s="90"/>
      <c r="BX91" s="90"/>
      <c r="BY91" s="90"/>
      <c r="BZ91" s="90"/>
      <c r="CA91" s="90"/>
      <c r="CB91" s="90"/>
      <c r="CC91" s="90"/>
      <c r="CD91" s="65"/>
      <c r="CL91" s="66"/>
    </row>
    <row r="92" spans="3:90" s="61" customFormat="1" x14ac:dyDescent="0.25">
      <c r="C92" s="71"/>
      <c r="D92" s="81"/>
      <c r="E92" s="82"/>
      <c r="F92" s="65"/>
      <c r="I92" s="66"/>
      <c r="J92" s="65"/>
      <c r="N92" s="65"/>
      <c r="T92" s="66"/>
      <c r="U92" s="62"/>
      <c r="V92" s="84"/>
      <c r="W92" s="84"/>
      <c r="X92" s="62"/>
      <c r="Y92" s="65"/>
      <c r="Z92" s="95" t="s">
        <v>54</v>
      </c>
      <c r="AA92" s="95" t="s">
        <v>501</v>
      </c>
      <c r="AB92" s="125"/>
      <c r="AC92" s="249"/>
      <c r="AD92" s="85"/>
      <c r="AE92" s="91"/>
      <c r="AF92" s="85"/>
      <c r="AG92" s="85"/>
      <c r="AH92" s="85"/>
      <c r="AI92" s="85"/>
      <c r="AJ92" s="85"/>
      <c r="AK92" s="85"/>
      <c r="AL92" s="85"/>
      <c r="AM92" s="86"/>
      <c r="AN92" s="85" t="s">
        <v>66</v>
      </c>
      <c r="AO92" s="94"/>
      <c r="AP92" s="95" t="s">
        <v>452</v>
      </c>
      <c r="AQ92" s="61" t="s">
        <v>450</v>
      </c>
      <c r="AZ92" s="62"/>
      <c r="BA92" s="62"/>
      <c r="BB92" s="62"/>
      <c r="BC92" s="62"/>
      <c r="BE92" s="113"/>
      <c r="BS92" s="114"/>
      <c r="BT92" s="114"/>
      <c r="BU92" s="66"/>
      <c r="BV92" s="81" t="str">
        <f t="shared" si="9"/>
        <v/>
      </c>
      <c r="BW92" s="90"/>
      <c r="BX92" s="90"/>
      <c r="BY92" s="90"/>
      <c r="BZ92" s="90"/>
      <c r="CA92" s="90"/>
      <c r="CB92" s="90"/>
      <c r="CC92" s="90"/>
      <c r="CD92" s="65"/>
      <c r="CL92" s="66"/>
    </row>
    <row r="93" spans="3:90" s="61" customFormat="1" x14ac:dyDescent="0.25">
      <c r="C93" s="71"/>
      <c r="D93" s="81"/>
      <c r="E93" s="82"/>
      <c r="F93" s="65"/>
      <c r="I93" s="66"/>
      <c r="J93" s="65"/>
      <c r="N93" s="65"/>
      <c r="T93" s="66"/>
      <c r="U93" s="62"/>
      <c r="V93" s="84"/>
      <c r="W93" s="84"/>
      <c r="X93" s="62"/>
      <c r="Y93" s="65"/>
      <c r="Z93" s="125"/>
      <c r="AA93" s="95" t="s">
        <v>50</v>
      </c>
      <c r="AB93" s="95" t="s">
        <v>502</v>
      </c>
      <c r="AC93" s="249"/>
      <c r="AD93" s="85"/>
      <c r="AE93" s="91"/>
      <c r="AF93" s="85"/>
      <c r="AG93" s="85"/>
      <c r="AH93" s="85"/>
      <c r="AI93" s="85"/>
      <c r="AJ93" s="85"/>
      <c r="AK93" s="85"/>
      <c r="AL93" s="85"/>
      <c r="AM93" s="86"/>
      <c r="AN93" s="94"/>
      <c r="AO93" s="94"/>
      <c r="AP93" s="95" t="s">
        <v>52</v>
      </c>
      <c r="AZ93" s="62"/>
      <c r="BA93" s="62"/>
      <c r="BB93" s="62"/>
      <c r="BC93" s="62"/>
      <c r="BE93" s="113"/>
      <c r="BS93" s="114"/>
      <c r="BT93" s="114"/>
      <c r="BU93" s="66"/>
      <c r="BV93" s="81" t="str">
        <f t="shared" si="9"/>
        <v/>
      </c>
      <c r="BW93" s="90"/>
      <c r="BX93" s="90"/>
      <c r="BY93" s="90"/>
      <c r="BZ93" s="90"/>
      <c r="CA93" s="90"/>
      <c r="CB93" s="90"/>
      <c r="CC93" s="90"/>
      <c r="CD93" s="65"/>
      <c r="CL93" s="66"/>
    </row>
    <row r="94" spans="3:90" s="61" customFormat="1" x14ac:dyDescent="0.25">
      <c r="C94" s="71"/>
      <c r="D94" s="81"/>
      <c r="E94" s="82"/>
      <c r="F94" s="65"/>
      <c r="I94" s="66"/>
      <c r="J94" s="65"/>
      <c r="N94" s="65"/>
      <c r="T94" s="66"/>
      <c r="U94" s="62"/>
      <c r="V94" s="84"/>
      <c r="W94" s="84"/>
      <c r="X94" s="62"/>
      <c r="Y94" s="65"/>
      <c r="Z94" s="125"/>
      <c r="AA94" s="95" t="s">
        <v>50</v>
      </c>
      <c r="AB94" s="95" t="s">
        <v>503</v>
      </c>
      <c r="AC94" s="249"/>
      <c r="AD94" s="85"/>
      <c r="AE94" s="91"/>
      <c r="AF94" s="85"/>
      <c r="AG94" s="85"/>
      <c r="AH94" s="85"/>
      <c r="AI94" s="85"/>
      <c r="AJ94" s="85"/>
      <c r="AK94" s="85"/>
      <c r="AL94" s="85"/>
      <c r="AM94" s="86"/>
      <c r="AN94" s="94" t="s">
        <v>71</v>
      </c>
      <c r="AO94" s="94"/>
      <c r="AP94" s="61" t="s">
        <v>135</v>
      </c>
      <c r="AZ94" s="62"/>
      <c r="BA94" s="62"/>
      <c r="BB94" s="62"/>
      <c r="BC94" s="62"/>
      <c r="BE94" s="113"/>
      <c r="BS94" s="114"/>
      <c r="BT94" s="114"/>
      <c r="BU94" s="66"/>
      <c r="BV94" s="81" t="str">
        <f t="shared" si="9"/>
        <v/>
      </c>
      <c r="BW94" s="90"/>
      <c r="BX94" s="90"/>
      <c r="BY94" s="90"/>
      <c r="BZ94" s="90"/>
      <c r="CA94" s="90"/>
      <c r="CB94" s="90"/>
      <c r="CC94" s="90"/>
      <c r="CD94" s="65"/>
      <c r="CL94" s="66"/>
    </row>
    <row r="95" spans="3:90" s="61" customFormat="1" x14ac:dyDescent="0.25">
      <c r="C95" s="71"/>
      <c r="D95" s="81"/>
      <c r="E95" s="82"/>
      <c r="F95" s="65"/>
      <c r="I95" s="66"/>
      <c r="J95" s="65"/>
      <c r="N95" s="65"/>
      <c r="T95" s="66"/>
      <c r="U95" s="62"/>
      <c r="V95" s="84"/>
      <c r="W95" s="84"/>
      <c r="X95" s="62"/>
      <c r="Y95" s="65"/>
      <c r="Z95" s="125"/>
      <c r="AA95" s="95" t="s">
        <v>50</v>
      </c>
      <c r="AB95" s="95" t="s">
        <v>504</v>
      </c>
      <c r="AC95" s="249"/>
      <c r="AD95" s="85"/>
      <c r="AE95" s="91"/>
      <c r="AF95" s="85"/>
      <c r="AG95" s="85"/>
      <c r="AH95" s="85"/>
      <c r="AI95" s="85"/>
      <c r="AJ95" s="85"/>
      <c r="AK95" s="85"/>
      <c r="AL95" s="85"/>
      <c r="AM95" s="86"/>
      <c r="AN95" s="94"/>
      <c r="AO95" s="94"/>
      <c r="AP95" s="95" t="s">
        <v>52</v>
      </c>
      <c r="AZ95" s="62"/>
      <c r="BA95" s="62"/>
      <c r="BB95" s="62"/>
      <c r="BC95" s="62"/>
      <c r="BE95" s="113"/>
      <c r="BS95" s="114"/>
      <c r="BT95" s="114"/>
      <c r="BU95" s="66"/>
      <c r="BV95" s="81" t="str">
        <f t="shared" si="9"/>
        <v/>
      </c>
      <c r="BW95" s="90"/>
      <c r="BX95" s="90"/>
      <c r="BY95" s="90"/>
      <c r="BZ95" s="90"/>
      <c r="CA95" s="90"/>
      <c r="CB95" s="90"/>
      <c r="CC95" s="90"/>
      <c r="CD95" s="65"/>
      <c r="CL95" s="66"/>
    </row>
    <row r="96" spans="3:90" s="61" customFormat="1" x14ac:dyDescent="0.25">
      <c r="C96" s="71"/>
      <c r="D96" s="81"/>
      <c r="E96" s="82"/>
      <c r="F96" s="65"/>
      <c r="I96" s="66"/>
      <c r="J96" s="65"/>
      <c r="N96" s="65"/>
      <c r="T96" s="66"/>
      <c r="U96" s="62"/>
      <c r="V96" s="84"/>
      <c r="W96" s="84"/>
      <c r="X96" s="62"/>
      <c r="Y96" s="65"/>
      <c r="Z96" s="95"/>
      <c r="AA96" s="95" t="s">
        <v>50</v>
      </c>
      <c r="AB96" s="95" t="s">
        <v>505</v>
      </c>
      <c r="AC96" s="250"/>
      <c r="AD96" s="85"/>
      <c r="AE96" s="91"/>
      <c r="AF96" s="85"/>
      <c r="AG96" s="85"/>
      <c r="AH96" s="85"/>
      <c r="AI96" s="85"/>
      <c r="AJ96" s="85"/>
      <c r="AK96" s="85"/>
      <c r="AL96" s="85"/>
      <c r="AM96" s="86"/>
      <c r="AN96" s="94" t="s">
        <v>72</v>
      </c>
      <c r="AO96" s="94"/>
      <c r="AP96" s="61" t="s">
        <v>131</v>
      </c>
      <c r="AZ96" s="62"/>
      <c r="BA96" s="62"/>
      <c r="BB96" s="62"/>
      <c r="BC96" s="62"/>
      <c r="BE96" s="113"/>
      <c r="BS96" s="114"/>
      <c r="BT96" s="114"/>
      <c r="BU96" s="66"/>
      <c r="BV96" s="81" t="str">
        <f t="shared" si="9"/>
        <v/>
      </c>
      <c r="BW96" s="90"/>
      <c r="BX96" s="90"/>
      <c r="BY96" s="90"/>
      <c r="BZ96" s="90"/>
      <c r="CA96" s="90"/>
      <c r="CB96" s="90"/>
      <c r="CC96" s="90"/>
      <c r="CD96" s="65"/>
      <c r="CL96" s="66"/>
    </row>
    <row r="97" spans="3:90" s="61" customFormat="1" x14ac:dyDescent="0.25">
      <c r="C97" s="71"/>
      <c r="D97" s="81"/>
      <c r="E97" s="82"/>
      <c r="F97" s="65"/>
      <c r="I97" s="66"/>
      <c r="J97" s="65"/>
      <c r="N97" s="65"/>
      <c r="T97" s="66"/>
      <c r="U97" s="62"/>
      <c r="V97" s="84"/>
      <c r="W97" s="84"/>
      <c r="X97" s="62"/>
      <c r="Y97" s="65"/>
      <c r="AB97" s="125"/>
      <c r="AC97" s="249"/>
      <c r="AD97" s="85"/>
      <c r="AE97" s="91"/>
      <c r="AF97" s="85"/>
      <c r="AG97" s="85"/>
      <c r="AH97" s="85"/>
      <c r="AI97" s="85"/>
      <c r="AJ97" s="85"/>
      <c r="AK97" s="85"/>
      <c r="AL97" s="85"/>
      <c r="AM97" s="86"/>
      <c r="AN97" s="94"/>
      <c r="AO97" s="94"/>
      <c r="AP97" s="95" t="s">
        <v>52</v>
      </c>
      <c r="AZ97" s="62"/>
      <c r="BA97" s="62"/>
      <c r="BB97" s="62"/>
      <c r="BC97" s="62"/>
      <c r="BE97" s="113"/>
      <c r="BS97" s="114"/>
      <c r="BT97" s="114"/>
      <c r="BU97" s="66"/>
      <c r="BV97" s="81" t="str">
        <f t="shared" si="9"/>
        <v/>
      </c>
      <c r="BW97" s="90"/>
      <c r="BX97" s="90"/>
      <c r="BY97" s="90"/>
      <c r="BZ97" s="90"/>
      <c r="CA97" s="90"/>
      <c r="CB97" s="90"/>
      <c r="CC97" s="90"/>
      <c r="CD97" s="65"/>
      <c r="CL97" s="66"/>
    </row>
    <row r="98" spans="3:90" s="61" customFormat="1" x14ac:dyDescent="0.25">
      <c r="C98" s="71"/>
      <c r="D98" s="81"/>
      <c r="E98" s="82"/>
      <c r="F98" s="65"/>
      <c r="I98" s="66"/>
      <c r="J98" s="65"/>
      <c r="N98" s="65"/>
      <c r="T98" s="66"/>
      <c r="U98" s="62"/>
      <c r="V98" s="84"/>
      <c r="W98" s="84"/>
      <c r="X98" s="62"/>
      <c r="Y98" s="65"/>
      <c r="Z98" s="396" t="s">
        <v>54</v>
      </c>
      <c r="AA98" s="396" t="s">
        <v>104</v>
      </c>
      <c r="AB98" s="85"/>
      <c r="AC98" s="85"/>
      <c r="AD98" s="85"/>
      <c r="AE98" s="91"/>
      <c r="AF98" s="85"/>
      <c r="AG98" s="85"/>
      <c r="AH98" s="85"/>
      <c r="AI98" s="85"/>
      <c r="AJ98" s="85"/>
      <c r="AK98" s="85"/>
      <c r="AL98" s="85"/>
      <c r="AM98" s="86"/>
      <c r="AN98" s="62" t="s">
        <v>109</v>
      </c>
      <c r="AO98" s="62"/>
      <c r="AP98" s="85" t="s">
        <v>29</v>
      </c>
      <c r="AZ98" s="62"/>
      <c r="BA98" s="62"/>
      <c r="BB98" s="62"/>
      <c r="BC98" s="62"/>
      <c r="BE98" s="113"/>
      <c r="BS98" s="114"/>
      <c r="BT98" s="114"/>
      <c r="BU98" s="66"/>
      <c r="BV98" s="81" t="str">
        <f t="shared" si="9"/>
        <v/>
      </c>
      <c r="BW98" s="90"/>
      <c r="BX98" s="90"/>
      <c r="BY98" s="90"/>
      <c r="BZ98" s="90"/>
      <c r="CA98" s="90"/>
      <c r="CB98" s="90"/>
      <c r="CC98" s="90"/>
      <c r="CD98" s="65"/>
      <c r="CL98" s="66"/>
    </row>
    <row r="99" spans="3:90" s="61" customFormat="1" x14ac:dyDescent="0.25">
      <c r="C99" s="71"/>
      <c r="D99" s="81"/>
      <c r="E99" s="82"/>
      <c r="F99" s="65"/>
      <c r="I99" s="66"/>
      <c r="J99" s="65"/>
      <c r="N99" s="65"/>
      <c r="T99" s="66"/>
      <c r="U99" s="62"/>
      <c r="V99" s="84"/>
      <c r="W99" s="84"/>
      <c r="X99" s="62"/>
      <c r="Y99" s="65"/>
      <c r="Z99" s="91" t="s">
        <v>57</v>
      </c>
      <c r="AA99" s="91" t="s">
        <v>649</v>
      </c>
      <c r="AB99" s="85"/>
      <c r="AC99" s="85"/>
      <c r="AD99" s="85"/>
      <c r="AE99" s="91"/>
      <c r="AF99" s="85"/>
      <c r="AG99" s="85"/>
      <c r="AH99" s="85"/>
      <c r="AI99" s="85"/>
      <c r="AJ99" s="85"/>
      <c r="AK99" s="85"/>
      <c r="AL99" s="85"/>
      <c r="AM99" s="86"/>
      <c r="AN99" s="94"/>
      <c r="AO99" s="94"/>
      <c r="AP99" s="95" t="s">
        <v>52</v>
      </c>
      <c r="AZ99" s="62"/>
      <c r="BA99" s="62"/>
      <c r="BB99" s="62"/>
      <c r="BC99" s="62"/>
      <c r="BE99" s="113"/>
      <c r="BS99" s="114"/>
      <c r="BT99" s="114"/>
      <c r="BU99" s="66"/>
      <c r="BV99" s="81" t="str">
        <f t="shared" si="9"/>
        <v/>
      </c>
      <c r="BW99" s="90"/>
      <c r="BX99" s="90"/>
      <c r="BY99" s="90"/>
      <c r="BZ99" s="90"/>
      <c r="CA99" s="90"/>
      <c r="CB99" s="90"/>
      <c r="CC99" s="90"/>
      <c r="CD99" s="65"/>
      <c r="CL99" s="66"/>
    </row>
    <row r="100" spans="3:90" s="61" customFormat="1" x14ac:dyDescent="0.25">
      <c r="C100" s="71"/>
      <c r="D100" s="81"/>
      <c r="E100" s="82"/>
      <c r="F100" s="65"/>
      <c r="I100" s="66"/>
      <c r="J100" s="65"/>
      <c r="N100" s="65"/>
      <c r="T100" s="66"/>
      <c r="U100" s="62"/>
      <c r="V100" s="84"/>
      <c r="W100" s="84"/>
      <c r="X100" s="62"/>
      <c r="Y100" s="65"/>
      <c r="Z100" s="85"/>
      <c r="AA100" s="85"/>
      <c r="AB100" s="85"/>
      <c r="AC100" s="85"/>
      <c r="AD100" s="85"/>
      <c r="AE100" s="91"/>
      <c r="AF100" s="85"/>
      <c r="AG100" s="85"/>
      <c r="AH100" s="85"/>
      <c r="AI100" s="85"/>
      <c r="AJ100" s="85"/>
      <c r="AK100" s="85"/>
      <c r="AL100" s="85"/>
      <c r="AM100" s="86"/>
      <c r="AN100" s="94" t="s">
        <v>110</v>
      </c>
      <c r="AO100" s="94"/>
      <c r="AP100" s="61" t="s">
        <v>131</v>
      </c>
      <c r="AZ100" s="62"/>
      <c r="BA100" s="62"/>
      <c r="BB100" s="62"/>
      <c r="BC100" s="62"/>
      <c r="BE100" s="113"/>
      <c r="BS100" s="114"/>
      <c r="BT100" s="114"/>
      <c r="BU100" s="66"/>
      <c r="BV100" s="81" t="str">
        <f t="shared" si="9"/>
        <v/>
      </c>
      <c r="BW100" s="90"/>
      <c r="BX100" s="90"/>
      <c r="BY100" s="90"/>
      <c r="BZ100" s="90"/>
      <c r="CA100" s="90"/>
      <c r="CB100" s="90"/>
      <c r="CC100" s="90"/>
      <c r="CD100" s="65"/>
      <c r="CL100" s="66"/>
    </row>
    <row r="101" spans="3:90" s="61" customFormat="1" x14ac:dyDescent="0.25">
      <c r="C101" s="71"/>
      <c r="D101" s="81"/>
      <c r="E101" s="82"/>
      <c r="F101" s="65"/>
      <c r="I101" s="66"/>
      <c r="J101" s="65"/>
      <c r="N101" s="65"/>
      <c r="T101" s="66"/>
      <c r="U101" s="62"/>
      <c r="V101" s="84"/>
      <c r="W101" s="84"/>
      <c r="X101" s="62"/>
      <c r="Y101" s="65"/>
      <c r="Z101" s="85"/>
      <c r="AA101" s="85"/>
      <c r="AB101" s="85"/>
      <c r="AC101" s="85"/>
      <c r="AD101" s="85"/>
      <c r="AE101" s="91"/>
      <c r="AF101" s="85"/>
      <c r="AG101" s="85"/>
      <c r="AH101" s="85"/>
      <c r="AI101" s="85"/>
      <c r="AJ101" s="85"/>
      <c r="AK101" s="85"/>
      <c r="AL101" s="85"/>
      <c r="AM101" s="86"/>
      <c r="AN101" s="94"/>
      <c r="AO101" s="94"/>
      <c r="AP101" s="95" t="s">
        <v>52</v>
      </c>
      <c r="AZ101" s="62"/>
      <c r="BA101" s="62"/>
      <c r="BB101" s="62"/>
      <c r="BC101" s="62"/>
      <c r="BE101" s="113"/>
      <c r="BS101" s="114"/>
      <c r="BT101" s="114"/>
      <c r="BU101" s="66"/>
      <c r="BV101" s="81" t="str">
        <f t="shared" si="9"/>
        <v/>
      </c>
      <c r="BW101" s="90"/>
      <c r="BX101" s="90"/>
      <c r="BY101" s="90"/>
      <c r="BZ101" s="90"/>
      <c r="CA101" s="90"/>
      <c r="CB101" s="90"/>
      <c r="CC101" s="90"/>
      <c r="CD101" s="65"/>
      <c r="CL101" s="66"/>
    </row>
    <row r="102" spans="3:90" s="61" customFormat="1" x14ac:dyDescent="0.25">
      <c r="C102" s="71"/>
      <c r="D102" s="81"/>
      <c r="E102" s="82"/>
      <c r="F102" s="65"/>
      <c r="I102" s="66"/>
      <c r="J102" s="65"/>
      <c r="N102" s="65"/>
      <c r="T102" s="66"/>
      <c r="U102" s="62"/>
      <c r="V102" s="84"/>
      <c r="W102" s="84"/>
      <c r="X102" s="62"/>
      <c r="Y102" s="65"/>
      <c r="Z102" s="91"/>
      <c r="AA102" s="91"/>
      <c r="AB102" s="85"/>
      <c r="AC102" s="85"/>
      <c r="AD102" s="85"/>
      <c r="AE102" s="91"/>
      <c r="AF102" s="85"/>
      <c r="AG102" s="85"/>
      <c r="AH102" s="85"/>
      <c r="AI102" s="85"/>
      <c r="AJ102" s="85"/>
      <c r="AK102" s="85"/>
      <c r="AL102" s="85"/>
      <c r="AM102" s="86"/>
      <c r="AN102" s="62" t="s">
        <v>111</v>
      </c>
      <c r="AO102" s="62"/>
      <c r="AP102" s="61" t="s">
        <v>132</v>
      </c>
      <c r="AZ102" s="62"/>
      <c r="BA102" s="62"/>
      <c r="BB102" s="62"/>
      <c r="BC102" s="62"/>
      <c r="BE102" s="113"/>
      <c r="BS102" s="114"/>
      <c r="BT102" s="114"/>
      <c r="BU102" s="66"/>
      <c r="BV102" s="81" t="str">
        <f t="shared" si="9"/>
        <v/>
      </c>
      <c r="BW102" s="90"/>
      <c r="BX102" s="90"/>
      <c r="BY102" s="90"/>
      <c r="BZ102" s="90"/>
      <c r="CA102" s="90"/>
      <c r="CB102" s="90"/>
      <c r="CC102" s="90"/>
      <c r="CD102" s="65"/>
      <c r="CL102" s="66"/>
    </row>
    <row r="103" spans="3:90" s="61" customFormat="1" x14ac:dyDescent="0.25">
      <c r="C103" s="71"/>
      <c r="D103" s="81"/>
      <c r="E103" s="82"/>
      <c r="F103" s="65"/>
      <c r="I103" s="66"/>
      <c r="J103" s="65"/>
      <c r="N103" s="65"/>
      <c r="T103" s="66"/>
      <c r="U103" s="62"/>
      <c r="V103" s="84"/>
      <c r="W103" s="84"/>
      <c r="X103" s="62"/>
      <c r="Y103" s="65"/>
      <c r="Z103" s="85"/>
      <c r="AA103" s="85"/>
      <c r="AB103" s="85"/>
      <c r="AC103" s="85"/>
      <c r="AD103" s="85"/>
      <c r="AE103" s="91"/>
      <c r="AF103" s="85"/>
      <c r="AG103" s="85"/>
      <c r="AH103" s="85"/>
      <c r="AI103" s="85"/>
      <c r="AJ103" s="85"/>
      <c r="AK103" s="85"/>
      <c r="AL103" s="85"/>
      <c r="AM103" s="86"/>
      <c r="AN103" s="62"/>
      <c r="AO103" s="62"/>
      <c r="AP103" s="95" t="s">
        <v>52</v>
      </c>
      <c r="AZ103" s="62"/>
      <c r="BA103" s="62"/>
      <c r="BB103" s="62"/>
      <c r="BC103" s="62"/>
      <c r="BE103" s="113"/>
      <c r="BS103" s="114"/>
      <c r="BT103" s="114"/>
      <c r="BU103" s="66"/>
      <c r="BV103" s="81" t="str">
        <f t="shared" si="9"/>
        <v/>
      </c>
      <c r="BW103" s="90"/>
      <c r="BX103" s="90"/>
      <c r="BY103" s="90"/>
      <c r="BZ103" s="90"/>
      <c r="CA103" s="90"/>
      <c r="CB103" s="90"/>
      <c r="CC103" s="90"/>
      <c r="CD103" s="65"/>
      <c r="CL103" s="66"/>
    </row>
    <row r="104" spans="3:90" s="61" customFormat="1" x14ac:dyDescent="0.25">
      <c r="C104" s="71"/>
      <c r="D104" s="81"/>
      <c r="E104" s="82"/>
      <c r="F104" s="65"/>
      <c r="I104" s="66"/>
      <c r="J104" s="65"/>
      <c r="N104" s="65"/>
      <c r="T104" s="66"/>
      <c r="U104" s="62"/>
      <c r="V104" s="84"/>
      <c r="W104" s="84"/>
      <c r="X104" s="62"/>
      <c r="Y104" s="65"/>
      <c r="Z104" s="85"/>
      <c r="AA104" s="85"/>
      <c r="AB104" s="85"/>
      <c r="AC104" s="85"/>
      <c r="AD104" s="85"/>
      <c r="AE104" s="91"/>
      <c r="AF104" s="85"/>
      <c r="AG104" s="85"/>
      <c r="AH104" s="85"/>
      <c r="AI104" s="85"/>
      <c r="AJ104" s="85"/>
      <c r="AK104" s="85"/>
      <c r="AL104" s="85"/>
      <c r="AM104" s="86"/>
      <c r="AN104" s="62" t="s">
        <v>141</v>
      </c>
      <c r="AO104" s="62"/>
      <c r="AP104" s="95" t="s">
        <v>452</v>
      </c>
      <c r="AQ104" s="61" t="s">
        <v>126</v>
      </c>
      <c r="AZ104" s="62"/>
      <c r="BA104" s="62"/>
      <c r="BB104" s="62"/>
      <c r="BC104" s="62"/>
      <c r="BE104" s="113"/>
      <c r="BS104" s="114"/>
      <c r="BT104" s="114"/>
      <c r="BU104" s="66"/>
      <c r="BV104" s="81"/>
      <c r="BW104" s="90"/>
      <c r="BX104" s="90"/>
      <c r="BY104" s="90"/>
      <c r="BZ104" s="90"/>
      <c r="CA104" s="90"/>
      <c r="CB104" s="90"/>
      <c r="CC104" s="90"/>
      <c r="CD104" s="65"/>
      <c r="CL104" s="66"/>
    </row>
    <row r="105" spans="3:90" s="61" customFormat="1" x14ac:dyDescent="0.25">
      <c r="C105" s="71"/>
      <c r="D105" s="81"/>
      <c r="E105" s="82"/>
      <c r="F105" s="65"/>
      <c r="I105" s="66"/>
      <c r="J105" s="65"/>
      <c r="N105" s="65"/>
      <c r="T105" s="66"/>
      <c r="U105" s="62"/>
      <c r="V105" s="84"/>
      <c r="W105" s="84"/>
      <c r="X105" s="62"/>
      <c r="Y105" s="65"/>
      <c r="Z105" s="85"/>
      <c r="AA105" s="85"/>
      <c r="AB105" s="85"/>
      <c r="AC105" s="85"/>
      <c r="AD105" s="85"/>
      <c r="AE105" s="91"/>
      <c r="AF105" s="85"/>
      <c r="AG105" s="85"/>
      <c r="AH105" s="85"/>
      <c r="AI105" s="85"/>
      <c r="AJ105" s="85"/>
      <c r="AK105" s="85"/>
      <c r="AL105" s="85"/>
      <c r="AM105" s="86"/>
      <c r="AN105" s="62"/>
      <c r="AO105" s="62"/>
      <c r="AP105" s="95"/>
      <c r="AZ105" s="62"/>
      <c r="BA105" s="62"/>
      <c r="BB105" s="62"/>
      <c r="BC105" s="62"/>
      <c r="BE105" s="113"/>
      <c r="BS105" s="114"/>
      <c r="BT105" s="114"/>
      <c r="BU105" s="66"/>
      <c r="BV105" s="81"/>
      <c r="BW105" s="90"/>
      <c r="BX105" s="90"/>
      <c r="BY105" s="90"/>
      <c r="BZ105" s="90"/>
      <c r="CA105" s="90"/>
      <c r="CB105" s="90"/>
      <c r="CC105" s="90"/>
      <c r="CD105" s="65"/>
      <c r="CL105" s="66"/>
    </row>
    <row r="106" spans="3:90" s="61" customFormat="1" x14ac:dyDescent="0.25">
      <c r="C106" s="71"/>
      <c r="D106" s="81"/>
      <c r="E106" s="82"/>
      <c r="F106" s="65"/>
      <c r="I106" s="66"/>
      <c r="J106" s="65"/>
      <c r="N106" s="65"/>
      <c r="T106" s="66"/>
      <c r="U106" s="62"/>
      <c r="V106" s="84"/>
      <c r="W106" s="84"/>
      <c r="X106" s="62"/>
      <c r="Y106" s="65"/>
      <c r="Z106" s="91"/>
      <c r="AA106" s="91"/>
      <c r="AB106" s="85"/>
      <c r="AC106" s="85"/>
      <c r="AD106" s="85"/>
      <c r="AE106" s="91"/>
      <c r="AF106" s="85"/>
      <c r="AG106" s="85"/>
      <c r="AH106" s="85"/>
      <c r="AI106" s="85"/>
      <c r="AJ106" s="85"/>
      <c r="AK106" s="85"/>
      <c r="AL106" s="85"/>
      <c r="AM106" s="86"/>
      <c r="AN106" s="92"/>
      <c r="AO106" s="62"/>
      <c r="AP106" s="85"/>
      <c r="AZ106" s="62"/>
      <c r="BA106" s="62"/>
      <c r="BB106" s="62"/>
      <c r="BC106" s="62"/>
      <c r="BE106" s="113"/>
      <c r="BS106" s="114"/>
      <c r="BT106" s="114"/>
      <c r="BU106" s="66"/>
      <c r="BV106" s="81" t="str">
        <f t="shared" si="9"/>
        <v/>
      </c>
      <c r="BW106" s="90"/>
      <c r="BX106" s="90"/>
      <c r="BY106" s="90"/>
      <c r="BZ106" s="90"/>
      <c r="CA106" s="90"/>
      <c r="CB106" s="90"/>
      <c r="CC106" s="90"/>
      <c r="CD106" s="65"/>
      <c r="CL106" s="66"/>
    </row>
    <row r="107" spans="3:90" s="61" customFormat="1" x14ac:dyDescent="0.25">
      <c r="C107" s="71"/>
      <c r="D107" s="81"/>
      <c r="E107" s="64">
        <v>8</v>
      </c>
      <c r="F107" s="65"/>
      <c r="I107" s="66"/>
      <c r="J107" s="65"/>
      <c r="N107" s="65"/>
      <c r="T107" s="66"/>
      <c r="U107" s="76" t="s">
        <v>454</v>
      </c>
      <c r="V107" s="73" t="s">
        <v>43</v>
      </c>
      <c r="W107" s="73"/>
      <c r="X107" s="63">
        <f>BW107</f>
        <v>12</v>
      </c>
      <c r="Y107" s="120" t="s">
        <v>53</v>
      </c>
      <c r="Z107" s="121" t="s">
        <v>455</v>
      </c>
      <c r="AA107" s="121"/>
      <c r="AB107" s="122"/>
      <c r="AC107" s="74"/>
      <c r="AD107" s="74"/>
      <c r="AE107" s="129"/>
      <c r="AF107" s="74"/>
      <c r="AG107" s="74"/>
      <c r="AH107" s="74"/>
      <c r="AI107" s="74"/>
      <c r="AJ107" s="74"/>
      <c r="AK107" s="74"/>
      <c r="AL107" s="74"/>
      <c r="AM107" s="75"/>
      <c r="AN107" s="72"/>
      <c r="AO107" s="76"/>
      <c r="AP107" s="74" t="s">
        <v>643</v>
      </c>
      <c r="AQ107" s="68"/>
      <c r="AR107" s="68"/>
      <c r="AS107" s="68"/>
      <c r="AT107" s="68"/>
      <c r="AU107" s="68"/>
      <c r="AV107" s="68"/>
      <c r="AW107" s="68"/>
      <c r="AX107" s="68"/>
      <c r="AY107" s="68"/>
      <c r="AZ107" s="76"/>
      <c r="BA107" s="76"/>
      <c r="BB107" s="76"/>
      <c r="BC107" s="76"/>
      <c r="BD107" s="332"/>
      <c r="BE107" s="78" t="s">
        <v>50</v>
      </c>
      <c r="BF107" s="68" t="s">
        <v>469</v>
      </c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112">
        <v>6</v>
      </c>
      <c r="BT107" s="112">
        <v>6</v>
      </c>
      <c r="BU107" s="69"/>
      <c r="BV107" s="63" t="str">
        <f>IF(BW107&lt;&gt;"",IF(BW107=CB107+BZ107,"完了","未完"),"")</f>
        <v>未完</v>
      </c>
      <c r="BW107" s="63">
        <f>SUM(BS107:BT109)</f>
        <v>12</v>
      </c>
      <c r="BX107" s="80">
        <v>0</v>
      </c>
      <c r="BY107" s="80">
        <v>0</v>
      </c>
      <c r="BZ107" s="80">
        <v>0</v>
      </c>
      <c r="CA107" s="80">
        <f>BW107-(BX107+BY107+BZ107)</f>
        <v>12</v>
      </c>
      <c r="CB107" s="80">
        <v>0</v>
      </c>
      <c r="CC107" s="80">
        <v>0</v>
      </c>
      <c r="CD107" s="67"/>
      <c r="CE107" s="68"/>
      <c r="CF107" s="68"/>
      <c r="CG107" s="68"/>
      <c r="CH107" s="68"/>
      <c r="CI107" s="68"/>
      <c r="CJ107" s="68"/>
      <c r="CK107" s="68"/>
      <c r="CL107" s="69"/>
    </row>
    <row r="108" spans="3:90" s="61" customFormat="1" x14ac:dyDescent="0.25">
      <c r="C108" s="71"/>
      <c r="D108" s="81"/>
      <c r="E108" s="82"/>
      <c r="F108" s="65"/>
      <c r="I108" s="66"/>
      <c r="J108" s="65"/>
      <c r="N108" s="65"/>
      <c r="T108" s="66"/>
      <c r="U108" s="62"/>
      <c r="V108" s="84"/>
      <c r="W108" s="84"/>
      <c r="X108" s="62"/>
      <c r="Y108" s="65"/>
      <c r="AD108" s="85"/>
      <c r="AE108" s="91"/>
      <c r="AF108" s="85"/>
      <c r="AG108" s="85"/>
      <c r="AH108" s="85"/>
      <c r="AI108" s="85"/>
      <c r="AJ108" s="85"/>
      <c r="AK108" s="85"/>
      <c r="AL108" s="85"/>
      <c r="AM108" s="86"/>
      <c r="AN108" s="92"/>
      <c r="AO108" s="94"/>
      <c r="AP108" s="125"/>
      <c r="AZ108" s="62"/>
      <c r="BA108" s="62"/>
      <c r="BB108" s="62"/>
      <c r="BC108" s="62"/>
      <c r="BD108" s="238"/>
      <c r="BE108" s="113"/>
      <c r="BS108" s="114"/>
      <c r="BT108" s="114"/>
      <c r="BU108" s="66"/>
      <c r="BV108" s="81" t="str">
        <f t="shared" ref="BV108:BV114" si="10">IF(BW108&lt;&gt;"",IF(BW108=CB108+BZ108,"完了","未完"),"")</f>
        <v/>
      </c>
      <c r="BW108" s="90"/>
      <c r="BX108" s="90"/>
      <c r="BY108" s="90"/>
      <c r="BZ108" s="90"/>
      <c r="CA108" s="90"/>
      <c r="CB108" s="90"/>
      <c r="CC108" s="90"/>
      <c r="CD108" s="65"/>
      <c r="CL108" s="66"/>
    </row>
    <row r="109" spans="3:90" s="61" customFormat="1" x14ac:dyDescent="0.25">
      <c r="C109" s="71"/>
      <c r="D109" s="81"/>
      <c r="E109" s="96"/>
      <c r="F109" s="65"/>
      <c r="I109" s="66"/>
      <c r="J109" s="65"/>
      <c r="N109" s="65"/>
      <c r="T109" s="66"/>
      <c r="U109" s="62"/>
      <c r="V109" s="84"/>
      <c r="W109" s="84"/>
      <c r="X109" s="62"/>
      <c r="Y109" s="65"/>
      <c r="Z109" s="91"/>
      <c r="AA109" s="91"/>
      <c r="AB109" s="85"/>
      <c r="AC109" s="85"/>
      <c r="AD109" s="85"/>
      <c r="AE109" s="91"/>
      <c r="AF109" s="85"/>
      <c r="AG109" s="85"/>
      <c r="AH109" s="85"/>
      <c r="AI109" s="85"/>
      <c r="AJ109" s="85"/>
      <c r="AK109" s="85"/>
      <c r="AL109" s="85"/>
      <c r="AM109" s="86"/>
      <c r="AN109" s="92"/>
      <c r="AO109" s="62"/>
      <c r="AP109" s="85"/>
      <c r="AZ109" s="62"/>
      <c r="BA109" s="62"/>
      <c r="BB109" s="62"/>
      <c r="BC109" s="105"/>
      <c r="BD109" s="100"/>
      <c r="BE109" s="23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32"/>
      <c r="BT109" s="132"/>
      <c r="BU109" s="102"/>
      <c r="BV109" s="97" t="str">
        <f t="shared" si="10"/>
        <v/>
      </c>
      <c r="BW109" s="119"/>
      <c r="BX109" s="119"/>
      <c r="BY109" s="119"/>
      <c r="BZ109" s="119"/>
      <c r="CA109" s="119"/>
      <c r="CB109" s="119"/>
      <c r="CC109" s="119"/>
      <c r="CD109" s="101"/>
      <c r="CE109" s="100"/>
      <c r="CF109" s="100"/>
      <c r="CG109" s="100"/>
      <c r="CH109" s="100"/>
      <c r="CI109" s="100"/>
      <c r="CJ109" s="100"/>
      <c r="CK109" s="100"/>
      <c r="CL109" s="102"/>
    </row>
    <row r="110" spans="3:90" s="61" customFormat="1" x14ac:dyDescent="0.25">
      <c r="C110" s="71"/>
      <c r="D110" s="81"/>
      <c r="E110" s="82">
        <v>9</v>
      </c>
      <c r="F110" s="65"/>
      <c r="I110" s="66"/>
      <c r="J110" s="65"/>
      <c r="N110" s="65"/>
      <c r="T110" s="66"/>
      <c r="U110" s="76" t="s">
        <v>454</v>
      </c>
      <c r="V110" s="73" t="s">
        <v>43</v>
      </c>
      <c r="W110" s="73"/>
      <c r="X110" s="63">
        <f>BW110</f>
        <v>2</v>
      </c>
      <c r="Y110" s="120" t="s">
        <v>53</v>
      </c>
      <c r="Z110" s="121" t="s">
        <v>511</v>
      </c>
      <c r="AA110" s="121"/>
      <c r="AB110" s="122"/>
      <c r="AC110" s="122"/>
      <c r="AD110" s="122"/>
      <c r="AE110" s="122"/>
      <c r="AF110" s="122"/>
      <c r="AG110" s="122"/>
      <c r="AH110" s="122"/>
      <c r="AI110" s="74"/>
      <c r="AJ110" s="74"/>
      <c r="AK110" s="74"/>
      <c r="AL110" s="74"/>
      <c r="AM110" s="75"/>
      <c r="AN110" s="122" t="s">
        <v>100</v>
      </c>
      <c r="AO110" s="227"/>
      <c r="AP110" s="121" t="s">
        <v>116</v>
      </c>
      <c r="AQ110" s="68"/>
      <c r="AR110" s="68"/>
      <c r="AS110" s="68"/>
      <c r="AT110" s="68"/>
      <c r="AU110" s="68"/>
      <c r="AV110" s="68"/>
      <c r="AW110" s="68"/>
      <c r="AX110" s="68"/>
      <c r="AY110" s="68"/>
      <c r="AZ110" s="76"/>
      <c r="BA110" s="76"/>
      <c r="BB110" s="76"/>
      <c r="BC110" s="62"/>
      <c r="BD110" s="238"/>
      <c r="BE110" s="78" t="s">
        <v>50</v>
      </c>
      <c r="BF110" s="68" t="s">
        <v>121</v>
      </c>
      <c r="BS110" s="114">
        <v>1</v>
      </c>
      <c r="BT110" s="114">
        <v>1</v>
      </c>
      <c r="BU110" s="66"/>
      <c r="BV110" s="63" t="str">
        <f>IF(BW110&lt;&gt;"",IF(BW110=CB110+BZ110,"完了","未完"),"")</f>
        <v>未完</v>
      </c>
      <c r="BW110" s="63">
        <f>SUM(BS110:BT115)</f>
        <v>2</v>
      </c>
      <c r="BX110" s="80">
        <v>0</v>
      </c>
      <c r="BY110" s="80">
        <v>0</v>
      </c>
      <c r="BZ110" s="80">
        <v>0</v>
      </c>
      <c r="CA110" s="80">
        <f>BW110-(BX110+BY110+BZ110)</f>
        <v>2</v>
      </c>
      <c r="CB110" s="80">
        <v>0</v>
      </c>
      <c r="CC110" s="80">
        <v>0</v>
      </c>
      <c r="CD110" s="67"/>
      <c r="CE110" s="68"/>
      <c r="CF110" s="68"/>
      <c r="CG110" s="68"/>
      <c r="CH110" s="68"/>
      <c r="CI110" s="68"/>
      <c r="CJ110" s="68"/>
      <c r="CK110" s="68"/>
      <c r="CL110" s="69"/>
    </row>
    <row r="111" spans="3:90" s="61" customFormat="1" x14ac:dyDescent="0.25">
      <c r="C111" s="71"/>
      <c r="D111" s="81"/>
      <c r="E111" s="82"/>
      <c r="F111" s="65"/>
      <c r="I111" s="66"/>
      <c r="J111" s="65"/>
      <c r="N111" s="65"/>
      <c r="T111" s="66"/>
      <c r="U111" s="71"/>
      <c r="V111" s="84"/>
      <c r="W111" s="84"/>
      <c r="X111" s="62"/>
      <c r="Y111" s="71"/>
      <c r="Z111" s="62" t="s">
        <v>50</v>
      </c>
      <c r="AA111" s="95" t="s">
        <v>23</v>
      </c>
      <c r="AB111" s="125"/>
      <c r="AC111" s="125"/>
      <c r="AD111" s="125"/>
      <c r="AE111" s="125"/>
      <c r="AF111" s="125"/>
      <c r="AG111" s="125"/>
      <c r="AH111" s="125"/>
      <c r="AI111" s="85"/>
      <c r="AJ111" s="85"/>
      <c r="AK111" s="85"/>
      <c r="AL111" s="85"/>
      <c r="AM111" s="86"/>
      <c r="AN111" s="94"/>
      <c r="AO111" s="94"/>
      <c r="AP111" s="95" t="s">
        <v>51</v>
      </c>
      <c r="AZ111" s="62"/>
      <c r="BA111" s="62"/>
      <c r="BB111" s="62"/>
      <c r="BC111" s="62"/>
      <c r="BD111" s="238"/>
      <c r="BE111" s="113"/>
      <c r="BS111" s="114"/>
      <c r="BT111" s="114"/>
      <c r="BU111" s="66"/>
      <c r="BV111" s="81" t="str">
        <f t="shared" si="10"/>
        <v/>
      </c>
      <c r="BW111" s="90"/>
      <c r="BX111" s="90"/>
      <c r="BY111" s="90"/>
      <c r="BZ111" s="90"/>
      <c r="CA111" s="90"/>
      <c r="CB111" s="90"/>
      <c r="CC111" s="90"/>
      <c r="CD111" s="65"/>
      <c r="CL111" s="66"/>
    </row>
    <row r="112" spans="3:90" s="61" customFormat="1" x14ac:dyDescent="0.25">
      <c r="C112" s="71"/>
      <c r="D112" s="81"/>
      <c r="E112" s="82"/>
      <c r="F112" s="65"/>
      <c r="I112" s="66"/>
      <c r="J112" s="65"/>
      <c r="N112" s="65"/>
      <c r="T112" s="66"/>
      <c r="U112" s="71"/>
      <c r="V112" s="84"/>
      <c r="W112" s="84"/>
      <c r="X112" s="62"/>
      <c r="Y112" s="92" t="s">
        <v>53</v>
      </c>
      <c r="Z112" s="125" t="s">
        <v>456</v>
      </c>
      <c r="AB112" s="125"/>
      <c r="AC112" s="125"/>
      <c r="AD112" s="125"/>
      <c r="AE112" s="125"/>
      <c r="AF112" s="125"/>
      <c r="AG112" s="125"/>
      <c r="AH112" s="125"/>
      <c r="AI112" s="85"/>
      <c r="AJ112" s="85"/>
      <c r="AK112" s="85"/>
      <c r="AL112" s="85"/>
      <c r="AM112" s="86"/>
      <c r="AN112" s="94" t="s">
        <v>84</v>
      </c>
      <c r="AO112" s="94"/>
      <c r="AP112" s="125" t="s">
        <v>458</v>
      </c>
      <c r="AZ112" s="62"/>
      <c r="BA112" s="62"/>
      <c r="BB112" s="62"/>
      <c r="BC112" s="62"/>
      <c r="BD112" s="238"/>
      <c r="BE112" s="113"/>
      <c r="BS112" s="114"/>
      <c r="BT112" s="114"/>
      <c r="BU112" s="66"/>
      <c r="BV112" s="81" t="str">
        <f t="shared" si="10"/>
        <v/>
      </c>
      <c r="BW112" s="90"/>
      <c r="BX112" s="90"/>
      <c r="BY112" s="90"/>
      <c r="BZ112" s="90"/>
      <c r="CA112" s="90"/>
      <c r="CB112" s="90"/>
      <c r="CC112" s="90"/>
      <c r="CD112" s="65"/>
      <c r="CL112" s="66"/>
    </row>
    <row r="113" spans="3:90" s="61" customFormat="1" x14ac:dyDescent="0.25">
      <c r="C113" s="71"/>
      <c r="D113" s="81"/>
      <c r="E113" s="82"/>
      <c r="F113" s="65"/>
      <c r="I113" s="66"/>
      <c r="J113" s="65"/>
      <c r="N113" s="65"/>
      <c r="T113" s="66"/>
      <c r="U113" s="62"/>
      <c r="V113" s="84"/>
      <c r="W113" s="84"/>
      <c r="X113" s="62"/>
      <c r="Y113" s="124"/>
      <c r="Z113" s="93" t="s">
        <v>54</v>
      </c>
      <c r="AA113" s="93" t="s">
        <v>457</v>
      </c>
      <c r="AB113" s="125"/>
      <c r="AC113" s="125"/>
      <c r="AD113" s="125"/>
      <c r="AE113" s="125"/>
      <c r="AF113" s="125"/>
      <c r="AG113" s="125"/>
      <c r="AH113" s="125"/>
      <c r="AI113" s="85"/>
      <c r="AJ113" s="85"/>
      <c r="AK113" s="85"/>
      <c r="AL113" s="85"/>
      <c r="AM113" s="86"/>
      <c r="AN113" s="94"/>
      <c r="AO113" s="94"/>
      <c r="AP113" s="125"/>
      <c r="AZ113" s="62"/>
      <c r="BA113" s="62"/>
      <c r="BB113" s="62"/>
      <c r="BC113" s="62"/>
      <c r="BE113" s="113"/>
      <c r="BS113" s="114"/>
      <c r="BT113" s="114"/>
      <c r="BU113" s="66"/>
      <c r="BV113" s="81"/>
      <c r="BW113" s="90"/>
      <c r="BX113" s="90"/>
      <c r="BY113" s="90"/>
      <c r="BZ113" s="90"/>
      <c r="CA113" s="90"/>
      <c r="CB113" s="90"/>
      <c r="CC113" s="90"/>
      <c r="CD113" s="65"/>
      <c r="CL113" s="66"/>
    </row>
    <row r="114" spans="3:90" s="61" customFormat="1" x14ac:dyDescent="0.25">
      <c r="C114" s="71"/>
      <c r="D114" s="81"/>
      <c r="E114" s="82"/>
      <c r="F114" s="65"/>
      <c r="I114" s="66"/>
      <c r="J114" s="65"/>
      <c r="N114" s="65"/>
      <c r="T114" s="66"/>
      <c r="U114" s="62"/>
      <c r="V114" s="84"/>
      <c r="W114" s="84"/>
      <c r="X114" s="62"/>
      <c r="Y114" s="65"/>
      <c r="AA114" s="125"/>
      <c r="AB114" s="125"/>
      <c r="AC114" s="125"/>
      <c r="AD114" s="125"/>
      <c r="AE114" s="125"/>
      <c r="AF114" s="125"/>
      <c r="AG114" s="125"/>
      <c r="AH114" s="125"/>
      <c r="AI114" s="85"/>
      <c r="AJ114" s="85"/>
      <c r="AK114" s="85"/>
      <c r="AL114" s="85"/>
      <c r="AM114" s="86"/>
      <c r="AN114" s="94"/>
      <c r="AO114" s="94"/>
      <c r="AP114" s="125"/>
      <c r="AZ114" s="62"/>
      <c r="BA114" s="62"/>
      <c r="BB114" s="62"/>
      <c r="BC114" s="62"/>
      <c r="BE114" s="113"/>
      <c r="BS114" s="114"/>
      <c r="BT114" s="114"/>
      <c r="BU114" s="66"/>
      <c r="BV114" s="81" t="str">
        <f t="shared" si="10"/>
        <v/>
      </c>
      <c r="BW114" s="90"/>
      <c r="BX114" s="90"/>
      <c r="BY114" s="90"/>
      <c r="BZ114" s="90"/>
      <c r="CA114" s="90"/>
      <c r="CB114" s="90"/>
      <c r="CC114" s="90"/>
      <c r="CD114" s="65"/>
      <c r="CL114" s="66"/>
    </row>
    <row r="115" spans="3:90" s="61" customFormat="1" x14ac:dyDescent="0.25">
      <c r="C115" s="71"/>
      <c r="D115" s="81"/>
      <c r="E115" s="82"/>
      <c r="F115" s="65"/>
      <c r="I115" s="66"/>
      <c r="J115" s="65"/>
      <c r="N115" s="65"/>
      <c r="T115" s="66"/>
      <c r="U115" s="62"/>
      <c r="V115" s="84"/>
      <c r="W115" s="84"/>
      <c r="X115" s="62"/>
      <c r="Y115" s="65"/>
      <c r="Z115" s="91"/>
      <c r="AA115" s="91"/>
      <c r="AB115" s="85"/>
      <c r="AC115" s="85"/>
      <c r="AD115" s="85"/>
      <c r="AE115" s="91"/>
      <c r="AF115" s="85"/>
      <c r="AG115" s="85"/>
      <c r="AH115" s="85"/>
      <c r="AI115" s="85"/>
      <c r="AJ115" s="85"/>
      <c r="AK115" s="85"/>
      <c r="AL115" s="85"/>
      <c r="AM115" s="86"/>
      <c r="AN115" s="92"/>
      <c r="AO115" s="62"/>
      <c r="AP115" s="85"/>
      <c r="AZ115" s="62"/>
      <c r="BA115" s="62"/>
      <c r="BB115" s="62"/>
      <c r="BC115" s="62"/>
      <c r="BE115" s="113"/>
      <c r="BS115" s="114"/>
      <c r="BT115" s="114"/>
      <c r="BU115" s="66"/>
      <c r="BV115" s="81" t="str">
        <f t="shared" si="6"/>
        <v/>
      </c>
      <c r="BW115" s="90"/>
      <c r="BX115" s="90"/>
      <c r="BY115" s="90"/>
      <c r="BZ115" s="90"/>
      <c r="CA115" s="90"/>
      <c r="CB115" s="90"/>
      <c r="CC115" s="90"/>
      <c r="CD115" s="65"/>
      <c r="CL115" s="66"/>
    </row>
    <row r="116" spans="3:90" s="61" customFormat="1" x14ac:dyDescent="0.25">
      <c r="C116" s="62"/>
      <c r="D116" s="63">
        <v>110</v>
      </c>
      <c r="E116" s="64">
        <v>1</v>
      </c>
      <c r="F116" s="65"/>
      <c r="I116" s="66"/>
      <c r="J116" s="65"/>
      <c r="N116" s="67" t="s">
        <v>128</v>
      </c>
      <c r="O116" s="68"/>
      <c r="P116" s="68"/>
      <c r="Q116" s="68"/>
      <c r="R116" s="68"/>
      <c r="S116" s="68"/>
      <c r="T116" s="70"/>
      <c r="U116" s="72" t="s">
        <v>63</v>
      </c>
      <c r="V116" s="73" t="s">
        <v>43</v>
      </c>
      <c r="W116" s="73"/>
      <c r="X116" s="63">
        <f>BW116</f>
        <v>18</v>
      </c>
      <c r="Y116" s="120" t="s">
        <v>50</v>
      </c>
      <c r="Z116" s="121" t="s">
        <v>148</v>
      </c>
      <c r="AA116" s="121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3"/>
      <c r="AN116" s="72" t="s">
        <v>100</v>
      </c>
      <c r="AO116" s="76"/>
      <c r="AP116" s="35" t="s">
        <v>116</v>
      </c>
      <c r="AQ116" s="68"/>
      <c r="AR116" s="68"/>
      <c r="AS116" s="68"/>
      <c r="AT116" s="68"/>
      <c r="AU116" s="68"/>
      <c r="AV116" s="68"/>
      <c r="AW116" s="68"/>
      <c r="AX116" s="74"/>
      <c r="AY116" s="74"/>
      <c r="AZ116" s="76"/>
      <c r="BA116" s="76"/>
      <c r="BB116" s="76"/>
      <c r="BC116" s="76"/>
      <c r="BD116" s="74"/>
      <c r="BE116" s="78" t="s">
        <v>50</v>
      </c>
      <c r="BF116" s="68" t="s">
        <v>21</v>
      </c>
      <c r="BG116" s="68"/>
      <c r="BH116" s="68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9">
        <v>18</v>
      </c>
      <c r="BT116" s="79">
        <v>0</v>
      </c>
      <c r="BU116" s="75"/>
      <c r="BV116" s="63" t="str">
        <f t="shared" si="5"/>
        <v>未完</v>
      </c>
      <c r="BW116" s="63">
        <f>SUM(BS116:BT128)</f>
        <v>18</v>
      </c>
      <c r="BX116" s="80">
        <v>0</v>
      </c>
      <c r="BY116" s="80">
        <v>0</v>
      </c>
      <c r="BZ116" s="80">
        <v>0</v>
      </c>
      <c r="CA116" s="80">
        <f>BW116-(BX116+BY116+BZ116)</f>
        <v>18</v>
      </c>
      <c r="CB116" s="80">
        <v>0</v>
      </c>
      <c r="CC116" s="80">
        <v>0</v>
      </c>
      <c r="CD116" s="67"/>
      <c r="CE116" s="68"/>
      <c r="CF116" s="68"/>
      <c r="CG116" s="68"/>
      <c r="CH116" s="68"/>
      <c r="CI116" s="68"/>
      <c r="CJ116" s="68"/>
      <c r="CK116" s="68"/>
      <c r="CL116" s="69"/>
    </row>
    <row r="117" spans="3:90" s="61" customFormat="1" x14ac:dyDescent="0.25">
      <c r="C117" s="62"/>
      <c r="D117" s="81"/>
      <c r="E117" s="82"/>
      <c r="F117" s="65"/>
      <c r="I117" s="66"/>
      <c r="J117" s="65"/>
      <c r="M117" s="66"/>
      <c r="N117" s="65"/>
      <c r="T117" s="83"/>
      <c r="U117" s="62"/>
      <c r="V117" s="84"/>
      <c r="W117" s="84"/>
      <c r="X117" s="62"/>
      <c r="Y117" s="92" t="s">
        <v>53</v>
      </c>
      <c r="Z117" s="95" t="s">
        <v>548</v>
      </c>
      <c r="AA117" s="9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6"/>
      <c r="AN117" s="71"/>
      <c r="AO117" s="62"/>
      <c r="AP117" s="85" t="s">
        <v>51</v>
      </c>
      <c r="AX117" s="85"/>
      <c r="AY117" s="85"/>
      <c r="AZ117" s="62"/>
      <c r="BA117" s="62"/>
      <c r="BB117" s="62"/>
      <c r="BC117" s="62"/>
      <c r="BD117" s="85"/>
      <c r="BE117" s="113" t="s">
        <v>50</v>
      </c>
      <c r="BF117" s="61" t="s">
        <v>134</v>
      </c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8"/>
      <c r="BT117" s="88"/>
      <c r="BU117" s="86"/>
      <c r="BV117" s="81"/>
      <c r="BW117" s="81"/>
      <c r="BX117" s="89"/>
      <c r="BY117" s="89"/>
      <c r="BZ117" s="89"/>
      <c r="CA117" s="89"/>
      <c r="CB117" s="89"/>
      <c r="CC117" s="89"/>
      <c r="CD117" s="65"/>
      <c r="CL117" s="66"/>
    </row>
    <row r="118" spans="3:90" s="61" customFormat="1" x14ac:dyDescent="0.25">
      <c r="C118" s="62"/>
      <c r="D118" s="81"/>
      <c r="E118" s="82"/>
      <c r="F118" s="65"/>
      <c r="I118" s="66"/>
      <c r="J118" s="65"/>
      <c r="M118" s="66"/>
      <c r="N118" s="65"/>
      <c r="T118" s="83"/>
      <c r="U118" s="62"/>
      <c r="V118" s="84"/>
      <c r="W118" s="84"/>
      <c r="X118" s="62"/>
      <c r="Y118" s="92"/>
      <c r="Z118" s="95" t="s">
        <v>57</v>
      </c>
      <c r="AA118" s="85" t="s">
        <v>549</v>
      </c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6"/>
      <c r="AN118" s="71" t="s">
        <v>84</v>
      </c>
      <c r="AO118" s="62"/>
      <c r="AP118" s="85" t="s">
        <v>129</v>
      </c>
      <c r="AQ118" s="61" t="s">
        <v>74</v>
      </c>
      <c r="AS118" s="61" t="s">
        <v>402</v>
      </c>
      <c r="AX118" s="85"/>
      <c r="AY118" s="85"/>
      <c r="AZ118" s="62"/>
      <c r="BA118" s="62"/>
      <c r="BB118" s="62"/>
      <c r="BC118" s="62"/>
      <c r="BD118" s="85"/>
      <c r="BE118" s="113" t="s">
        <v>50</v>
      </c>
      <c r="BF118" s="61" t="s">
        <v>133</v>
      </c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8"/>
      <c r="BT118" s="88"/>
      <c r="BU118" s="86"/>
      <c r="BV118" s="81"/>
      <c r="BW118" s="81"/>
      <c r="BX118" s="89"/>
      <c r="BY118" s="89"/>
      <c r="BZ118" s="89"/>
      <c r="CA118" s="89"/>
      <c r="CB118" s="89"/>
      <c r="CC118" s="89"/>
      <c r="CD118" s="65"/>
      <c r="CL118" s="66"/>
    </row>
    <row r="119" spans="3:90" s="61" customFormat="1" x14ac:dyDescent="0.25">
      <c r="C119" s="62"/>
      <c r="D119" s="81"/>
      <c r="E119" s="82"/>
      <c r="F119" s="65"/>
      <c r="I119" s="66"/>
      <c r="J119" s="65"/>
      <c r="M119" s="66"/>
      <c r="N119" s="65"/>
      <c r="T119" s="83"/>
      <c r="U119" s="62"/>
      <c r="V119" s="84"/>
      <c r="W119" s="84"/>
      <c r="X119" s="62"/>
      <c r="Y119" s="92"/>
      <c r="Z119" s="9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6"/>
      <c r="AN119" s="92"/>
      <c r="AO119" s="62"/>
      <c r="AP119" s="85" t="s">
        <v>51</v>
      </c>
      <c r="AX119" s="85"/>
      <c r="AY119" s="85"/>
      <c r="AZ119" s="62"/>
      <c r="BA119" s="62"/>
      <c r="BB119" s="62"/>
      <c r="BC119" s="62"/>
      <c r="BD119" s="85"/>
      <c r="BE119" s="113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8"/>
      <c r="BT119" s="88"/>
      <c r="BU119" s="86"/>
      <c r="BV119" s="81"/>
      <c r="BW119" s="81"/>
      <c r="BX119" s="89"/>
      <c r="BY119" s="89"/>
      <c r="BZ119" s="89"/>
      <c r="CA119" s="89"/>
      <c r="CB119" s="89"/>
      <c r="CC119" s="89"/>
      <c r="CD119" s="65"/>
      <c r="CL119" s="66"/>
    </row>
    <row r="120" spans="3:90" s="61" customFormat="1" x14ac:dyDescent="0.25">
      <c r="C120" s="65"/>
      <c r="D120" s="81"/>
      <c r="E120" s="82"/>
      <c r="F120" s="65"/>
      <c r="I120" s="66"/>
      <c r="J120" s="65"/>
      <c r="M120" s="66"/>
      <c r="N120" s="65"/>
      <c r="T120" s="83"/>
      <c r="U120" s="62"/>
      <c r="V120" s="84"/>
      <c r="W120" s="84"/>
      <c r="X120" s="81"/>
      <c r="Y120" s="92"/>
      <c r="Z120" s="85"/>
      <c r="AA120" s="8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6"/>
      <c r="AN120" s="62" t="s">
        <v>66</v>
      </c>
      <c r="AO120" s="62"/>
      <c r="AP120" s="61" t="s">
        <v>130</v>
      </c>
      <c r="AQ120" s="85"/>
      <c r="AR120" s="85"/>
      <c r="AS120" s="85"/>
      <c r="AT120" s="85"/>
      <c r="AU120" s="85"/>
      <c r="AV120" s="85"/>
      <c r="AW120" s="85"/>
      <c r="AX120" s="85"/>
      <c r="AY120" s="85"/>
      <c r="AZ120" s="62"/>
      <c r="BA120" s="62"/>
      <c r="BB120" s="62"/>
      <c r="BC120" s="62"/>
      <c r="BD120" s="85"/>
      <c r="BE120" s="87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8"/>
      <c r="BT120" s="88"/>
      <c r="BU120" s="86"/>
      <c r="BV120" s="81"/>
      <c r="BW120" s="81"/>
      <c r="BX120" s="89"/>
      <c r="BY120" s="89"/>
      <c r="BZ120" s="89"/>
      <c r="CA120" s="89"/>
      <c r="CB120" s="89"/>
      <c r="CC120" s="81"/>
      <c r="CD120" s="65"/>
      <c r="CL120" s="66"/>
    </row>
    <row r="121" spans="3:90" s="61" customFormat="1" x14ac:dyDescent="0.25">
      <c r="C121" s="65"/>
      <c r="D121" s="90"/>
      <c r="E121" s="82"/>
      <c r="F121" s="65"/>
      <c r="I121" s="66"/>
      <c r="J121" s="65"/>
      <c r="M121" s="66"/>
      <c r="N121" s="65"/>
      <c r="T121" s="83"/>
      <c r="U121" s="62"/>
      <c r="V121" s="84"/>
      <c r="W121" s="84"/>
      <c r="X121" s="81"/>
      <c r="Y121" s="124"/>
      <c r="Z121" s="85"/>
      <c r="AA121" s="8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6"/>
      <c r="AN121" s="71"/>
      <c r="AO121" s="62"/>
      <c r="AP121" s="85" t="s">
        <v>51</v>
      </c>
      <c r="AX121" s="85"/>
      <c r="AY121" s="85"/>
      <c r="AZ121" s="62"/>
      <c r="BA121" s="62"/>
      <c r="BB121" s="62"/>
      <c r="BC121" s="62"/>
      <c r="BD121" s="85"/>
      <c r="BE121" s="87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8"/>
      <c r="BT121" s="88"/>
      <c r="BU121" s="86"/>
      <c r="BV121" s="81"/>
      <c r="BW121" s="81"/>
      <c r="BX121" s="89"/>
      <c r="BY121" s="89"/>
      <c r="BZ121" s="89"/>
      <c r="CA121" s="89"/>
      <c r="CB121" s="89"/>
      <c r="CC121" s="81"/>
      <c r="CD121" s="65"/>
      <c r="CL121" s="66"/>
    </row>
    <row r="122" spans="3:90" s="61" customFormat="1" x14ac:dyDescent="0.25">
      <c r="C122" s="65"/>
      <c r="D122" s="90"/>
      <c r="E122" s="82"/>
      <c r="F122" s="65"/>
      <c r="I122" s="66"/>
      <c r="J122" s="65"/>
      <c r="N122" s="65"/>
      <c r="T122" s="83"/>
      <c r="U122" s="62"/>
      <c r="V122" s="84"/>
      <c r="W122" s="84"/>
      <c r="X122" s="81"/>
      <c r="Y122" s="124"/>
      <c r="Z122" s="85"/>
      <c r="AA122" s="8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6"/>
      <c r="AN122" s="92" t="s">
        <v>71</v>
      </c>
      <c r="AO122" s="62"/>
      <c r="AP122" s="85" t="s">
        <v>29</v>
      </c>
      <c r="AX122" s="85"/>
      <c r="AY122" s="85"/>
      <c r="AZ122" s="62"/>
      <c r="BA122" s="62"/>
      <c r="BB122" s="62"/>
      <c r="BC122" s="62"/>
      <c r="BD122" s="85"/>
      <c r="BE122" s="87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8"/>
      <c r="BT122" s="88"/>
      <c r="BU122" s="86"/>
      <c r="BV122" s="81"/>
      <c r="BW122" s="81"/>
      <c r="BX122" s="89"/>
      <c r="BY122" s="89"/>
      <c r="BZ122" s="89"/>
      <c r="CA122" s="89"/>
      <c r="CB122" s="89"/>
      <c r="CC122" s="81"/>
      <c r="CD122" s="65"/>
      <c r="CL122" s="66"/>
    </row>
    <row r="123" spans="3:90" s="61" customFormat="1" x14ac:dyDescent="0.25">
      <c r="C123" s="65"/>
      <c r="D123" s="90"/>
      <c r="E123" s="82"/>
      <c r="F123" s="65"/>
      <c r="I123" s="66"/>
      <c r="J123" s="65"/>
      <c r="N123" s="65"/>
      <c r="T123" s="83"/>
      <c r="U123" s="62"/>
      <c r="V123" s="84"/>
      <c r="W123" s="84"/>
      <c r="X123" s="81"/>
      <c r="Y123" s="124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6"/>
      <c r="AN123" s="62"/>
      <c r="AO123" s="62"/>
      <c r="AP123" s="85" t="s">
        <v>51</v>
      </c>
      <c r="AX123" s="85"/>
      <c r="AY123" s="85"/>
      <c r="AZ123" s="62"/>
      <c r="BA123" s="62"/>
      <c r="BB123" s="62"/>
      <c r="BC123" s="62"/>
      <c r="BD123" s="85"/>
      <c r="BE123" s="87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8"/>
      <c r="BT123" s="88"/>
      <c r="BU123" s="86"/>
      <c r="BV123" s="81"/>
      <c r="BW123" s="81"/>
      <c r="BX123" s="89"/>
      <c r="BY123" s="89"/>
      <c r="BZ123" s="89"/>
      <c r="CA123" s="89"/>
      <c r="CB123" s="89"/>
      <c r="CC123" s="81"/>
      <c r="CD123" s="65"/>
      <c r="CL123" s="66"/>
    </row>
    <row r="124" spans="3:90" s="61" customFormat="1" x14ac:dyDescent="0.25">
      <c r="C124" s="65"/>
      <c r="D124" s="90"/>
      <c r="E124" s="82"/>
      <c r="F124" s="65"/>
      <c r="I124" s="66"/>
      <c r="J124" s="65"/>
      <c r="N124" s="65"/>
      <c r="T124" s="83"/>
      <c r="U124" s="62"/>
      <c r="V124" s="84"/>
      <c r="W124" s="84"/>
      <c r="X124" s="81"/>
      <c r="Y124" s="124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6"/>
      <c r="AN124" s="62" t="s">
        <v>72</v>
      </c>
      <c r="AO124" s="62"/>
      <c r="AP124" s="61" t="s">
        <v>131</v>
      </c>
      <c r="AQ124" s="61" t="s">
        <v>323</v>
      </c>
      <c r="AS124" s="61" t="s">
        <v>403</v>
      </c>
      <c r="AX124" s="85"/>
      <c r="AY124" s="85"/>
      <c r="AZ124" s="62"/>
      <c r="BA124" s="62"/>
      <c r="BB124" s="62"/>
      <c r="BC124" s="62"/>
      <c r="BD124" s="85"/>
      <c r="BE124" s="87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8"/>
      <c r="BT124" s="88"/>
      <c r="BU124" s="86"/>
      <c r="BV124" s="81"/>
      <c r="BW124" s="81"/>
      <c r="BX124" s="89"/>
      <c r="BY124" s="89"/>
      <c r="BZ124" s="89"/>
      <c r="CA124" s="89"/>
      <c r="CB124" s="89"/>
      <c r="CC124" s="81"/>
      <c r="CD124" s="65"/>
      <c r="CL124" s="66"/>
    </row>
    <row r="125" spans="3:90" s="61" customFormat="1" x14ac:dyDescent="0.25">
      <c r="C125" s="65"/>
      <c r="D125" s="90"/>
      <c r="E125" s="82"/>
      <c r="F125" s="65"/>
      <c r="I125" s="66"/>
      <c r="J125" s="65"/>
      <c r="N125" s="65"/>
      <c r="T125" s="83"/>
      <c r="U125" s="62"/>
      <c r="V125" s="84"/>
      <c r="W125" s="84"/>
      <c r="X125" s="81"/>
      <c r="Y125" s="124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91"/>
      <c r="AJ125" s="125"/>
      <c r="AK125" s="125"/>
      <c r="AL125" s="125"/>
      <c r="AM125" s="126"/>
      <c r="AN125" s="62"/>
      <c r="AO125" s="62"/>
      <c r="AP125" s="85" t="s">
        <v>51</v>
      </c>
      <c r="AX125" s="85"/>
      <c r="AY125" s="85"/>
      <c r="AZ125" s="62"/>
      <c r="BA125" s="62"/>
      <c r="BB125" s="62"/>
      <c r="BC125" s="62"/>
      <c r="BD125" s="85"/>
      <c r="BE125" s="87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8"/>
      <c r="BT125" s="88"/>
      <c r="BU125" s="86"/>
      <c r="BV125" s="81"/>
      <c r="BW125" s="81"/>
      <c r="BX125" s="89"/>
      <c r="BY125" s="89"/>
      <c r="BZ125" s="89"/>
      <c r="CA125" s="89"/>
      <c r="CB125" s="89"/>
      <c r="CC125" s="81"/>
      <c r="CD125" s="65"/>
      <c r="CL125" s="66"/>
    </row>
    <row r="126" spans="3:90" s="61" customFormat="1" x14ac:dyDescent="0.25">
      <c r="C126" s="65"/>
      <c r="D126" s="90"/>
      <c r="E126" s="82"/>
      <c r="F126" s="65"/>
      <c r="I126" s="66"/>
      <c r="J126" s="65"/>
      <c r="N126" s="65"/>
      <c r="T126" s="83"/>
      <c r="U126" s="62"/>
      <c r="V126" s="84"/>
      <c r="W126" s="84"/>
      <c r="X126" s="81"/>
      <c r="Y126" s="124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6"/>
      <c r="AN126" s="62" t="s">
        <v>109</v>
      </c>
      <c r="AO126" s="62"/>
      <c r="AP126" s="61" t="s">
        <v>132</v>
      </c>
      <c r="AX126" s="85"/>
      <c r="AY126" s="85"/>
      <c r="AZ126" s="62"/>
      <c r="BA126" s="62"/>
      <c r="BB126" s="62"/>
      <c r="BC126" s="62"/>
      <c r="BD126" s="85"/>
      <c r="BE126" s="87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8"/>
      <c r="BT126" s="88"/>
      <c r="BU126" s="86"/>
      <c r="BV126" s="81"/>
      <c r="BW126" s="81"/>
      <c r="BX126" s="89"/>
      <c r="BY126" s="89"/>
      <c r="BZ126" s="89"/>
      <c r="CA126" s="89"/>
      <c r="CB126" s="89"/>
      <c r="CC126" s="81"/>
      <c r="CD126" s="65"/>
      <c r="CL126" s="66"/>
    </row>
    <row r="127" spans="3:90" s="61" customFormat="1" x14ac:dyDescent="0.25">
      <c r="C127" s="65"/>
      <c r="D127" s="90"/>
      <c r="E127" s="82"/>
      <c r="F127" s="65"/>
      <c r="I127" s="66"/>
      <c r="J127" s="65"/>
      <c r="N127" s="65"/>
      <c r="T127" s="83"/>
      <c r="U127" s="62"/>
      <c r="V127" s="84"/>
      <c r="W127" s="84"/>
      <c r="X127" s="81"/>
      <c r="Y127" s="124"/>
      <c r="Z127" s="91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6"/>
      <c r="AN127" s="94"/>
      <c r="AO127" s="62"/>
      <c r="AP127" s="85"/>
      <c r="AX127" s="85"/>
      <c r="AY127" s="85"/>
      <c r="AZ127" s="62"/>
      <c r="BA127" s="62"/>
      <c r="BB127" s="62"/>
      <c r="BC127" s="62"/>
      <c r="BD127" s="85"/>
      <c r="BE127" s="87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8"/>
      <c r="BT127" s="88"/>
      <c r="BU127" s="86"/>
      <c r="BV127" s="81"/>
      <c r="BW127" s="81"/>
      <c r="BX127" s="89"/>
      <c r="BY127" s="89"/>
      <c r="BZ127" s="89"/>
      <c r="CA127" s="89"/>
      <c r="CB127" s="89"/>
      <c r="CC127" s="81"/>
      <c r="CD127" s="65"/>
      <c r="CL127" s="66"/>
    </row>
    <row r="128" spans="3:90" s="61" customFormat="1" x14ac:dyDescent="0.25">
      <c r="C128" s="65"/>
      <c r="D128" s="90"/>
      <c r="E128" s="82"/>
      <c r="F128" s="65"/>
      <c r="I128" s="66"/>
      <c r="J128" s="65"/>
      <c r="N128" s="65"/>
      <c r="T128" s="83"/>
      <c r="U128" s="62"/>
      <c r="V128" s="84"/>
      <c r="W128" s="84"/>
      <c r="X128" s="81"/>
      <c r="Y128" s="124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6"/>
      <c r="AN128" s="94"/>
      <c r="AO128" s="62"/>
      <c r="AP128" s="85"/>
      <c r="AX128" s="85"/>
      <c r="AY128" s="85"/>
      <c r="AZ128" s="62"/>
      <c r="BA128" s="62"/>
      <c r="BB128" s="62"/>
      <c r="BC128" s="62"/>
      <c r="BD128" s="85"/>
      <c r="BE128" s="87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8"/>
      <c r="BT128" s="88"/>
      <c r="BU128" s="86"/>
      <c r="BV128" s="81"/>
      <c r="BW128" s="81"/>
      <c r="BX128" s="89"/>
      <c r="BY128" s="89"/>
      <c r="BZ128" s="89"/>
      <c r="CA128" s="89"/>
      <c r="CB128" s="89"/>
      <c r="CC128" s="81"/>
      <c r="CD128" s="65"/>
      <c r="CL128" s="66"/>
    </row>
    <row r="129" spans="3:90" s="61" customFormat="1" x14ac:dyDescent="0.25">
      <c r="C129" s="62"/>
      <c r="D129" s="81"/>
      <c r="E129" s="64">
        <v>2</v>
      </c>
      <c r="F129" s="65"/>
      <c r="I129" s="66"/>
      <c r="J129" s="65"/>
      <c r="M129" s="66"/>
      <c r="N129" s="65"/>
      <c r="T129" s="83"/>
      <c r="U129" s="72" t="s">
        <v>63</v>
      </c>
      <c r="V129" s="73" t="s">
        <v>43</v>
      </c>
      <c r="W129" s="73"/>
      <c r="X129" s="63">
        <f>BW129</f>
        <v>12</v>
      </c>
      <c r="Y129" s="120" t="s">
        <v>50</v>
      </c>
      <c r="Z129" s="121" t="s">
        <v>149</v>
      </c>
      <c r="AA129" s="121"/>
      <c r="AB129" s="122"/>
      <c r="AC129" s="122"/>
      <c r="AD129" s="122"/>
      <c r="AE129" s="129"/>
      <c r="AF129" s="122"/>
      <c r="AG129" s="122"/>
      <c r="AH129" s="122"/>
      <c r="AI129" s="122"/>
      <c r="AJ129" s="122"/>
      <c r="AK129" s="122"/>
      <c r="AL129" s="122"/>
      <c r="AM129" s="123"/>
      <c r="AN129" s="72" t="s">
        <v>55</v>
      </c>
      <c r="AO129" s="76"/>
      <c r="AP129" s="68" t="s">
        <v>550</v>
      </c>
      <c r="AQ129" s="68"/>
      <c r="AR129" s="68"/>
      <c r="AS129" s="68"/>
      <c r="AT129" s="68"/>
      <c r="AU129" s="68"/>
      <c r="AV129" s="68"/>
      <c r="AW129" s="68"/>
      <c r="AX129" s="74"/>
      <c r="AY129" s="74"/>
      <c r="AZ129" s="76"/>
      <c r="BA129" s="76"/>
      <c r="BB129" s="76"/>
      <c r="BC129" s="76"/>
      <c r="BD129" s="74"/>
      <c r="BE129" s="78" t="s">
        <v>50</v>
      </c>
      <c r="BF129" s="68" t="s">
        <v>21</v>
      </c>
      <c r="BG129" s="68"/>
      <c r="BH129" s="68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9">
        <v>12</v>
      </c>
      <c r="BT129" s="79">
        <v>0</v>
      </c>
      <c r="BU129" s="75"/>
      <c r="BV129" s="63" t="str">
        <f t="shared" ref="BV129" si="11">IF(BW129&lt;&gt;"",IF(BW129=CB129+BZ129,"完了","未完"),"")</f>
        <v>未完</v>
      </c>
      <c r="BW129" s="63">
        <f>SUM(BS129:BT136)</f>
        <v>12</v>
      </c>
      <c r="BX129" s="80">
        <v>0</v>
      </c>
      <c r="BY129" s="80">
        <v>0</v>
      </c>
      <c r="BZ129" s="80">
        <v>0</v>
      </c>
      <c r="CA129" s="80">
        <f>BW129-(BX129+BY129+BZ129)</f>
        <v>12</v>
      </c>
      <c r="CB129" s="80">
        <v>0</v>
      </c>
      <c r="CC129" s="80">
        <v>0</v>
      </c>
      <c r="CD129" s="67"/>
      <c r="CE129" s="68"/>
      <c r="CF129" s="68"/>
      <c r="CG129" s="68"/>
      <c r="CH129" s="68"/>
      <c r="CI129" s="68"/>
      <c r="CJ129" s="68"/>
      <c r="CK129" s="68"/>
      <c r="CL129" s="69"/>
    </row>
    <row r="130" spans="3:90" s="61" customFormat="1" x14ac:dyDescent="0.25">
      <c r="C130" s="62"/>
      <c r="D130" s="81"/>
      <c r="E130" s="82"/>
      <c r="F130" s="65"/>
      <c r="I130" s="66"/>
      <c r="J130" s="65"/>
      <c r="M130" s="66"/>
      <c r="N130" s="65"/>
      <c r="T130" s="83"/>
      <c r="U130" s="62"/>
      <c r="V130" s="84"/>
      <c r="W130" s="84"/>
      <c r="X130" s="62"/>
      <c r="Y130" s="92" t="s">
        <v>53</v>
      </c>
      <c r="Z130" s="95" t="s">
        <v>548</v>
      </c>
      <c r="AA130" s="9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6"/>
      <c r="AN130" s="71"/>
      <c r="AO130" s="62"/>
      <c r="AP130" s="85" t="s">
        <v>51</v>
      </c>
      <c r="AX130" s="85"/>
      <c r="AY130" s="85"/>
      <c r="AZ130" s="62"/>
      <c r="BA130" s="62"/>
      <c r="BB130" s="62"/>
      <c r="BC130" s="62"/>
      <c r="BD130" s="85"/>
      <c r="BE130" s="113" t="s">
        <v>50</v>
      </c>
      <c r="BF130" s="61" t="s">
        <v>134</v>
      </c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8"/>
      <c r="BT130" s="88"/>
      <c r="BU130" s="86"/>
      <c r="BV130" s="81"/>
      <c r="BW130" s="81"/>
      <c r="BX130" s="89"/>
      <c r="BY130" s="89"/>
      <c r="BZ130" s="89"/>
      <c r="CA130" s="89"/>
      <c r="CB130" s="89"/>
      <c r="CC130" s="89"/>
      <c r="CD130" s="65"/>
      <c r="CL130" s="66"/>
    </row>
    <row r="131" spans="3:90" s="61" customFormat="1" x14ac:dyDescent="0.25">
      <c r="C131" s="65"/>
      <c r="D131" s="90"/>
      <c r="E131" s="82"/>
      <c r="F131" s="65"/>
      <c r="I131" s="66"/>
      <c r="J131" s="65"/>
      <c r="N131" s="65"/>
      <c r="T131" s="83"/>
      <c r="U131" s="62"/>
      <c r="V131" s="84"/>
      <c r="W131" s="84"/>
      <c r="X131" s="62"/>
      <c r="Y131" s="92"/>
      <c r="Z131" s="95" t="s">
        <v>57</v>
      </c>
      <c r="AA131" s="85" t="s">
        <v>549</v>
      </c>
      <c r="AB131" s="85"/>
      <c r="AC131" s="85"/>
      <c r="AD131" s="85"/>
      <c r="AE131" s="91"/>
      <c r="AF131" s="85"/>
      <c r="AG131" s="85"/>
      <c r="AH131" s="85"/>
      <c r="AI131" s="85"/>
      <c r="AJ131" s="85"/>
      <c r="AK131" s="85"/>
      <c r="AL131" s="85"/>
      <c r="AM131" s="86"/>
      <c r="AN131" s="71" t="s">
        <v>84</v>
      </c>
      <c r="AO131" s="62"/>
      <c r="AP131" s="61" t="s">
        <v>30</v>
      </c>
      <c r="AX131" s="85"/>
      <c r="AY131" s="85"/>
      <c r="AZ131" s="62"/>
      <c r="BA131" s="62"/>
      <c r="BB131" s="62"/>
      <c r="BC131" s="62"/>
      <c r="BD131" s="85"/>
      <c r="BE131" s="113" t="s">
        <v>50</v>
      </c>
      <c r="BF131" s="61" t="s">
        <v>133</v>
      </c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8"/>
      <c r="BT131" s="88"/>
      <c r="BU131" s="86"/>
      <c r="BV131" s="81"/>
      <c r="BW131" s="81"/>
      <c r="BX131" s="89"/>
      <c r="BY131" s="89"/>
      <c r="BZ131" s="89"/>
      <c r="CA131" s="89"/>
      <c r="CB131" s="89"/>
      <c r="CC131" s="81"/>
      <c r="CD131" s="65"/>
      <c r="CL131" s="66"/>
    </row>
    <row r="132" spans="3:90" s="61" customFormat="1" x14ac:dyDescent="0.25">
      <c r="C132" s="62"/>
      <c r="D132" s="81"/>
      <c r="E132" s="82"/>
      <c r="F132" s="65"/>
      <c r="I132" s="66"/>
      <c r="J132" s="65"/>
      <c r="M132" s="66"/>
      <c r="N132" s="65"/>
      <c r="T132" s="83"/>
      <c r="U132" s="62"/>
      <c r="V132" s="84"/>
      <c r="W132" s="84"/>
      <c r="X132" s="62"/>
      <c r="Y132" s="92"/>
      <c r="Z132" s="95"/>
      <c r="AA132" s="8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6"/>
      <c r="AN132" s="92"/>
      <c r="AO132" s="62"/>
      <c r="AP132" s="85" t="s">
        <v>51</v>
      </c>
      <c r="AX132" s="85"/>
      <c r="AY132" s="85"/>
      <c r="AZ132" s="62"/>
      <c r="BA132" s="62"/>
      <c r="BB132" s="62"/>
      <c r="BC132" s="62"/>
      <c r="BD132" s="85"/>
      <c r="BE132" s="113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8"/>
      <c r="BT132" s="88"/>
      <c r="BU132" s="86"/>
      <c r="BV132" s="81"/>
      <c r="BW132" s="81"/>
      <c r="BX132" s="89"/>
      <c r="BY132" s="89"/>
      <c r="BZ132" s="89"/>
      <c r="CA132" s="89"/>
      <c r="CB132" s="89"/>
      <c r="CC132" s="89"/>
      <c r="CD132" s="65"/>
      <c r="CL132" s="66"/>
    </row>
    <row r="133" spans="3:90" s="61" customFormat="1" x14ac:dyDescent="0.25">
      <c r="C133" s="65"/>
      <c r="D133" s="90"/>
      <c r="E133" s="82"/>
      <c r="F133" s="65"/>
      <c r="I133" s="66"/>
      <c r="J133" s="65"/>
      <c r="N133" s="65"/>
      <c r="T133" s="83"/>
      <c r="U133" s="62"/>
      <c r="V133" s="84"/>
      <c r="W133" s="84"/>
      <c r="X133" s="62"/>
      <c r="Y133" s="65"/>
      <c r="Z133" s="91"/>
      <c r="AA133" s="85"/>
      <c r="AB133" s="85"/>
      <c r="AC133" s="85"/>
      <c r="AD133" s="85"/>
      <c r="AE133" s="91"/>
      <c r="AF133" s="85"/>
      <c r="AG133" s="85"/>
      <c r="AH133" s="85"/>
      <c r="AI133" s="85"/>
      <c r="AJ133" s="85"/>
      <c r="AK133" s="85"/>
      <c r="AL133" s="85"/>
      <c r="AM133" s="86"/>
      <c r="AN133" s="62" t="s">
        <v>66</v>
      </c>
      <c r="AO133" s="62"/>
      <c r="AP133" s="61" t="s">
        <v>135</v>
      </c>
      <c r="AX133" s="85"/>
      <c r="AY133" s="85"/>
      <c r="AZ133" s="62"/>
      <c r="BA133" s="62"/>
      <c r="BB133" s="62"/>
      <c r="BC133" s="62"/>
      <c r="BD133" s="85"/>
      <c r="BE133" s="87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8"/>
      <c r="BT133" s="88"/>
      <c r="BU133" s="86"/>
      <c r="BV133" s="81"/>
      <c r="BW133" s="81"/>
      <c r="BX133" s="89"/>
      <c r="BY133" s="89"/>
      <c r="BZ133" s="89"/>
      <c r="CA133" s="89"/>
      <c r="CB133" s="89"/>
      <c r="CC133" s="81"/>
      <c r="CD133" s="65"/>
      <c r="CL133" s="66"/>
    </row>
    <row r="134" spans="3:90" s="61" customFormat="1" x14ac:dyDescent="0.25">
      <c r="D134" s="90"/>
      <c r="E134" s="82"/>
      <c r="F134" s="65"/>
      <c r="I134" s="66"/>
      <c r="J134" s="65"/>
      <c r="N134" s="65"/>
      <c r="T134" s="83"/>
      <c r="U134" s="62"/>
      <c r="V134" s="84"/>
      <c r="W134" s="84"/>
      <c r="X134" s="62"/>
      <c r="Y134" s="65"/>
      <c r="Z134" s="91"/>
      <c r="AA134" s="85"/>
      <c r="AB134" s="85"/>
      <c r="AC134" s="85"/>
      <c r="AD134" s="85"/>
      <c r="AE134" s="91"/>
      <c r="AF134" s="85"/>
      <c r="AG134" s="85"/>
      <c r="AH134" s="85"/>
      <c r="AI134" s="85"/>
      <c r="AJ134" s="85"/>
      <c r="AK134" s="85"/>
      <c r="AL134" s="85"/>
      <c r="AM134" s="86"/>
      <c r="AN134" s="62"/>
      <c r="AO134" s="62"/>
      <c r="AP134" s="85" t="s">
        <v>51</v>
      </c>
      <c r="AX134" s="85"/>
      <c r="AY134" s="85"/>
      <c r="AZ134" s="62"/>
      <c r="BA134" s="62"/>
      <c r="BB134" s="62"/>
      <c r="BC134" s="62"/>
      <c r="BD134" s="85"/>
      <c r="BE134" s="87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8"/>
      <c r="BT134" s="88"/>
      <c r="BU134" s="86"/>
      <c r="BV134" s="81"/>
      <c r="BW134" s="81"/>
      <c r="BX134" s="89"/>
      <c r="BY134" s="89"/>
      <c r="BZ134" s="89"/>
      <c r="CA134" s="89"/>
      <c r="CB134" s="89"/>
      <c r="CC134" s="81"/>
      <c r="CD134" s="65"/>
      <c r="CL134" s="66"/>
    </row>
    <row r="135" spans="3:90" s="61" customFormat="1" x14ac:dyDescent="0.25">
      <c r="D135" s="90"/>
      <c r="E135" s="82"/>
      <c r="F135" s="65"/>
      <c r="I135" s="66"/>
      <c r="J135" s="65"/>
      <c r="N135" s="65"/>
      <c r="T135" s="83"/>
      <c r="U135" s="62"/>
      <c r="V135" s="84"/>
      <c r="W135" s="84"/>
      <c r="X135" s="62"/>
      <c r="Y135" s="65"/>
      <c r="Z135" s="91"/>
      <c r="AA135" s="85"/>
      <c r="AB135" s="85"/>
      <c r="AC135" s="85"/>
      <c r="AD135" s="85"/>
      <c r="AE135" s="91"/>
      <c r="AF135" s="85"/>
      <c r="AG135" s="85"/>
      <c r="AH135" s="85"/>
      <c r="AI135" s="85"/>
      <c r="AJ135" s="85"/>
      <c r="AK135" s="85"/>
      <c r="AL135" s="85"/>
      <c r="AM135" s="86"/>
      <c r="AN135" s="62" t="s">
        <v>71</v>
      </c>
      <c r="AO135" s="62"/>
      <c r="AP135" s="61" t="s">
        <v>130</v>
      </c>
      <c r="AX135" s="85"/>
      <c r="AY135" s="85"/>
      <c r="AZ135" s="62"/>
      <c r="BA135" s="62"/>
      <c r="BB135" s="62"/>
      <c r="BC135" s="62"/>
      <c r="BD135" s="85"/>
      <c r="BE135" s="87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8"/>
      <c r="BT135" s="88"/>
      <c r="BU135" s="86"/>
      <c r="BV135" s="81"/>
      <c r="BW135" s="81"/>
      <c r="BX135" s="89"/>
      <c r="BY135" s="89"/>
      <c r="BZ135" s="89"/>
      <c r="CA135" s="89"/>
      <c r="CB135" s="89"/>
      <c r="CC135" s="81"/>
      <c r="CD135" s="65"/>
      <c r="CL135" s="66"/>
    </row>
    <row r="136" spans="3:90" s="61" customFormat="1" x14ac:dyDescent="0.25">
      <c r="C136" s="62"/>
      <c r="D136" s="81"/>
      <c r="E136" s="82"/>
      <c r="F136" s="65"/>
      <c r="I136" s="66"/>
      <c r="J136" s="65"/>
      <c r="M136" s="66"/>
      <c r="N136" s="65"/>
      <c r="T136" s="83"/>
      <c r="U136" s="62"/>
      <c r="V136" s="84"/>
      <c r="W136" s="84"/>
      <c r="X136" s="62"/>
      <c r="Y136" s="92"/>
      <c r="Z136" s="95"/>
      <c r="AA136" s="8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6"/>
      <c r="AN136" s="71"/>
      <c r="AO136" s="62"/>
      <c r="AP136" s="85"/>
      <c r="AX136" s="85"/>
      <c r="AY136" s="85"/>
      <c r="AZ136" s="62"/>
      <c r="BA136" s="62"/>
      <c r="BB136" s="62"/>
      <c r="BC136" s="62"/>
      <c r="BD136" s="85"/>
      <c r="BE136" s="87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8"/>
      <c r="BT136" s="88"/>
      <c r="BU136" s="86"/>
      <c r="BV136" s="81"/>
      <c r="BW136" s="81"/>
      <c r="BX136" s="89"/>
      <c r="BY136" s="89"/>
      <c r="BZ136" s="89"/>
      <c r="CA136" s="89"/>
      <c r="CB136" s="89"/>
      <c r="CC136" s="89"/>
      <c r="CD136" s="65"/>
      <c r="CL136" s="66"/>
    </row>
    <row r="137" spans="3:90" s="61" customFormat="1" x14ac:dyDescent="0.25">
      <c r="C137" s="65"/>
      <c r="D137" s="90"/>
      <c r="E137" s="82"/>
      <c r="F137" s="65"/>
      <c r="I137" s="66"/>
      <c r="J137" s="65"/>
      <c r="N137" s="65"/>
      <c r="T137" s="83"/>
      <c r="U137" s="62"/>
      <c r="V137" s="84"/>
      <c r="W137" s="84"/>
      <c r="X137" s="62"/>
      <c r="Y137" s="65"/>
      <c r="Z137" s="91"/>
      <c r="AA137" s="85"/>
      <c r="AB137" s="85"/>
      <c r="AC137" s="85"/>
      <c r="AD137" s="85"/>
      <c r="AE137" s="91"/>
      <c r="AF137" s="85"/>
      <c r="AG137" s="85"/>
      <c r="AH137" s="85"/>
      <c r="AI137" s="85"/>
      <c r="AJ137" s="85"/>
      <c r="AK137" s="85"/>
      <c r="AL137" s="85"/>
      <c r="AM137" s="86"/>
      <c r="AN137" s="62"/>
      <c r="AO137" s="62"/>
      <c r="AX137" s="85"/>
      <c r="AY137" s="85"/>
      <c r="AZ137" s="62"/>
      <c r="BA137" s="62"/>
      <c r="BB137" s="62"/>
      <c r="BC137" s="62"/>
      <c r="BD137" s="85"/>
      <c r="BE137" s="87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8"/>
      <c r="BT137" s="88"/>
      <c r="BU137" s="86"/>
      <c r="BV137" s="81"/>
      <c r="BW137" s="81"/>
      <c r="BX137" s="89"/>
      <c r="BY137" s="89"/>
      <c r="BZ137" s="89"/>
      <c r="CA137" s="89"/>
      <c r="CB137" s="89"/>
      <c r="CC137" s="81"/>
      <c r="CD137" s="65"/>
      <c r="CL137" s="66"/>
    </row>
    <row r="138" spans="3:90" s="61" customFormat="1" x14ac:dyDescent="0.25">
      <c r="C138" s="71"/>
      <c r="D138" s="63">
        <v>120</v>
      </c>
      <c r="E138" s="111">
        <v>1</v>
      </c>
      <c r="F138" s="65"/>
      <c r="I138" s="66"/>
      <c r="J138" s="65"/>
      <c r="N138" s="67" t="s">
        <v>89</v>
      </c>
      <c r="O138" s="68"/>
      <c r="P138" s="68"/>
      <c r="Q138" s="68"/>
      <c r="R138" s="68"/>
      <c r="S138" s="68"/>
      <c r="T138" s="69"/>
      <c r="U138" s="76" t="s">
        <v>63</v>
      </c>
      <c r="V138" s="73" t="s">
        <v>43</v>
      </c>
      <c r="W138" s="73"/>
      <c r="X138" s="63">
        <f>BW138</f>
        <v>18</v>
      </c>
      <c r="Y138" s="120" t="s">
        <v>50</v>
      </c>
      <c r="Z138" s="121" t="s">
        <v>154</v>
      </c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30"/>
      <c r="AN138" s="72" t="s">
        <v>100</v>
      </c>
      <c r="AO138" s="76"/>
      <c r="AP138" s="68" t="s">
        <v>30</v>
      </c>
      <c r="AQ138" s="77"/>
      <c r="AR138" s="68"/>
      <c r="AS138" s="68"/>
      <c r="AT138" s="68"/>
      <c r="AU138" s="68"/>
      <c r="AV138" s="68"/>
      <c r="AW138" s="68"/>
      <c r="AX138" s="68"/>
      <c r="AY138" s="68"/>
      <c r="AZ138" s="76"/>
      <c r="BA138" s="76"/>
      <c r="BB138" s="76"/>
      <c r="BC138" s="76"/>
      <c r="BD138" s="68"/>
      <c r="BE138" s="78" t="s">
        <v>50</v>
      </c>
      <c r="BF138" s="68" t="s">
        <v>21</v>
      </c>
      <c r="BG138" s="68"/>
      <c r="BH138" s="68"/>
      <c r="BI138" s="74"/>
      <c r="BJ138" s="74"/>
      <c r="BK138" s="74"/>
      <c r="BL138" s="68"/>
      <c r="BM138" s="68"/>
      <c r="BN138" s="68"/>
      <c r="BO138" s="68"/>
      <c r="BP138" s="68"/>
      <c r="BQ138" s="68"/>
      <c r="BR138" s="68"/>
      <c r="BS138" s="79">
        <v>18</v>
      </c>
      <c r="BT138" s="79">
        <v>0</v>
      </c>
      <c r="BU138" s="69"/>
      <c r="BV138" s="63" t="str">
        <f t="shared" ref="BV138:BV151" si="12">IF(BW138&lt;&gt;"",IF(BW138=CB138+BZ138,"完了","未完"),"")</f>
        <v>未完</v>
      </c>
      <c r="BW138" s="63">
        <f>SUM(BS138:BT150)</f>
        <v>18</v>
      </c>
      <c r="BX138" s="80">
        <v>0</v>
      </c>
      <c r="BY138" s="80">
        <v>0</v>
      </c>
      <c r="BZ138" s="80">
        <v>0</v>
      </c>
      <c r="CA138" s="80">
        <f>BW138-(BX138+BY138+BZ138)</f>
        <v>18</v>
      </c>
      <c r="CB138" s="80">
        <v>0</v>
      </c>
      <c r="CC138" s="80">
        <v>0</v>
      </c>
      <c r="CD138" s="67"/>
      <c r="CE138" s="68"/>
      <c r="CF138" s="68"/>
      <c r="CG138" s="68"/>
      <c r="CH138" s="68"/>
      <c r="CI138" s="68"/>
      <c r="CJ138" s="68"/>
      <c r="CK138" s="68"/>
      <c r="CL138" s="69"/>
    </row>
    <row r="139" spans="3:90" s="61" customFormat="1" x14ac:dyDescent="0.25">
      <c r="C139" s="71"/>
      <c r="D139" s="81"/>
      <c r="E139" s="82"/>
      <c r="F139" s="244"/>
      <c r="G139" s="245"/>
      <c r="H139" s="245"/>
      <c r="I139" s="246"/>
      <c r="J139" s="65"/>
      <c r="N139" s="65" t="s">
        <v>152</v>
      </c>
      <c r="T139" s="66"/>
      <c r="U139" s="62"/>
      <c r="V139" s="84"/>
      <c r="W139" s="84"/>
      <c r="X139" s="62"/>
      <c r="Y139" s="92" t="s">
        <v>53</v>
      </c>
      <c r="Z139" s="95" t="s">
        <v>548</v>
      </c>
      <c r="AA139" s="95"/>
      <c r="AB139" s="125"/>
      <c r="AC139" s="125"/>
      <c r="AD139" s="95"/>
      <c r="AE139" s="95"/>
      <c r="AF139" s="95"/>
      <c r="AG139" s="95"/>
      <c r="AH139" s="95"/>
      <c r="AI139" s="95"/>
      <c r="AJ139" s="95"/>
      <c r="AK139" s="95"/>
      <c r="AL139" s="95"/>
      <c r="AM139" s="131"/>
      <c r="AN139" s="71"/>
      <c r="AO139" s="62"/>
      <c r="AP139" s="85" t="s">
        <v>51</v>
      </c>
      <c r="AZ139" s="62"/>
      <c r="BA139" s="62"/>
      <c r="BB139" s="62"/>
      <c r="BC139" s="62"/>
      <c r="BE139" s="113" t="s">
        <v>50</v>
      </c>
      <c r="BF139" s="61" t="s">
        <v>134</v>
      </c>
      <c r="BI139" s="85"/>
      <c r="BS139" s="114"/>
      <c r="BT139" s="114"/>
      <c r="BU139" s="66"/>
      <c r="BV139" s="81"/>
      <c r="BW139" s="90"/>
      <c r="BX139" s="90"/>
      <c r="BY139" s="90"/>
      <c r="BZ139" s="90"/>
      <c r="CA139" s="90"/>
      <c r="CB139" s="90"/>
      <c r="CC139" s="90"/>
      <c r="CD139" s="65"/>
      <c r="CE139" s="93"/>
      <c r="CL139" s="66"/>
    </row>
    <row r="140" spans="3:90" s="61" customFormat="1" x14ac:dyDescent="0.25">
      <c r="C140" s="71"/>
      <c r="D140" s="81"/>
      <c r="E140" s="82"/>
      <c r="F140" s="244"/>
      <c r="G140" s="245"/>
      <c r="H140" s="245"/>
      <c r="I140" s="246"/>
      <c r="J140" s="65"/>
      <c r="N140" s="65"/>
      <c r="O140" s="61" t="s">
        <v>238</v>
      </c>
      <c r="T140" s="66"/>
      <c r="U140" s="62"/>
      <c r="V140" s="84"/>
      <c r="W140" s="84"/>
      <c r="X140" s="62"/>
      <c r="Y140" s="92"/>
      <c r="Z140" s="95" t="s">
        <v>57</v>
      </c>
      <c r="AA140" s="85" t="s">
        <v>549</v>
      </c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6"/>
      <c r="AN140" s="71" t="s">
        <v>84</v>
      </c>
      <c r="AO140" s="62"/>
      <c r="AP140" s="61" t="s">
        <v>135</v>
      </c>
      <c r="AZ140" s="62"/>
      <c r="BA140" s="62"/>
      <c r="BB140" s="62"/>
      <c r="BC140" s="62"/>
      <c r="BE140" s="113" t="s">
        <v>50</v>
      </c>
      <c r="BF140" s="61" t="s">
        <v>133</v>
      </c>
      <c r="BH140" s="85"/>
      <c r="BI140" s="85"/>
      <c r="BS140" s="114"/>
      <c r="BT140" s="114"/>
      <c r="BU140" s="66"/>
      <c r="BV140" s="81" t="str">
        <f t="shared" si="12"/>
        <v/>
      </c>
      <c r="BW140" s="90"/>
      <c r="BX140" s="90"/>
      <c r="BY140" s="90"/>
      <c r="BZ140" s="90"/>
      <c r="CA140" s="90"/>
      <c r="CB140" s="90"/>
      <c r="CC140" s="90"/>
      <c r="CD140" s="65"/>
      <c r="CL140" s="66"/>
    </row>
    <row r="141" spans="3:90" s="61" customFormat="1" x14ac:dyDescent="0.25">
      <c r="C141" s="71"/>
      <c r="D141" s="81"/>
      <c r="E141" s="82"/>
      <c r="F141" s="244"/>
      <c r="G141" s="245"/>
      <c r="H141" s="245"/>
      <c r="I141" s="246"/>
      <c r="J141" s="65"/>
      <c r="N141" s="65"/>
      <c r="T141" s="66"/>
      <c r="U141" s="62"/>
      <c r="V141" s="84"/>
      <c r="W141" s="84"/>
      <c r="X141" s="62"/>
      <c r="Y141" s="92"/>
      <c r="Z141" s="85"/>
      <c r="AA141" s="8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6"/>
      <c r="AN141" s="92"/>
      <c r="AO141" s="62"/>
      <c r="AP141" s="85" t="s">
        <v>51</v>
      </c>
      <c r="AZ141" s="62"/>
      <c r="BA141" s="62"/>
      <c r="BB141" s="62"/>
      <c r="BC141" s="62"/>
      <c r="BE141" s="113"/>
      <c r="BS141" s="114"/>
      <c r="BT141" s="114"/>
      <c r="BU141" s="66"/>
      <c r="BV141" s="81" t="str">
        <f t="shared" si="12"/>
        <v/>
      </c>
      <c r="BW141" s="90"/>
      <c r="BX141" s="90"/>
      <c r="BY141" s="90"/>
      <c r="BZ141" s="90"/>
      <c r="CA141" s="90"/>
      <c r="CB141" s="90"/>
      <c r="CC141" s="90"/>
      <c r="CD141" s="65"/>
      <c r="CL141" s="66"/>
    </row>
    <row r="142" spans="3:90" s="61" customFormat="1" x14ac:dyDescent="0.25">
      <c r="C142" s="65"/>
      <c r="D142" s="90"/>
      <c r="E142" s="82"/>
      <c r="F142" s="244"/>
      <c r="G142" s="245"/>
      <c r="H142" s="245"/>
      <c r="I142" s="246"/>
      <c r="J142" s="65"/>
      <c r="N142" s="65"/>
      <c r="T142" s="83"/>
      <c r="U142" s="62"/>
      <c r="V142" s="84"/>
      <c r="W142" s="84"/>
      <c r="X142" s="81"/>
      <c r="Y142" s="124"/>
      <c r="Z142" s="85"/>
      <c r="AA142" s="8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6"/>
      <c r="AN142" s="62" t="s">
        <v>66</v>
      </c>
      <c r="AO142" s="62"/>
      <c r="AP142" s="61" t="s">
        <v>130</v>
      </c>
      <c r="AX142" s="85"/>
      <c r="AY142" s="85"/>
      <c r="AZ142" s="62"/>
      <c r="BA142" s="62"/>
      <c r="BB142" s="62"/>
      <c r="BC142" s="62"/>
      <c r="BD142" s="85"/>
      <c r="BE142" s="87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8"/>
      <c r="BT142" s="88"/>
      <c r="BU142" s="86"/>
      <c r="BV142" s="81"/>
      <c r="BW142" s="81"/>
      <c r="BX142" s="89"/>
      <c r="BY142" s="89"/>
      <c r="BZ142" s="89"/>
      <c r="CA142" s="89"/>
      <c r="CB142" s="89"/>
      <c r="CC142" s="81"/>
      <c r="CD142" s="65"/>
      <c r="CL142" s="66"/>
    </row>
    <row r="143" spans="3:90" s="61" customFormat="1" x14ac:dyDescent="0.25">
      <c r="C143" s="65"/>
      <c r="D143" s="90"/>
      <c r="E143" s="82"/>
      <c r="F143" s="244"/>
      <c r="G143" s="245"/>
      <c r="H143" s="245"/>
      <c r="I143" s="246"/>
      <c r="J143" s="65"/>
      <c r="N143" s="65"/>
      <c r="T143" s="83"/>
      <c r="U143" s="62"/>
      <c r="V143" s="84"/>
      <c r="W143" s="84"/>
      <c r="X143" s="81"/>
      <c r="Y143" s="124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6"/>
      <c r="AN143" s="92"/>
      <c r="AO143" s="62"/>
      <c r="AP143" s="85" t="s">
        <v>51</v>
      </c>
      <c r="AX143" s="85"/>
      <c r="AY143" s="85"/>
      <c r="AZ143" s="62"/>
      <c r="BA143" s="62"/>
      <c r="BB143" s="62"/>
      <c r="BC143" s="62"/>
      <c r="BD143" s="85"/>
      <c r="BE143" s="87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8"/>
      <c r="BT143" s="88"/>
      <c r="BU143" s="86"/>
      <c r="BV143" s="81"/>
      <c r="BW143" s="81"/>
      <c r="BX143" s="89"/>
      <c r="BY143" s="89"/>
      <c r="BZ143" s="89"/>
      <c r="CA143" s="89"/>
      <c r="CB143" s="89"/>
      <c r="CC143" s="81"/>
      <c r="CD143" s="65"/>
      <c r="CL143" s="66"/>
    </row>
    <row r="144" spans="3:90" s="61" customFormat="1" x14ac:dyDescent="0.25">
      <c r="C144" s="71"/>
      <c r="D144" s="81"/>
      <c r="E144" s="82"/>
      <c r="F144" s="244"/>
      <c r="G144" s="245"/>
      <c r="H144" s="245"/>
      <c r="I144" s="246"/>
      <c r="J144" s="65"/>
      <c r="N144" s="65"/>
      <c r="T144" s="66"/>
      <c r="U144" s="62"/>
      <c r="V144" s="84"/>
      <c r="W144" s="84"/>
      <c r="X144" s="62"/>
      <c r="Y144" s="124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6"/>
      <c r="AN144" s="62" t="s">
        <v>71</v>
      </c>
      <c r="AO144" s="62"/>
      <c r="AP144" s="85" t="s">
        <v>29</v>
      </c>
      <c r="AZ144" s="62"/>
      <c r="BA144" s="62"/>
      <c r="BB144" s="62"/>
      <c r="BC144" s="62"/>
      <c r="BE144" s="113"/>
      <c r="BS144" s="114"/>
      <c r="BT144" s="114"/>
      <c r="BU144" s="66"/>
      <c r="BV144" s="81" t="str">
        <f t="shared" si="12"/>
        <v/>
      </c>
      <c r="BW144" s="90"/>
      <c r="BX144" s="90"/>
      <c r="BY144" s="90"/>
      <c r="BZ144" s="90"/>
      <c r="CA144" s="90"/>
      <c r="CB144" s="90"/>
      <c r="CC144" s="90"/>
      <c r="CD144" s="65"/>
      <c r="CL144" s="66"/>
    </row>
    <row r="145" spans="3:90" s="61" customFormat="1" x14ac:dyDescent="0.25">
      <c r="C145" s="71"/>
      <c r="D145" s="81"/>
      <c r="E145" s="82"/>
      <c r="F145" s="71"/>
      <c r="G145" s="62"/>
      <c r="H145" s="62"/>
      <c r="I145" s="136"/>
      <c r="J145" s="65"/>
      <c r="N145" s="65"/>
      <c r="T145" s="66"/>
      <c r="U145" s="62"/>
      <c r="V145" s="84"/>
      <c r="W145" s="84"/>
      <c r="X145" s="62"/>
      <c r="Y145" s="124"/>
      <c r="Z145" s="91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6"/>
      <c r="AN145" s="92"/>
      <c r="AO145" s="62"/>
      <c r="AP145" s="85" t="s">
        <v>51</v>
      </c>
      <c r="AZ145" s="62"/>
      <c r="BA145" s="62"/>
      <c r="BB145" s="62"/>
      <c r="BC145" s="62"/>
      <c r="BE145" s="113"/>
      <c r="BS145" s="114"/>
      <c r="BT145" s="114"/>
      <c r="BU145" s="66"/>
      <c r="BV145" s="81"/>
      <c r="BW145" s="90"/>
      <c r="BX145" s="90"/>
      <c r="BY145" s="90"/>
      <c r="BZ145" s="90"/>
      <c r="CA145" s="90"/>
      <c r="CB145" s="90"/>
      <c r="CC145" s="90"/>
      <c r="CD145" s="65"/>
      <c r="CL145" s="66"/>
    </row>
    <row r="146" spans="3:90" s="61" customFormat="1" x14ac:dyDescent="0.25">
      <c r="C146" s="71"/>
      <c r="D146" s="81"/>
      <c r="E146" s="82"/>
      <c r="F146" s="71"/>
      <c r="G146" s="62"/>
      <c r="H146" s="62"/>
      <c r="I146" s="136"/>
      <c r="J146" s="65"/>
      <c r="N146" s="65"/>
      <c r="T146" s="66"/>
      <c r="U146" s="62"/>
      <c r="V146" s="84"/>
      <c r="W146" s="84"/>
      <c r="X146" s="62"/>
      <c r="Y146" s="124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6"/>
      <c r="AN146" s="62" t="s">
        <v>72</v>
      </c>
      <c r="AO146" s="62"/>
      <c r="AP146" s="61" t="s">
        <v>130</v>
      </c>
      <c r="AQ146" s="61" t="s">
        <v>323</v>
      </c>
      <c r="AS146" s="61" t="s">
        <v>404</v>
      </c>
      <c r="AZ146" s="62"/>
      <c r="BA146" s="62"/>
      <c r="BB146" s="62"/>
      <c r="BC146" s="62"/>
      <c r="BE146" s="113"/>
      <c r="BS146" s="114"/>
      <c r="BT146" s="114"/>
      <c r="BU146" s="66"/>
      <c r="BV146" s="81"/>
      <c r="BW146" s="90"/>
      <c r="BX146" s="90"/>
      <c r="BY146" s="90"/>
      <c r="BZ146" s="90"/>
      <c r="CA146" s="90"/>
      <c r="CB146" s="90"/>
      <c r="CC146" s="90"/>
      <c r="CD146" s="65"/>
      <c r="CL146" s="66"/>
    </row>
    <row r="147" spans="3:90" s="61" customFormat="1" x14ac:dyDescent="0.25">
      <c r="C147" s="71"/>
      <c r="D147" s="81"/>
      <c r="E147" s="82"/>
      <c r="F147" s="71"/>
      <c r="G147" s="62"/>
      <c r="H147" s="62"/>
      <c r="I147" s="136"/>
      <c r="J147" s="65"/>
      <c r="N147" s="65"/>
      <c r="T147" s="66"/>
      <c r="U147" s="62"/>
      <c r="V147" s="84"/>
      <c r="W147" s="84"/>
      <c r="X147" s="62"/>
      <c r="Y147" s="124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6"/>
      <c r="AN147" s="92"/>
      <c r="AO147" s="62"/>
      <c r="AP147" s="85" t="s">
        <v>51</v>
      </c>
      <c r="AZ147" s="62"/>
      <c r="BA147" s="62"/>
      <c r="BB147" s="62"/>
      <c r="BC147" s="62"/>
      <c r="BE147" s="113"/>
      <c r="BS147" s="114"/>
      <c r="BT147" s="114"/>
      <c r="BU147" s="66"/>
      <c r="BV147" s="81"/>
      <c r="BW147" s="90"/>
      <c r="BX147" s="90"/>
      <c r="BY147" s="90"/>
      <c r="BZ147" s="90"/>
      <c r="CA147" s="90"/>
      <c r="CB147" s="90"/>
      <c r="CC147" s="90"/>
      <c r="CD147" s="65"/>
      <c r="CL147" s="66"/>
    </row>
    <row r="148" spans="3:90" s="61" customFormat="1" x14ac:dyDescent="0.25">
      <c r="C148" s="71"/>
      <c r="D148" s="81"/>
      <c r="E148" s="82"/>
      <c r="F148" s="71"/>
      <c r="G148" s="62"/>
      <c r="H148" s="62"/>
      <c r="I148" s="136"/>
      <c r="J148" s="65"/>
      <c r="N148" s="65"/>
      <c r="T148" s="66"/>
      <c r="U148" s="62"/>
      <c r="V148" s="84"/>
      <c r="W148" s="84"/>
      <c r="X148" s="62"/>
      <c r="Y148" s="124"/>
      <c r="Z148" s="125"/>
      <c r="AA148" s="91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6"/>
      <c r="AN148" s="62" t="s">
        <v>109</v>
      </c>
      <c r="AO148" s="85"/>
      <c r="AP148" s="61" t="s">
        <v>132</v>
      </c>
      <c r="AZ148" s="62"/>
      <c r="BA148" s="62"/>
      <c r="BB148" s="62"/>
      <c r="BC148" s="62"/>
      <c r="BE148" s="113"/>
      <c r="BS148" s="114"/>
      <c r="BT148" s="114"/>
      <c r="BU148" s="66"/>
      <c r="BV148" s="81"/>
      <c r="BW148" s="90"/>
      <c r="BX148" s="90"/>
      <c r="BY148" s="90"/>
      <c r="BZ148" s="90"/>
      <c r="CA148" s="90"/>
      <c r="CB148" s="90"/>
      <c r="CC148" s="90"/>
      <c r="CD148" s="65"/>
      <c r="CL148" s="66"/>
    </row>
    <row r="149" spans="3:90" s="61" customFormat="1" x14ac:dyDescent="0.25">
      <c r="C149" s="71"/>
      <c r="D149" s="81"/>
      <c r="E149" s="82"/>
      <c r="F149" s="71"/>
      <c r="G149" s="62"/>
      <c r="H149" s="62"/>
      <c r="I149" s="136"/>
      <c r="J149" s="65"/>
      <c r="N149" s="65"/>
      <c r="T149" s="66"/>
      <c r="U149" s="62"/>
      <c r="V149" s="84"/>
      <c r="W149" s="84"/>
      <c r="X149" s="62"/>
      <c r="Y149" s="124"/>
      <c r="Z149" s="91"/>
      <c r="AA149" s="91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6"/>
      <c r="AN149" s="94"/>
      <c r="AO149" s="62"/>
      <c r="AP149" s="85"/>
      <c r="AZ149" s="62"/>
      <c r="BA149" s="62"/>
      <c r="BB149" s="62"/>
      <c r="BC149" s="62"/>
      <c r="BE149" s="113"/>
      <c r="BS149" s="114"/>
      <c r="BT149" s="114"/>
      <c r="BU149" s="66"/>
      <c r="BV149" s="81"/>
      <c r="BW149" s="90"/>
      <c r="BX149" s="90"/>
      <c r="BY149" s="90"/>
      <c r="BZ149" s="90"/>
      <c r="CA149" s="90"/>
      <c r="CB149" s="90"/>
      <c r="CC149" s="90"/>
      <c r="CD149" s="65"/>
      <c r="CL149" s="66"/>
    </row>
    <row r="150" spans="3:90" s="61" customFormat="1" x14ac:dyDescent="0.25">
      <c r="C150" s="81"/>
      <c r="D150" s="90"/>
      <c r="E150" s="115"/>
      <c r="F150" s="65"/>
      <c r="I150" s="66"/>
      <c r="J150" s="65"/>
      <c r="N150" s="65"/>
      <c r="T150" s="66"/>
      <c r="U150" s="105"/>
      <c r="V150" s="116"/>
      <c r="W150" s="116"/>
      <c r="X150" s="105"/>
      <c r="Y150" s="101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2"/>
      <c r="AN150" s="117"/>
      <c r="AO150" s="105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5"/>
      <c r="BA150" s="105"/>
      <c r="BB150" s="105"/>
      <c r="BC150" s="105"/>
      <c r="BD150" s="100"/>
      <c r="BE150" s="118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00"/>
      <c r="BR150" s="100"/>
      <c r="BS150" s="132"/>
      <c r="BT150" s="132"/>
      <c r="BU150" s="102"/>
      <c r="BV150" s="97" t="str">
        <f t="shared" si="12"/>
        <v/>
      </c>
      <c r="BW150" s="119"/>
      <c r="BX150" s="119"/>
      <c r="BY150" s="119"/>
      <c r="BZ150" s="119"/>
      <c r="CA150" s="119"/>
      <c r="CB150" s="119"/>
      <c r="CC150" s="119"/>
      <c r="CD150" s="101"/>
      <c r="CE150" s="100"/>
      <c r="CF150" s="100"/>
      <c r="CG150" s="100"/>
      <c r="CH150" s="100"/>
      <c r="CI150" s="100"/>
      <c r="CJ150" s="100"/>
      <c r="CK150" s="100"/>
      <c r="CL150" s="102"/>
    </row>
    <row r="151" spans="3:90" s="61" customFormat="1" x14ac:dyDescent="0.25">
      <c r="C151" s="71"/>
      <c r="D151" s="81"/>
      <c r="E151" s="111">
        <v>2</v>
      </c>
      <c r="F151" s="65"/>
      <c r="I151" s="66"/>
      <c r="J151" s="65"/>
      <c r="M151" s="66"/>
      <c r="N151" s="65"/>
      <c r="T151" s="66"/>
      <c r="U151" s="76" t="s">
        <v>63</v>
      </c>
      <c r="V151" s="73" t="s">
        <v>43</v>
      </c>
      <c r="W151" s="73"/>
      <c r="X151" s="63">
        <f>BW151</f>
        <v>18</v>
      </c>
      <c r="Y151" s="120" t="s">
        <v>50</v>
      </c>
      <c r="Z151" s="121" t="s">
        <v>136</v>
      </c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30"/>
      <c r="AN151" s="72" t="s">
        <v>100</v>
      </c>
      <c r="AO151" s="76"/>
      <c r="AP151" s="68" t="s">
        <v>30</v>
      </c>
      <c r="AQ151" s="77"/>
      <c r="AR151" s="68"/>
      <c r="AS151" s="68"/>
      <c r="AT151" s="68"/>
      <c r="AU151" s="68"/>
      <c r="AV151" s="68"/>
      <c r="AW151" s="68"/>
      <c r="AX151" s="68"/>
      <c r="AY151" s="68"/>
      <c r="AZ151" s="76"/>
      <c r="BA151" s="76"/>
      <c r="BB151" s="76"/>
      <c r="BC151" s="76"/>
      <c r="BD151" s="68"/>
      <c r="BE151" s="78" t="s">
        <v>50</v>
      </c>
      <c r="BF151" s="68" t="s">
        <v>21</v>
      </c>
      <c r="BG151" s="68"/>
      <c r="BH151" s="68"/>
      <c r="BI151" s="74"/>
      <c r="BJ151" s="74"/>
      <c r="BK151" s="74"/>
      <c r="BL151" s="68"/>
      <c r="BM151" s="68"/>
      <c r="BN151" s="68"/>
      <c r="BO151" s="68"/>
      <c r="BP151" s="68"/>
      <c r="BQ151" s="68"/>
      <c r="BR151" s="68"/>
      <c r="BS151" s="112">
        <v>18</v>
      </c>
      <c r="BT151" s="79">
        <v>0</v>
      </c>
      <c r="BU151" s="69"/>
      <c r="BV151" s="63" t="str">
        <f t="shared" si="12"/>
        <v>未完</v>
      </c>
      <c r="BW151" s="63">
        <f>SUM(BS151:BT167)</f>
        <v>18</v>
      </c>
      <c r="BX151" s="80">
        <v>0</v>
      </c>
      <c r="BY151" s="80">
        <v>0</v>
      </c>
      <c r="BZ151" s="80">
        <v>0</v>
      </c>
      <c r="CA151" s="80">
        <f>BW151-(BX151+BY151+BZ151)</f>
        <v>18</v>
      </c>
      <c r="CB151" s="80">
        <v>0</v>
      </c>
      <c r="CC151" s="80">
        <v>0</v>
      </c>
      <c r="CD151" s="67"/>
      <c r="CE151" s="68"/>
      <c r="CF151" s="68"/>
      <c r="CG151" s="68"/>
      <c r="CH151" s="68"/>
      <c r="CI151" s="68"/>
      <c r="CJ151" s="68"/>
      <c r="CK151" s="68"/>
      <c r="CL151" s="69"/>
    </row>
    <row r="152" spans="3:90" s="61" customFormat="1" x14ac:dyDescent="0.25">
      <c r="C152" s="71"/>
      <c r="D152" s="81"/>
      <c r="E152" s="82"/>
      <c r="F152" s="65"/>
      <c r="I152" s="66"/>
      <c r="J152" s="65"/>
      <c r="M152" s="66"/>
      <c r="N152" s="65"/>
      <c r="T152" s="66"/>
      <c r="U152" s="62"/>
      <c r="V152" s="84"/>
      <c r="W152" s="84"/>
      <c r="X152" s="62"/>
      <c r="Y152" s="92" t="s">
        <v>53</v>
      </c>
      <c r="Z152" s="95" t="s">
        <v>548</v>
      </c>
      <c r="AA152" s="95"/>
      <c r="AB152" s="125"/>
      <c r="AC152" s="125"/>
      <c r="AD152" s="95"/>
      <c r="AE152" s="95"/>
      <c r="AF152" s="95"/>
      <c r="AG152" s="95"/>
      <c r="AH152" s="95"/>
      <c r="AI152" s="95"/>
      <c r="AJ152" s="95"/>
      <c r="AK152" s="95"/>
      <c r="AL152" s="95"/>
      <c r="AM152" s="131"/>
      <c r="AN152" s="71"/>
      <c r="AO152" s="62"/>
      <c r="AP152" s="85" t="s">
        <v>52</v>
      </c>
      <c r="AZ152" s="62"/>
      <c r="BA152" s="62"/>
      <c r="BB152" s="62"/>
      <c r="BC152" s="62"/>
      <c r="BE152" s="113" t="s">
        <v>50</v>
      </c>
      <c r="BF152" s="61" t="s">
        <v>134</v>
      </c>
      <c r="BI152" s="85"/>
      <c r="BS152" s="114"/>
      <c r="BT152" s="114"/>
      <c r="BU152" s="66"/>
      <c r="BV152" s="81"/>
      <c r="BW152" s="90"/>
      <c r="BX152" s="90"/>
      <c r="BY152" s="90"/>
      <c r="BZ152" s="90"/>
      <c r="CA152" s="90"/>
      <c r="CB152" s="90"/>
      <c r="CC152" s="90"/>
      <c r="CD152" s="65"/>
      <c r="CE152" s="93"/>
      <c r="CL152" s="66"/>
    </row>
    <row r="153" spans="3:90" s="61" customFormat="1" x14ac:dyDescent="0.25">
      <c r="C153" s="71"/>
      <c r="D153" s="81"/>
      <c r="E153" s="82"/>
      <c r="F153" s="65"/>
      <c r="I153" s="66"/>
      <c r="J153" s="65"/>
      <c r="N153" s="65"/>
      <c r="T153" s="66"/>
      <c r="U153" s="62"/>
      <c r="V153" s="84"/>
      <c r="W153" s="84"/>
      <c r="X153" s="62"/>
      <c r="Y153" s="92"/>
      <c r="Z153" s="95" t="s">
        <v>57</v>
      </c>
      <c r="AA153" s="85" t="s">
        <v>549</v>
      </c>
      <c r="AB153" s="125"/>
      <c r="AC153" s="125"/>
      <c r="AD153" s="95"/>
      <c r="AE153" s="95"/>
      <c r="AF153" s="95"/>
      <c r="AG153" s="95"/>
      <c r="AH153" s="95"/>
      <c r="AI153" s="95"/>
      <c r="AJ153" s="95"/>
      <c r="AK153" s="95"/>
      <c r="AM153" s="131"/>
      <c r="AN153" s="71" t="s">
        <v>84</v>
      </c>
      <c r="AO153" s="62"/>
      <c r="AP153" s="61" t="s">
        <v>137</v>
      </c>
      <c r="AZ153" s="62"/>
      <c r="BA153" s="62"/>
      <c r="BB153" s="62"/>
      <c r="BC153" s="62"/>
      <c r="BE153" s="113" t="s">
        <v>50</v>
      </c>
      <c r="BF153" s="61" t="s">
        <v>133</v>
      </c>
      <c r="BH153" s="85"/>
      <c r="BI153" s="85"/>
      <c r="BS153" s="114"/>
      <c r="BT153" s="114"/>
      <c r="BU153" s="66"/>
      <c r="BV153" s="81" t="str">
        <f t="shared" ref="BV153:BV154" si="13">IF(BW153&lt;&gt;"",IF(BW153=CB153+BZ153,"完了","未完"),"")</f>
        <v/>
      </c>
      <c r="BW153" s="90"/>
      <c r="BX153" s="90"/>
      <c r="BY153" s="90"/>
      <c r="BZ153" s="90"/>
      <c r="CA153" s="90"/>
      <c r="CB153" s="90"/>
      <c r="CC153" s="90"/>
      <c r="CD153" s="65"/>
      <c r="CL153" s="66"/>
    </row>
    <row r="154" spans="3:90" s="61" customFormat="1" x14ac:dyDescent="0.25">
      <c r="C154" s="71"/>
      <c r="D154" s="81"/>
      <c r="E154" s="82"/>
      <c r="F154" s="65"/>
      <c r="I154" s="66"/>
      <c r="J154" s="65"/>
      <c r="N154" s="65"/>
      <c r="T154" s="66"/>
      <c r="U154" s="62"/>
      <c r="V154" s="84"/>
      <c r="W154" s="84"/>
      <c r="X154" s="62"/>
      <c r="Y154" s="124"/>
      <c r="Z154" s="85"/>
      <c r="AA154" s="85"/>
      <c r="AB154" s="12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131"/>
      <c r="AN154" s="92"/>
      <c r="AO154" s="62"/>
      <c r="AP154" s="85" t="s">
        <v>52</v>
      </c>
      <c r="AZ154" s="62"/>
      <c r="BA154" s="62"/>
      <c r="BB154" s="62"/>
      <c r="BC154" s="62"/>
      <c r="BE154" s="113"/>
      <c r="BS154" s="114"/>
      <c r="BT154" s="114"/>
      <c r="BU154" s="66"/>
      <c r="BV154" s="81" t="str">
        <f t="shared" si="13"/>
        <v/>
      </c>
      <c r="BW154" s="90"/>
      <c r="BX154" s="90"/>
      <c r="BY154" s="90"/>
      <c r="BZ154" s="90"/>
      <c r="CA154" s="90"/>
      <c r="CB154" s="90"/>
      <c r="CC154" s="90"/>
      <c r="CD154" s="65"/>
      <c r="CL154" s="66"/>
    </row>
    <row r="155" spans="3:90" s="61" customFormat="1" x14ac:dyDescent="0.25">
      <c r="C155" s="65"/>
      <c r="D155" s="90"/>
      <c r="E155" s="82"/>
      <c r="F155" s="65"/>
      <c r="I155" s="66"/>
      <c r="J155" s="65"/>
      <c r="N155" s="65"/>
      <c r="T155" s="83"/>
      <c r="U155" s="62"/>
      <c r="V155" s="84"/>
      <c r="W155" s="84"/>
      <c r="X155" s="81"/>
      <c r="Y155" s="124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6"/>
      <c r="AN155" s="62" t="s">
        <v>66</v>
      </c>
      <c r="AO155" s="62"/>
      <c r="AP155" s="61" t="s">
        <v>138</v>
      </c>
      <c r="AX155" s="85"/>
      <c r="AY155" s="85"/>
      <c r="AZ155" s="62"/>
      <c r="BA155" s="62"/>
      <c r="BB155" s="62"/>
      <c r="BC155" s="62"/>
      <c r="BD155" s="85"/>
      <c r="BE155" s="87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8"/>
      <c r="BT155" s="88"/>
      <c r="BU155" s="86"/>
      <c r="BV155" s="81"/>
      <c r="BW155" s="81"/>
      <c r="BX155" s="89"/>
      <c r="BY155" s="89"/>
      <c r="BZ155" s="89"/>
      <c r="CA155" s="89"/>
      <c r="CB155" s="89"/>
      <c r="CC155" s="81"/>
      <c r="CD155" s="65"/>
      <c r="CL155" s="66"/>
    </row>
    <row r="156" spans="3:90" s="61" customFormat="1" x14ac:dyDescent="0.25">
      <c r="C156" s="65"/>
      <c r="D156" s="90"/>
      <c r="E156" s="82"/>
      <c r="F156" s="65"/>
      <c r="I156" s="66"/>
      <c r="J156" s="65"/>
      <c r="N156" s="65"/>
      <c r="T156" s="83"/>
      <c r="U156" s="62"/>
      <c r="V156" s="84"/>
      <c r="W156" s="84"/>
      <c r="X156" s="81"/>
      <c r="Y156" s="124"/>
      <c r="Z156" s="125"/>
      <c r="AA156" s="91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6"/>
      <c r="AN156" s="62"/>
      <c r="AO156" s="62"/>
      <c r="AP156" s="85" t="s">
        <v>52</v>
      </c>
      <c r="AX156" s="85"/>
      <c r="AY156" s="85"/>
      <c r="AZ156" s="62"/>
      <c r="BA156" s="62"/>
      <c r="BB156" s="62"/>
      <c r="BC156" s="62"/>
      <c r="BD156" s="85"/>
      <c r="BE156" s="87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8"/>
      <c r="BT156" s="88"/>
      <c r="BU156" s="86"/>
      <c r="BV156" s="81"/>
      <c r="BW156" s="81"/>
      <c r="BX156" s="89"/>
      <c r="BY156" s="89"/>
      <c r="BZ156" s="89"/>
      <c r="CA156" s="89"/>
      <c r="CB156" s="89"/>
      <c r="CC156" s="81"/>
      <c r="CD156" s="65"/>
      <c r="CL156" s="66"/>
    </row>
    <row r="157" spans="3:90" s="61" customFormat="1" x14ac:dyDescent="0.25">
      <c r="C157" s="65"/>
      <c r="D157" s="90"/>
      <c r="E157" s="82"/>
      <c r="F157" s="65"/>
      <c r="I157" s="66"/>
      <c r="J157" s="65"/>
      <c r="N157" s="65"/>
      <c r="T157" s="83"/>
      <c r="U157" s="62"/>
      <c r="V157" s="84"/>
      <c r="W157" s="84"/>
      <c r="X157" s="62"/>
      <c r="Y157" s="124"/>
      <c r="Z157" s="125"/>
      <c r="AA157" s="91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6"/>
      <c r="AN157" s="62" t="s">
        <v>71</v>
      </c>
      <c r="AO157" s="62"/>
      <c r="AP157" s="85" t="s">
        <v>29</v>
      </c>
      <c r="AX157" s="85"/>
      <c r="AY157" s="85"/>
      <c r="AZ157" s="62"/>
      <c r="BA157" s="62"/>
      <c r="BB157" s="62"/>
      <c r="BC157" s="62"/>
      <c r="BD157" s="85"/>
      <c r="BE157" s="87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8"/>
      <c r="BT157" s="88"/>
      <c r="BU157" s="86"/>
      <c r="BV157" s="81"/>
      <c r="BW157" s="81"/>
      <c r="BX157" s="89"/>
      <c r="BY157" s="89"/>
      <c r="BZ157" s="89"/>
      <c r="CA157" s="89"/>
      <c r="CB157" s="89"/>
      <c r="CC157" s="81"/>
      <c r="CD157" s="65"/>
      <c r="CL157" s="66"/>
    </row>
    <row r="158" spans="3:90" s="61" customFormat="1" x14ac:dyDescent="0.25">
      <c r="C158" s="65"/>
      <c r="D158" s="90"/>
      <c r="E158" s="82"/>
      <c r="F158" s="65"/>
      <c r="I158" s="66"/>
      <c r="J158" s="65"/>
      <c r="N158" s="65"/>
      <c r="T158" s="83"/>
      <c r="U158" s="62"/>
      <c r="V158" s="84"/>
      <c r="W158" s="84"/>
      <c r="X158" s="62"/>
      <c r="Y158" s="124"/>
      <c r="Z158" s="125"/>
      <c r="AA158" s="91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6"/>
      <c r="AN158" s="92"/>
      <c r="AO158" s="62"/>
      <c r="AP158" s="85" t="s">
        <v>52</v>
      </c>
      <c r="AR158" s="94"/>
      <c r="AX158" s="85"/>
      <c r="AY158" s="85"/>
      <c r="AZ158" s="62"/>
      <c r="BA158" s="62"/>
      <c r="BB158" s="62"/>
      <c r="BC158" s="62"/>
      <c r="BD158" s="85"/>
      <c r="BE158" s="87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8"/>
      <c r="BT158" s="88"/>
      <c r="BU158" s="86"/>
      <c r="BV158" s="81"/>
      <c r="BW158" s="81"/>
      <c r="BX158" s="89"/>
      <c r="BY158" s="89"/>
      <c r="BZ158" s="89"/>
      <c r="CA158" s="89"/>
      <c r="CB158" s="89"/>
      <c r="CC158" s="81"/>
      <c r="CD158" s="65"/>
      <c r="CL158" s="66"/>
    </row>
    <row r="159" spans="3:90" s="61" customFormat="1" x14ac:dyDescent="0.25">
      <c r="C159" s="65"/>
      <c r="D159" s="90"/>
      <c r="E159" s="82"/>
      <c r="F159" s="65"/>
      <c r="I159" s="66"/>
      <c r="J159" s="65"/>
      <c r="N159" s="65"/>
      <c r="T159" s="83"/>
      <c r="U159" s="62"/>
      <c r="V159" s="84"/>
      <c r="W159" s="84"/>
      <c r="X159" s="62"/>
      <c r="Y159" s="124"/>
      <c r="Z159" s="125"/>
      <c r="AA159" s="91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6"/>
      <c r="AN159" s="62" t="s">
        <v>72</v>
      </c>
      <c r="AO159" s="62"/>
      <c r="AP159" s="61" t="s">
        <v>138</v>
      </c>
      <c r="AX159" s="85"/>
      <c r="AY159" s="85"/>
      <c r="AZ159" s="62"/>
      <c r="BA159" s="62"/>
      <c r="BB159" s="62"/>
      <c r="BC159" s="62"/>
      <c r="BD159" s="85"/>
      <c r="BE159" s="87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8"/>
      <c r="BT159" s="88"/>
      <c r="BU159" s="86"/>
      <c r="BV159" s="81"/>
      <c r="BW159" s="81"/>
      <c r="BX159" s="89"/>
      <c r="BY159" s="89"/>
      <c r="BZ159" s="89"/>
      <c r="CA159" s="89"/>
      <c r="CB159" s="89"/>
      <c r="CC159" s="81"/>
      <c r="CD159" s="65"/>
      <c r="CL159" s="66"/>
    </row>
    <row r="160" spans="3:90" s="61" customFormat="1" x14ac:dyDescent="0.25">
      <c r="C160" s="65"/>
      <c r="D160" s="90"/>
      <c r="E160" s="82"/>
      <c r="F160" s="65"/>
      <c r="I160" s="66"/>
      <c r="J160" s="65"/>
      <c r="N160" s="65"/>
      <c r="T160" s="83"/>
      <c r="U160" s="62"/>
      <c r="V160" s="84"/>
      <c r="W160" s="84"/>
      <c r="X160" s="62"/>
      <c r="Y160" s="124"/>
      <c r="Z160" s="125"/>
      <c r="AA160" s="91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6"/>
      <c r="AN160" s="92"/>
      <c r="AO160" s="62"/>
      <c r="AP160" s="85" t="s">
        <v>52</v>
      </c>
      <c r="AX160" s="85"/>
      <c r="AY160" s="85"/>
      <c r="AZ160" s="62"/>
      <c r="BA160" s="62"/>
      <c r="BB160" s="62"/>
      <c r="BC160" s="62"/>
      <c r="BD160" s="85"/>
      <c r="BE160" s="87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8"/>
      <c r="BT160" s="88"/>
      <c r="BU160" s="86"/>
      <c r="BV160" s="81"/>
      <c r="BW160" s="81"/>
      <c r="BX160" s="89"/>
      <c r="BY160" s="89"/>
      <c r="BZ160" s="89"/>
      <c r="CA160" s="89"/>
      <c r="CB160" s="89"/>
      <c r="CC160" s="81"/>
      <c r="CD160" s="65"/>
      <c r="CL160" s="66"/>
    </row>
    <row r="161" spans="3:90" s="61" customFormat="1" x14ac:dyDescent="0.25">
      <c r="C161" s="71"/>
      <c r="D161" s="81"/>
      <c r="E161" s="82"/>
      <c r="F161" s="65"/>
      <c r="I161" s="66"/>
      <c r="J161" s="65"/>
      <c r="N161" s="65"/>
      <c r="T161" s="66"/>
      <c r="U161" s="62"/>
      <c r="V161" s="84"/>
      <c r="W161" s="84"/>
      <c r="X161" s="62"/>
      <c r="Y161" s="124"/>
      <c r="Z161" s="95"/>
      <c r="AA161" s="91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131"/>
      <c r="AN161" s="62" t="s">
        <v>109</v>
      </c>
      <c r="AO161" s="62"/>
      <c r="AP161" s="85" t="s">
        <v>29</v>
      </c>
      <c r="AZ161" s="62"/>
      <c r="BA161" s="62"/>
      <c r="BB161" s="62"/>
      <c r="BC161" s="62"/>
      <c r="BE161" s="113"/>
      <c r="BS161" s="114"/>
      <c r="BT161" s="114"/>
      <c r="BU161" s="66"/>
      <c r="BV161" s="81" t="str">
        <f t="shared" ref="BV161:BV168" si="14">IF(BW161&lt;&gt;"",IF(BW161=CB161+BZ161,"完了","未完"),"")</f>
        <v/>
      </c>
      <c r="BW161" s="90"/>
      <c r="BX161" s="90"/>
      <c r="BY161" s="90"/>
      <c r="BZ161" s="90"/>
      <c r="CA161" s="90"/>
      <c r="CB161" s="90"/>
      <c r="CC161" s="90"/>
      <c r="CD161" s="65"/>
      <c r="CL161" s="66"/>
    </row>
    <row r="162" spans="3:90" s="61" customFormat="1" x14ac:dyDescent="0.25">
      <c r="C162" s="71"/>
      <c r="D162" s="81"/>
      <c r="E162" s="82"/>
      <c r="F162" s="65"/>
      <c r="I162" s="66"/>
      <c r="J162" s="65"/>
      <c r="N162" s="65"/>
      <c r="T162" s="66"/>
      <c r="U162" s="62"/>
      <c r="V162" s="84"/>
      <c r="W162" s="84"/>
      <c r="X162" s="62"/>
      <c r="Y162" s="124"/>
      <c r="Z162" s="95"/>
      <c r="AA162" s="91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131"/>
      <c r="AN162" s="94"/>
      <c r="AO162" s="62"/>
      <c r="AP162" s="85" t="s">
        <v>52</v>
      </c>
      <c r="AZ162" s="62"/>
      <c r="BA162" s="62"/>
      <c r="BB162" s="62"/>
      <c r="BC162" s="62"/>
      <c r="BE162" s="113"/>
      <c r="BS162" s="114"/>
      <c r="BT162" s="114"/>
      <c r="BU162" s="66"/>
      <c r="BV162" s="81"/>
      <c r="BW162" s="90"/>
      <c r="BX162" s="90"/>
      <c r="BY162" s="90"/>
      <c r="BZ162" s="90"/>
      <c r="CA162" s="90"/>
      <c r="CB162" s="90"/>
      <c r="CC162" s="90"/>
      <c r="CD162" s="65"/>
      <c r="CL162" s="66"/>
    </row>
    <row r="163" spans="3:90" s="61" customFormat="1" x14ac:dyDescent="0.25">
      <c r="C163" s="71"/>
      <c r="D163" s="81"/>
      <c r="E163" s="82"/>
      <c r="F163" s="65"/>
      <c r="I163" s="66"/>
      <c r="J163" s="65"/>
      <c r="N163" s="65"/>
      <c r="T163" s="66"/>
      <c r="U163" s="62"/>
      <c r="V163" s="84"/>
      <c r="W163" s="84"/>
      <c r="X163" s="62"/>
      <c r="Y163" s="124"/>
      <c r="Z163" s="95"/>
      <c r="AA163" s="91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131"/>
      <c r="AN163" s="94" t="s">
        <v>110</v>
      </c>
      <c r="AO163" s="62"/>
      <c r="AP163" s="61" t="s">
        <v>138</v>
      </c>
      <c r="AQ163" s="61" t="s">
        <v>354</v>
      </c>
      <c r="AS163" s="61" t="s">
        <v>405</v>
      </c>
      <c r="AZ163" s="62"/>
      <c r="BA163" s="62"/>
      <c r="BB163" s="62"/>
      <c r="BC163" s="62"/>
      <c r="BE163" s="113"/>
      <c r="BS163" s="114"/>
      <c r="BT163" s="114"/>
      <c r="BU163" s="66"/>
      <c r="BV163" s="81"/>
      <c r="BW163" s="90"/>
      <c r="BX163" s="90"/>
      <c r="BY163" s="90"/>
      <c r="BZ163" s="90"/>
      <c r="CA163" s="90"/>
      <c r="CB163" s="90"/>
      <c r="CC163" s="90"/>
      <c r="CD163" s="65"/>
      <c r="CL163" s="66"/>
    </row>
    <row r="164" spans="3:90" s="61" customFormat="1" x14ac:dyDescent="0.25">
      <c r="C164" s="71"/>
      <c r="D164" s="81"/>
      <c r="E164" s="82"/>
      <c r="F164" s="65"/>
      <c r="I164" s="66"/>
      <c r="J164" s="65"/>
      <c r="N164" s="65"/>
      <c r="T164" s="66"/>
      <c r="U164" s="62"/>
      <c r="V164" s="84"/>
      <c r="W164" s="84"/>
      <c r="X164" s="62"/>
      <c r="Y164" s="124"/>
      <c r="Z164" s="95"/>
      <c r="AA164" s="91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131"/>
      <c r="AN164" s="94"/>
      <c r="AO164" s="62"/>
      <c r="AP164" s="85" t="s">
        <v>51</v>
      </c>
      <c r="AZ164" s="62"/>
      <c r="BA164" s="62"/>
      <c r="BB164" s="62"/>
      <c r="BC164" s="62"/>
      <c r="BE164" s="113"/>
      <c r="BS164" s="114"/>
      <c r="BT164" s="114"/>
      <c r="BU164" s="66"/>
      <c r="BV164" s="81"/>
      <c r="BW164" s="90"/>
      <c r="BX164" s="90"/>
      <c r="BY164" s="90"/>
      <c r="BZ164" s="90"/>
      <c r="CA164" s="90"/>
      <c r="CB164" s="90"/>
      <c r="CC164" s="90"/>
      <c r="CD164" s="65"/>
      <c r="CL164" s="66"/>
    </row>
    <row r="165" spans="3:90" s="61" customFormat="1" x14ac:dyDescent="0.25">
      <c r="C165" s="71"/>
      <c r="D165" s="81"/>
      <c r="E165" s="82"/>
      <c r="F165" s="65"/>
      <c r="I165" s="66"/>
      <c r="J165" s="65"/>
      <c r="N165" s="65"/>
      <c r="T165" s="66"/>
      <c r="U165" s="62"/>
      <c r="V165" s="84"/>
      <c r="W165" s="84"/>
      <c r="X165" s="62"/>
      <c r="Y165" s="124"/>
      <c r="Z165" s="95"/>
      <c r="AA165" s="91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131"/>
      <c r="AN165" s="94" t="s">
        <v>111</v>
      </c>
      <c r="AO165" s="62"/>
      <c r="AP165" s="61" t="s">
        <v>132</v>
      </c>
      <c r="AZ165" s="62"/>
      <c r="BA165" s="62"/>
      <c r="BB165" s="62"/>
      <c r="BC165" s="62"/>
      <c r="BE165" s="113"/>
      <c r="BS165" s="114"/>
      <c r="BT165" s="114"/>
      <c r="BU165" s="66"/>
      <c r="BV165" s="81"/>
      <c r="BW165" s="90"/>
      <c r="BX165" s="90"/>
      <c r="BY165" s="90"/>
      <c r="BZ165" s="90"/>
      <c r="CA165" s="90"/>
      <c r="CB165" s="90"/>
      <c r="CC165" s="90"/>
      <c r="CD165" s="65"/>
      <c r="CL165" s="66"/>
    </row>
    <row r="166" spans="3:90" s="61" customFormat="1" x14ac:dyDescent="0.25">
      <c r="C166" s="71"/>
      <c r="D166" s="81"/>
      <c r="E166" s="82"/>
      <c r="F166" s="65"/>
      <c r="I166" s="66"/>
      <c r="J166" s="65"/>
      <c r="N166" s="65"/>
      <c r="T166" s="66"/>
      <c r="U166" s="62"/>
      <c r="V166" s="84"/>
      <c r="W166" s="84"/>
      <c r="X166" s="62"/>
      <c r="Y166" s="124"/>
      <c r="Z166" s="95"/>
      <c r="AA166" s="91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131"/>
      <c r="AN166" s="94"/>
      <c r="AO166" s="62"/>
      <c r="AZ166" s="62"/>
      <c r="BA166" s="62"/>
      <c r="BB166" s="62"/>
      <c r="BC166" s="62"/>
      <c r="BE166" s="113"/>
      <c r="BS166" s="114"/>
      <c r="BT166" s="114"/>
      <c r="BU166" s="66"/>
      <c r="BV166" s="81"/>
      <c r="BW166" s="90"/>
      <c r="BX166" s="90"/>
      <c r="BY166" s="90"/>
      <c r="BZ166" s="90"/>
      <c r="CA166" s="90"/>
      <c r="CB166" s="90"/>
      <c r="CC166" s="90"/>
      <c r="CD166" s="65"/>
      <c r="CL166" s="66"/>
    </row>
    <row r="167" spans="3:90" s="61" customFormat="1" x14ac:dyDescent="0.25">
      <c r="C167" s="81"/>
      <c r="D167" s="90"/>
      <c r="E167" s="115"/>
      <c r="F167" s="65"/>
      <c r="I167" s="66"/>
      <c r="J167" s="65"/>
      <c r="N167" s="65"/>
      <c r="T167" s="66"/>
      <c r="U167" s="105"/>
      <c r="V167" s="116"/>
      <c r="W167" s="116"/>
      <c r="X167" s="105"/>
      <c r="Y167" s="101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2"/>
      <c r="AN167" s="117"/>
      <c r="AO167" s="105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5"/>
      <c r="BA167" s="105"/>
      <c r="BB167" s="105"/>
      <c r="BC167" s="105"/>
      <c r="BD167" s="100"/>
      <c r="BE167" s="118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32"/>
      <c r="BT167" s="132"/>
      <c r="BU167" s="102"/>
      <c r="BV167" s="97" t="str">
        <f t="shared" si="14"/>
        <v/>
      </c>
      <c r="BW167" s="119"/>
      <c r="BX167" s="119"/>
      <c r="BY167" s="119"/>
      <c r="BZ167" s="119"/>
      <c r="CA167" s="119"/>
      <c r="CB167" s="119"/>
      <c r="CC167" s="119"/>
      <c r="CD167" s="101"/>
      <c r="CE167" s="100"/>
      <c r="CF167" s="100"/>
      <c r="CG167" s="100"/>
      <c r="CH167" s="100"/>
      <c r="CI167" s="100"/>
      <c r="CJ167" s="100"/>
      <c r="CK167" s="100"/>
      <c r="CL167" s="102"/>
    </row>
    <row r="168" spans="3:90" s="61" customFormat="1" x14ac:dyDescent="0.25">
      <c r="C168" s="71"/>
      <c r="D168" s="81"/>
      <c r="E168" s="111">
        <v>3</v>
      </c>
      <c r="F168" s="65"/>
      <c r="I168" s="66"/>
      <c r="J168" s="65"/>
      <c r="N168" s="65"/>
      <c r="T168" s="66"/>
      <c r="U168" s="76" t="s">
        <v>63</v>
      </c>
      <c r="V168" s="73" t="s">
        <v>43</v>
      </c>
      <c r="W168" s="73"/>
      <c r="X168" s="63">
        <f>BW168</f>
        <v>18</v>
      </c>
      <c r="Y168" s="120" t="s">
        <v>50</v>
      </c>
      <c r="Z168" s="121" t="s">
        <v>261</v>
      </c>
      <c r="AA168" s="121"/>
      <c r="AB168" s="121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3"/>
      <c r="AN168" s="71" t="s">
        <v>100</v>
      </c>
      <c r="AO168" s="62"/>
      <c r="AP168" s="61" t="s">
        <v>30</v>
      </c>
      <c r="AR168" s="68"/>
      <c r="AS168" s="68"/>
      <c r="AT168" s="68"/>
      <c r="AU168" s="68"/>
      <c r="AV168" s="68"/>
      <c r="AW168" s="68"/>
      <c r="AX168" s="68"/>
      <c r="AY168" s="68"/>
      <c r="AZ168" s="76"/>
      <c r="BA168" s="76"/>
      <c r="BB168" s="76"/>
      <c r="BC168" s="76"/>
      <c r="BD168" s="68"/>
      <c r="BE168" s="78" t="s">
        <v>50</v>
      </c>
      <c r="BF168" s="68" t="s">
        <v>21</v>
      </c>
      <c r="BG168" s="68"/>
      <c r="BH168" s="68"/>
      <c r="BI168" s="74"/>
      <c r="BJ168" s="74"/>
      <c r="BK168" s="74"/>
      <c r="BL168" s="68"/>
      <c r="BM168" s="68"/>
      <c r="BN168" s="68"/>
      <c r="BO168" s="68"/>
      <c r="BP168" s="68"/>
      <c r="BQ168" s="68"/>
      <c r="BR168" s="68"/>
      <c r="BS168" s="112">
        <v>18</v>
      </c>
      <c r="BT168" s="79">
        <v>0</v>
      </c>
      <c r="BU168" s="69"/>
      <c r="BV168" s="63" t="str">
        <f t="shared" si="14"/>
        <v>未完</v>
      </c>
      <c r="BW168" s="63">
        <f>SUM(BS168:BT176)</f>
        <v>18</v>
      </c>
      <c r="BX168" s="80">
        <v>0</v>
      </c>
      <c r="BY168" s="80">
        <v>0</v>
      </c>
      <c r="BZ168" s="80">
        <v>0</v>
      </c>
      <c r="CA168" s="80">
        <f>BW168-(BX168+BY168+BZ168)</f>
        <v>18</v>
      </c>
      <c r="CB168" s="80">
        <v>0</v>
      </c>
      <c r="CC168" s="80">
        <v>0</v>
      </c>
      <c r="CD168" s="67"/>
      <c r="CE168" s="68"/>
      <c r="CF168" s="68"/>
      <c r="CG168" s="68"/>
      <c r="CH168" s="68"/>
      <c r="CI168" s="68"/>
      <c r="CJ168" s="68"/>
      <c r="CK168" s="68"/>
      <c r="CL168" s="69"/>
    </row>
    <row r="169" spans="3:90" s="61" customFormat="1" x14ac:dyDescent="0.25">
      <c r="C169" s="71"/>
      <c r="D169" s="81"/>
      <c r="E169" s="82"/>
      <c r="F169" s="65"/>
      <c r="I169" s="66"/>
      <c r="J169" s="65"/>
      <c r="N169" s="65"/>
      <c r="T169" s="66"/>
      <c r="U169" s="62"/>
      <c r="V169" s="84"/>
      <c r="W169" s="84"/>
      <c r="X169" s="62"/>
      <c r="Y169" s="92" t="s">
        <v>50</v>
      </c>
      <c r="Z169" s="95" t="s">
        <v>260</v>
      </c>
      <c r="AA169" s="8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6"/>
      <c r="AN169" s="71"/>
      <c r="AO169" s="62"/>
      <c r="AP169" s="85" t="s">
        <v>52</v>
      </c>
      <c r="AZ169" s="62"/>
      <c r="BA169" s="62"/>
      <c r="BB169" s="62"/>
      <c r="BC169" s="62"/>
      <c r="BE169" s="113" t="s">
        <v>50</v>
      </c>
      <c r="BF169" s="61" t="s">
        <v>134</v>
      </c>
      <c r="BS169" s="114"/>
      <c r="BT169" s="114"/>
      <c r="BU169" s="66"/>
      <c r="BV169" s="81"/>
      <c r="BW169" s="90"/>
      <c r="BX169" s="90"/>
      <c r="BY169" s="90"/>
      <c r="BZ169" s="90"/>
      <c r="CA169" s="90"/>
      <c r="CB169" s="90"/>
      <c r="CC169" s="90"/>
      <c r="CD169" s="65"/>
      <c r="CE169" s="93"/>
      <c r="CL169" s="66"/>
    </row>
    <row r="170" spans="3:90" s="61" customFormat="1" x14ac:dyDescent="0.25">
      <c r="C170" s="71"/>
      <c r="D170" s="81"/>
      <c r="E170" s="82"/>
      <c r="F170" s="65"/>
      <c r="I170" s="66"/>
      <c r="J170" s="65"/>
      <c r="N170" s="65"/>
      <c r="T170" s="66"/>
      <c r="U170" s="62"/>
      <c r="V170" s="84"/>
      <c r="W170" s="84"/>
      <c r="X170" s="62"/>
      <c r="Y170" s="92" t="s">
        <v>53</v>
      </c>
      <c r="Z170" s="95" t="s">
        <v>548</v>
      </c>
      <c r="AA170" s="9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6"/>
      <c r="AN170" s="71" t="s">
        <v>84</v>
      </c>
      <c r="AO170" s="62"/>
      <c r="AP170" s="61" t="s">
        <v>137</v>
      </c>
      <c r="AZ170" s="62"/>
      <c r="BA170" s="62"/>
      <c r="BB170" s="62"/>
      <c r="BC170" s="62"/>
      <c r="BE170" s="113" t="s">
        <v>50</v>
      </c>
      <c r="BF170" s="61" t="s">
        <v>133</v>
      </c>
      <c r="BH170" s="85"/>
      <c r="BS170" s="114"/>
      <c r="BT170" s="114"/>
      <c r="BU170" s="66"/>
      <c r="BV170" s="81" t="str">
        <f t="shared" ref="BV170:BV171" si="15">IF(BW170&lt;&gt;"",IF(BW170=CB170+BZ170,"完了","未完"),"")</f>
        <v/>
      </c>
      <c r="BW170" s="90"/>
      <c r="BX170" s="90"/>
      <c r="BY170" s="90"/>
      <c r="BZ170" s="90"/>
      <c r="CA170" s="90"/>
      <c r="CB170" s="90"/>
      <c r="CC170" s="90"/>
      <c r="CD170" s="65"/>
      <c r="CL170" s="66"/>
    </row>
    <row r="171" spans="3:90" s="61" customFormat="1" x14ac:dyDescent="0.25">
      <c r="C171" s="71"/>
      <c r="D171" s="81"/>
      <c r="E171" s="82"/>
      <c r="F171" s="65"/>
      <c r="I171" s="66"/>
      <c r="J171" s="65"/>
      <c r="N171" s="65"/>
      <c r="T171" s="66"/>
      <c r="U171" s="62"/>
      <c r="V171" s="84"/>
      <c r="W171" s="84"/>
      <c r="X171" s="62"/>
      <c r="Y171" s="92"/>
      <c r="Z171" s="95" t="s">
        <v>57</v>
      </c>
      <c r="AA171" s="85" t="s">
        <v>549</v>
      </c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6"/>
      <c r="AN171" s="92"/>
      <c r="AO171" s="62"/>
      <c r="AP171" s="85" t="s">
        <v>52</v>
      </c>
      <c r="AZ171" s="62"/>
      <c r="BA171" s="62"/>
      <c r="BB171" s="62"/>
      <c r="BC171" s="62"/>
      <c r="BE171" s="113"/>
      <c r="BS171" s="114"/>
      <c r="BT171" s="114"/>
      <c r="BU171" s="66"/>
      <c r="BV171" s="81" t="str">
        <f t="shared" si="15"/>
        <v/>
      </c>
      <c r="BW171" s="90"/>
      <c r="BX171" s="90"/>
      <c r="BY171" s="90"/>
      <c r="BZ171" s="90"/>
      <c r="CA171" s="90"/>
      <c r="CB171" s="90"/>
      <c r="CC171" s="90"/>
      <c r="CD171" s="65"/>
      <c r="CL171" s="66"/>
    </row>
    <row r="172" spans="3:90" s="61" customFormat="1" x14ac:dyDescent="0.25">
      <c r="C172" s="65"/>
      <c r="D172" s="90"/>
      <c r="E172" s="82"/>
      <c r="F172" s="65"/>
      <c r="I172" s="66"/>
      <c r="J172" s="65"/>
      <c r="N172" s="65"/>
      <c r="T172" s="83"/>
      <c r="U172" s="62"/>
      <c r="V172" s="84"/>
      <c r="W172" s="84"/>
      <c r="X172" s="81"/>
      <c r="Y172" s="124"/>
      <c r="AA172" s="125"/>
      <c r="AB172" s="125"/>
      <c r="AC172" s="85"/>
      <c r="AD172" s="85"/>
      <c r="AE172" s="91"/>
      <c r="AF172" s="85"/>
      <c r="AG172" s="85"/>
      <c r="AH172" s="85"/>
      <c r="AI172" s="85"/>
      <c r="AJ172" s="85"/>
      <c r="AK172" s="85"/>
      <c r="AL172" s="85"/>
      <c r="AM172" s="86"/>
      <c r="AN172" s="62" t="s">
        <v>66</v>
      </c>
      <c r="AO172" s="62"/>
      <c r="AP172" s="61" t="s">
        <v>138</v>
      </c>
      <c r="AQ172" s="61" t="s">
        <v>355</v>
      </c>
      <c r="AS172" s="61" t="s">
        <v>406</v>
      </c>
      <c r="AX172" s="85"/>
      <c r="AY172" s="85"/>
      <c r="AZ172" s="62"/>
      <c r="BA172" s="62"/>
      <c r="BB172" s="62"/>
      <c r="BC172" s="62"/>
      <c r="BD172" s="85"/>
      <c r="BE172" s="87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8"/>
      <c r="BT172" s="88"/>
      <c r="BU172" s="86"/>
      <c r="BV172" s="81"/>
      <c r="BW172" s="81"/>
      <c r="BX172" s="89"/>
      <c r="BY172" s="89"/>
      <c r="BZ172" s="89"/>
      <c r="CA172" s="89"/>
      <c r="CB172" s="89"/>
      <c r="CC172" s="81"/>
      <c r="CD172" s="65"/>
      <c r="CL172" s="66"/>
    </row>
    <row r="173" spans="3:90" s="61" customFormat="1" x14ac:dyDescent="0.25">
      <c r="C173" s="65"/>
      <c r="D173" s="90"/>
      <c r="E173" s="82"/>
      <c r="F173" s="65"/>
      <c r="I173" s="66"/>
      <c r="J173" s="65"/>
      <c r="N173" s="65"/>
      <c r="T173" s="83"/>
      <c r="U173" s="62"/>
      <c r="V173" s="84"/>
      <c r="W173" s="84"/>
      <c r="X173" s="81"/>
      <c r="Y173" s="124"/>
      <c r="AA173" s="125"/>
      <c r="AB173" s="125"/>
      <c r="AC173" s="85"/>
      <c r="AD173" s="85"/>
      <c r="AE173" s="91"/>
      <c r="AF173" s="85"/>
      <c r="AG173" s="85"/>
      <c r="AH173" s="85"/>
      <c r="AI173" s="85"/>
      <c r="AJ173" s="85"/>
      <c r="AK173" s="85"/>
      <c r="AL173" s="85"/>
      <c r="AM173" s="86"/>
      <c r="AN173" s="62"/>
      <c r="AO173" s="62"/>
      <c r="AP173" s="85" t="s">
        <v>52</v>
      </c>
      <c r="AS173" s="61" t="s">
        <v>407</v>
      </c>
      <c r="AX173" s="85"/>
      <c r="AY173" s="85"/>
      <c r="AZ173" s="62"/>
      <c r="BA173" s="62"/>
      <c r="BB173" s="62"/>
      <c r="BC173" s="62"/>
      <c r="BD173" s="85"/>
      <c r="BE173" s="87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8"/>
      <c r="BT173" s="88"/>
      <c r="BU173" s="86"/>
      <c r="BV173" s="81"/>
      <c r="BW173" s="81"/>
      <c r="BX173" s="89"/>
      <c r="BY173" s="89"/>
      <c r="BZ173" s="89"/>
      <c r="CA173" s="89"/>
      <c r="CB173" s="89"/>
      <c r="CC173" s="81"/>
      <c r="CD173" s="65"/>
      <c r="CL173" s="66"/>
    </row>
    <row r="174" spans="3:90" s="61" customFormat="1" x14ac:dyDescent="0.25">
      <c r="C174" s="65"/>
      <c r="D174" s="90"/>
      <c r="E174" s="82"/>
      <c r="F174" s="65"/>
      <c r="I174" s="66"/>
      <c r="J174" s="65"/>
      <c r="N174" s="65"/>
      <c r="T174" s="83"/>
      <c r="U174" s="62"/>
      <c r="V174" s="84"/>
      <c r="W174" s="84"/>
      <c r="X174" s="81"/>
      <c r="Y174" s="124"/>
      <c r="Z174" s="125"/>
      <c r="AA174" s="91"/>
      <c r="AB174" s="85"/>
      <c r="AC174" s="85"/>
      <c r="AD174" s="85"/>
      <c r="AE174" s="91"/>
      <c r="AF174" s="85"/>
      <c r="AG174" s="85"/>
      <c r="AH174" s="85"/>
      <c r="AI174" s="85"/>
      <c r="AJ174" s="85"/>
      <c r="AK174" s="85"/>
      <c r="AL174" s="85"/>
      <c r="AM174" s="86"/>
      <c r="AN174" s="62" t="s">
        <v>71</v>
      </c>
      <c r="AO174" s="62"/>
      <c r="AP174" s="61" t="s">
        <v>132</v>
      </c>
      <c r="AX174" s="85"/>
      <c r="AY174" s="85"/>
      <c r="AZ174" s="62"/>
      <c r="BA174" s="62"/>
      <c r="BB174" s="62"/>
      <c r="BC174" s="62"/>
      <c r="BD174" s="85"/>
      <c r="BE174" s="87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8"/>
      <c r="BT174" s="88"/>
      <c r="BU174" s="86"/>
      <c r="BV174" s="81"/>
      <c r="BW174" s="81"/>
      <c r="BX174" s="89"/>
      <c r="BY174" s="89"/>
      <c r="BZ174" s="89"/>
      <c r="CA174" s="89"/>
      <c r="CB174" s="89"/>
      <c r="CC174" s="81"/>
      <c r="CD174" s="65"/>
      <c r="CL174" s="66"/>
    </row>
    <row r="175" spans="3:90" s="61" customFormat="1" x14ac:dyDescent="0.25">
      <c r="C175" s="65"/>
      <c r="D175" s="90"/>
      <c r="E175" s="82"/>
      <c r="F175" s="65"/>
      <c r="I175" s="66"/>
      <c r="J175" s="65"/>
      <c r="N175" s="65"/>
      <c r="T175" s="83"/>
      <c r="U175" s="62"/>
      <c r="V175" s="84"/>
      <c r="W175" s="84"/>
      <c r="X175" s="81"/>
      <c r="Y175" s="124"/>
      <c r="Z175" s="125"/>
      <c r="AA175" s="91"/>
      <c r="AB175" s="85"/>
      <c r="AC175" s="85"/>
      <c r="AD175" s="85"/>
      <c r="AE175" s="91"/>
      <c r="AF175" s="85"/>
      <c r="AG175" s="85"/>
      <c r="AH175" s="85"/>
      <c r="AI175" s="85"/>
      <c r="AJ175" s="85"/>
      <c r="AK175" s="85"/>
      <c r="AL175" s="85"/>
      <c r="AM175" s="86"/>
      <c r="AN175" s="62"/>
      <c r="AO175" s="62"/>
      <c r="AX175" s="85"/>
      <c r="AY175" s="85"/>
      <c r="AZ175" s="62"/>
      <c r="BA175" s="62"/>
      <c r="BB175" s="62"/>
      <c r="BC175" s="62"/>
      <c r="BD175" s="85"/>
      <c r="BE175" s="87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8"/>
      <c r="BT175" s="88"/>
      <c r="BU175" s="86"/>
      <c r="BV175" s="81"/>
      <c r="BW175" s="81"/>
      <c r="BX175" s="89"/>
      <c r="BY175" s="89"/>
      <c r="BZ175" s="89"/>
      <c r="CA175" s="89"/>
      <c r="CB175" s="89"/>
      <c r="CC175" s="81"/>
      <c r="CD175" s="65"/>
      <c r="CL175" s="66"/>
    </row>
    <row r="176" spans="3:90" s="61" customFormat="1" x14ac:dyDescent="0.25">
      <c r="C176" s="65"/>
      <c r="D176" s="90"/>
      <c r="E176" s="82"/>
      <c r="F176" s="65"/>
      <c r="I176" s="66"/>
      <c r="J176" s="65"/>
      <c r="N176" s="65"/>
      <c r="T176" s="83"/>
      <c r="U176" s="62"/>
      <c r="V176" s="84"/>
      <c r="W176" s="84"/>
      <c r="X176" s="81"/>
      <c r="Y176" s="124"/>
      <c r="Z176" s="125"/>
      <c r="AA176" s="91"/>
      <c r="AB176" s="85"/>
      <c r="AC176" s="85"/>
      <c r="AD176" s="85"/>
      <c r="AE176" s="91"/>
      <c r="AF176" s="85"/>
      <c r="AG176" s="85"/>
      <c r="AH176" s="85"/>
      <c r="AI176" s="85"/>
      <c r="AJ176" s="85"/>
      <c r="AK176" s="85"/>
      <c r="AL176" s="85"/>
      <c r="AM176" s="86"/>
      <c r="AN176" s="62"/>
      <c r="AO176" s="62"/>
      <c r="AX176" s="85"/>
      <c r="AY176" s="85"/>
      <c r="AZ176" s="62"/>
      <c r="BA176" s="62"/>
      <c r="BB176" s="62"/>
      <c r="BC176" s="62"/>
      <c r="BD176" s="85"/>
      <c r="BE176" s="87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8"/>
      <c r="BT176" s="88"/>
      <c r="BU176" s="86"/>
      <c r="BV176" s="81"/>
      <c r="BW176" s="81"/>
      <c r="BX176" s="89"/>
      <c r="BY176" s="89"/>
      <c r="BZ176" s="89"/>
      <c r="CA176" s="89"/>
      <c r="CB176" s="89"/>
      <c r="CC176" s="81"/>
      <c r="CD176" s="65"/>
      <c r="CL176" s="66"/>
    </row>
    <row r="177" spans="3:90" s="61" customFormat="1" x14ac:dyDescent="0.25">
      <c r="C177" s="62"/>
      <c r="D177" s="81"/>
      <c r="E177" s="64">
        <v>4</v>
      </c>
      <c r="F177" s="65"/>
      <c r="I177" s="66"/>
      <c r="J177" s="65"/>
      <c r="M177" s="66"/>
      <c r="N177" s="65"/>
      <c r="T177" s="83"/>
      <c r="U177" s="76" t="s">
        <v>63</v>
      </c>
      <c r="V177" s="73" t="s">
        <v>43</v>
      </c>
      <c r="W177" s="73"/>
      <c r="X177" s="63">
        <f>BW177</f>
        <v>18</v>
      </c>
      <c r="Y177" s="120" t="s">
        <v>50</v>
      </c>
      <c r="Z177" s="121" t="s">
        <v>139</v>
      </c>
      <c r="AA177" s="121"/>
      <c r="AB177" s="122"/>
      <c r="AC177" s="122"/>
      <c r="AD177" s="122"/>
      <c r="AE177" s="129"/>
      <c r="AF177" s="122"/>
      <c r="AG177" s="122"/>
      <c r="AH177" s="122"/>
      <c r="AI177" s="122"/>
      <c r="AJ177" s="122"/>
      <c r="AK177" s="122"/>
      <c r="AL177" s="122"/>
      <c r="AM177" s="123"/>
      <c r="AN177" s="72" t="s">
        <v>55</v>
      </c>
      <c r="AO177" s="76"/>
      <c r="AP177" s="68" t="s">
        <v>30</v>
      </c>
      <c r="AQ177" s="68"/>
      <c r="AR177" s="68"/>
      <c r="AS177" s="68"/>
      <c r="AT177" s="68"/>
      <c r="AU177" s="68"/>
      <c r="AV177" s="68"/>
      <c r="AW177" s="68"/>
      <c r="AX177" s="74"/>
      <c r="AY177" s="74"/>
      <c r="AZ177" s="76"/>
      <c r="BA177" s="76"/>
      <c r="BB177" s="76"/>
      <c r="BC177" s="76"/>
      <c r="BD177" s="74"/>
      <c r="BE177" s="78" t="s">
        <v>50</v>
      </c>
      <c r="BF177" s="68" t="s">
        <v>21</v>
      </c>
      <c r="BG177" s="68"/>
      <c r="BH177" s="68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9">
        <v>18</v>
      </c>
      <c r="BT177" s="79">
        <v>0</v>
      </c>
      <c r="BU177" s="75"/>
      <c r="BV177" s="63" t="str">
        <f t="shared" ref="BV177:BV353" si="16">IF(BW177&lt;&gt;"",IF(BW177=CB177+BZ177,"完了","未完"),"")</f>
        <v>未完</v>
      </c>
      <c r="BW177" s="63">
        <f>SUM(BS177:BT179)</f>
        <v>18</v>
      </c>
      <c r="BX177" s="80">
        <v>0</v>
      </c>
      <c r="BY177" s="80">
        <v>0</v>
      </c>
      <c r="BZ177" s="80">
        <v>0</v>
      </c>
      <c r="CA177" s="80">
        <f>BW177-(BX177+BY177+BZ177)</f>
        <v>18</v>
      </c>
      <c r="CB177" s="80">
        <v>0</v>
      </c>
      <c r="CC177" s="80">
        <v>0</v>
      </c>
      <c r="CD177" s="67"/>
      <c r="CE177" s="68"/>
      <c r="CF177" s="68"/>
      <c r="CG177" s="68"/>
      <c r="CH177" s="68"/>
      <c r="CI177" s="68"/>
      <c r="CJ177" s="68"/>
      <c r="CK177" s="68"/>
      <c r="CL177" s="69"/>
    </row>
    <row r="178" spans="3:90" s="61" customFormat="1" x14ac:dyDescent="0.25">
      <c r="C178" s="62"/>
      <c r="D178" s="81"/>
      <c r="E178" s="82"/>
      <c r="F178" s="65"/>
      <c r="I178" s="66"/>
      <c r="J178" s="65"/>
      <c r="M178" s="66"/>
      <c r="N178" s="65"/>
      <c r="T178" s="83"/>
      <c r="U178" s="62"/>
      <c r="V178" s="84"/>
      <c r="W178" s="84"/>
      <c r="X178" s="62"/>
      <c r="Y178" s="92" t="s">
        <v>53</v>
      </c>
      <c r="Z178" s="95" t="s">
        <v>548</v>
      </c>
      <c r="AA178" s="9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6"/>
      <c r="AN178" s="71"/>
      <c r="AO178" s="62"/>
      <c r="AP178" s="85" t="s">
        <v>52</v>
      </c>
      <c r="AX178" s="85"/>
      <c r="AY178" s="85"/>
      <c r="AZ178" s="62"/>
      <c r="BA178" s="62"/>
      <c r="BB178" s="62"/>
      <c r="BC178" s="62"/>
      <c r="BD178" s="85"/>
      <c r="BE178" s="113" t="s">
        <v>50</v>
      </c>
      <c r="BF178" s="61" t="s">
        <v>134</v>
      </c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8"/>
      <c r="BT178" s="88"/>
      <c r="BU178" s="86"/>
      <c r="BV178" s="81"/>
      <c r="BW178" s="81"/>
      <c r="BX178" s="89"/>
      <c r="BY178" s="89"/>
      <c r="BZ178" s="89"/>
      <c r="CA178" s="89"/>
      <c r="CB178" s="89"/>
      <c r="CC178" s="89"/>
      <c r="CD178" s="65"/>
      <c r="CL178" s="66"/>
    </row>
    <row r="179" spans="3:90" s="61" customFormat="1" x14ac:dyDescent="0.25">
      <c r="C179" s="62"/>
      <c r="D179" s="81"/>
      <c r="E179" s="82"/>
      <c r="F179" s="65"/>
      <c r="I179" s="66"/>
      <c r="J179" s="65"/>
      <c r="M179" s="66"/>
      <c r="N179" s="65"/>
      <c r="T179" s="83"/>
      <c r="U179" s="62"/>
      <c r="V179" s="84"/>
      <c r="W179" s="84"/>
      <c r="X179" s="62"/>
      <c r="Y179" s="92"/>
      <c r="Z179" s="95" t="s">
        <v>57</v>
      </c>
      <c r="AA179" s="85" t="s">
        <v>549</v>
      </c>
      <c r="AB179" s="125"/>
      <c r="AC179" s="125"/>
      <c r="AD179" s="125"/>
      <c r="AE179" s="91"/>
      <c r="AF179" s="125"/>
      <c r="AG179" s="125"/>
      <c r="AH179" s="125"/>
      <c r="AI179" s="125"/>
      <c r="AJ179" s="125"/>
      <c r="AK179" s="125"/>
      <c r="AL179" s="125"/>
      <c r="AM179" s="126"/>
      <c r="AN179" s="71" t="s">
        <v>84</v>
      </c>
      <c r="AO179" s="62"/>
      <c r="AP179" s="85" t="s">
        <v>137</v>
      </c>
      <c r="AX179" s="85"/>
      <c r="AY179" s="85"/>
      <c r="AZ179" s="62"/>
      <c r="BA179" s="62"/>
      <c r="BB179" s="62"/>
      <c r="BC179" s="62"/>
      <c r="BD179" s="85"/>
      <c r="BE179" s="113" t="s">
        <v>50</v>
      </c>
      <c r="BF179" s="61" t="s">
        <v>133</v>
      </c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8"/>
      <c r="BT179" s="88"/>
      <c r="BU179" s="86"/>
      <c r="BV179" s="81"/>
      <c r="BW179" s="81"/>
      <c r="BX179" s="89"/>
      <c r="BY179" s="89"/>
      <c r="BZ179" s="89"/>
      <c r="CA179" s="89"/>
      <c r="CB179" s="89"/>
      <c r="CC179" s="89"/>
      <c r="CD179" s="65"/>
      <c r="CL179" s="66"/>
    </row>
    <row r="180" spans="3:90" s="61" customFormat="1" x14ac:dyDescent="0.25">
      <c r="C180" s="62"/>
      <c r="D180" s="81"/>
      <c r="E180" s="82"/>
      <c r="F180" s="65"/>
      <c r="I180" s="66"/>
      <c r="J180" s="65"/>
      <c r="N180" s="65"/>
      <c r="T180" s="83"/>
      <c r="U180" s="62"/>
      <c r="V180" s="84"/>
      <c r="W180" s="84"/>
      <c r="X180" s="62"/>
      <c r="Y180" s="92"/>
      <c r="Z180" s="95"/>
      <c r="AA180" s="85"/>
      <c r="AB180" s="125"/>
      <c r="AC180" s="125"/>
      <c r="AD180" s="125"/>
      <c r="AE180" s="91"/>
      <c r="AF180" s="125"/>
      <c r="AG180" s="125"/>
      <c r="AH180" s="125"/>
      <c r="AI180" s="125"/>
      <c r="AJ180" s="125"/>
      <c r="AK180" s="125"/>
      <c r="AL180" s="125"/>
      <c r="AM180" s="126"/>
      <c r="AN180" s="71"/>
      <c r="AO180" s="62"/>
      <c r="AP180" s="85" t="s">
        <v>52</v>
      </c>
      <c r="AX180" s="85"/>
      <c r="AY180" s="85"/>
      <c r="AZ180" s="62"/>
      <c r="BA180" s="62"/>
      <c r="BB180" s="62"/>
      <c r="BC180" s="62"/>
      <c r="BD180" s="85"/>
      <c r="BE180" s="113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8"/>
      <c r="BT180" s="88"/>
      <c r="BU180" s="86"/>
      <c r="BV180" s="81"/>
      <c r="BW180" s="81"/>
      <c r="BX180" s="89"/>
      <c r="BY180" s="89"/>
      <c r="BZ180" s="89"/>
      <c r="CA180" s="89"/>
      <c r="CB180" s="89"/>
      <c r="CC180" s="89"/>
      <c r="CD180" s="65"/>
      <c r="CL180" s="66"/>
    </row>
    <row r="181" spans="3:90" s="61" customFormat="1" x14ac:dyDescent="0.25">
      <c r="C181" s="62"/>
      <c r="D181" s="81"/>
      <c r="E181" s="82"/>
      <c r="F181" s="65"/>
      <c r="I181" s="66"/>
      <c r="J181" s="65"/>
      <c r="N181" s="65"/>
      <c r="T181" s="83"/>
      <c r="U181" s="62"/>
      <c r="V181" s="84"/>
      <c r="W181" s="84"/>
      <c r="X181" s="62"/>
      <c r="Y181" s="92"/>
      <c r="Z181" s="95"/>
      <c r="AA181" s="85"/>
      <c r="AB181" s="125"/>
      <c r="AC181" s="125"/>
      <c r="AD181" s="125"/>
      <c r="AE181" s="91"/>
      <c r="AF181" s="91"/>
      <c r="AG181" s="125"/>
      <c r="AH181" s="125"/>
      <c r="AI181" s="125"/>
      <c r="AJ181" s="125"/>
      <c r="AK181" s="125"/>
      <c r="AL181" s="125"/>
      <c r="AM181" s="126"/>
      <c r="AN181" s="62" t="s">
        <v>66</v>
      </c>
      <c r="AO181" s="62"/>
      <c r="AP181" s="85" t="s">
        <v>138</v>
      </c>
      <c r="AQ181" s="61" t="s">
        <v>356</v>
      </c>
      <c r="AS181" s="61" t="s">
        <v>408</v>
      </c>
      <c r="AX181" s="85"/>
      <c r="AY181" s="85"/>
      <c r="AZ181" s="62"/>
      <c r="BA181" s="62"/>
      <c r="BB181" s="62"/>
      <c r="BC181" s="62"/>
      <c r="BD181" s="85"/>
      <c r="BE181" s="113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8"/>
      <c r="BT181" s="88"/>
      <c r="BU181" s="86"/>
      <c r="BV181" s="81"/>
      <c r="BW181" s="81"/>
      <c r="BX181" s="89"/>
      <c r="BY181" s="89"/>
      <c r="BZ181" s="89"/>
      <c r="CA181" s="89"/>
      <c r="CB181" s="89"/>
      <c r="CC181" s="89"/>
      <c r="CD181" s="65"/>
      <c r="CL181" s="66"/>
    </row>
    <row r="182" spans="3:90" s="61" customFormat="1" x14ac:dyDescent="0.25">
      <c r="C182" s="62"/>
      <c r="D182" s="81"/>
      <c r="E182" s="82"/>
      <c r="F182" s="65"/>
      <c r="I182" s="66"/>
      <c r="J182" s="65"/>
      <c r="N182" s="65"/>
      <c r="T182" s="83"/>
      <c r="U182" s="62"/>
      <c r="V182" s="84"/>
      <c r="W182" s="84"/>
      <c r="X182" s="62"/>
      <c r="Y182" s="92"/>
      <c r="Z182" s="95"/>
      <c r="AA182" s="85"/>
      <c r="AB182" s="125"/>
      <c r="AC182" s="125"/>
      <c r="AD182" s="125"/>
      <c r="AE182" s="91"/>
      <c r="AF182" s="125"/>
      <c r="AG182" s="125"/>
      <c r="AH182" s="125"/>
      <c r="AI182" s="125"/>
      <c r="AJ182" s="125"/>
      <c r="AK182" s="125"/>
      <c r="AL182" s="125"/>
      <c r="AM182" s="126"/>
      <c r="AN182" s="62"/>
      <c r="AO182" s="62"/>
      <c r="AP182" s="85" t="s">
        <v>52</v>
      </c>
      <c r="AX182" s="85"/>
      <c r="AY182" s="85"/>
      <c r="AZ182" s="62"/>
      <c r="BA182" s="62"/>
      <c r="BB182" s="62"/>
      <c r="BC182" s="62"/>
      <c r="BD182" s="85"/>
      <c r="BE182" s="113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8"/>
      <c r="BT182" s="88"/>
      <c r="BU182" s="86"/>
      <c r="BV182" s="81"/>
      <c r="BW182" s="81"/>
      <c r="BX182" s="89"/>
      <c r="BY182" s="89"/>
      <c r="BZ182" s="89"/>
      <c r="CA182" s="89"/>
      <c r="CB182" s="89"/>
      <c r="CC182" s="89"/>
      <c r="CD182" s="65"/>
      <c r="CL182" s="66"/>
    </row>
    <row r="183" spans="3:90" s="61" customFormat="1" x14ac:dyDescent="0.25">
      <c r="C183" s="62"/>
      <c r="D183" s="81"/>
      <c r="E183" s="82"/>
      <c r="F183" s="65"/>
      <c r="I183" s="66"/>
      <c r="J183" s="65"/>
      <c r="N183" s="65"/>
      <c r="T183" s="83"/>
      <c r="U183" s="62"/>
      <c r="V183" s="84"/>
      <c r="W183" s="84"/>
      <c r="X183" s="62"/>
      <c r="Y183" s="92"/>
      <c r="Z183" s="95"/>
      <c r="AA183" s="85"/>
      <c r="AB183" s="125"/>
      <c r="AC183" s="125"/>
      <c r="AD183" s="125"/>
      <c r="AE183" s="91"/>
      <c r="AF183" s="91"/>
      <c r="AG183" s="125"/>
      <c r="AH183" s="125"/>
      <c r="AI183" s="125"/>
      <c r="AJ183" s="125"/>
      <c r="AK183" s="125"/>
      <c r="AL183" s="125"/>
      <c r="AM183" s="126"/>
      <c r="AN183" s="62" t="s">
        <v>71</v>
      </c>
      <c r="AO183" s="62"/>
      <c r="AP183" s="85" t="s">
        <v>132</v>
      </c>
      <c r="AX183" s="85"/>
      <c r="AY183" s="85"/>
      <c r="AZ183" s="62"/>
      <c r="BA183" s="62"/>
      <c r="BB183" s="62"/>
      <c r="BC183" s="62"/>
      <c r="BD183" s="85"/>
      <c r="BE183" s="113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8"/>
      <c r="BT183" s="88"/>
      <c r="BU183" s="86"/>
      <c r="BV183" s="81"/>
      <c r="BW183" s="81"/>
      <c r="BX183" s="89"/>
      <c r="BY183" s="89"/>
      <c r="BZ183" s="89"/>
      <c r="CA183" s="89"/>
      <c r="CB183" s="89"/>
      <c r="CC183" s="89"/>
      <c r="CD183" s="65"/>
      <c r="CL183" s="66"/>
    </row>
    <row r="184" spans="3:90" s="61" customFormat="1" x14ac:dyDescent="0.25">
      <c r="C184" s="62"/>
      <c r="D184" s="81"/>
      <c r="E184" s="82"/>
      <c r="F184" s="65"/>
      <c r="I184" s="66"/>
      <c r="J184" s="65"/>
      <c r="N184" s="65"/>
      <c r="T184" s="83"/>
      <c r="U184" s="62"/>
      <c r="V184" s="84"/>
      <c r="W184" s="84"/>
      <c r="X184" s="62"/>
      <c r="Y184" s="92"/>
      <c r="Z184" s="95"/>
      <c r="AA184" s="85"/>
      <c r="AB184" s="125"/>
      <c r="AC184" s="125"/>
      <c r="AD184" s="125"/>
      <c r="AE184" s="91"/>
      <c r="AF184" s="91"/>
      <c r="AG184" s="125"/>
      <c r="AH184" s="125"/>
      <c r="AI184" s="125"/>
      <c r="AJ184" s="125"/>
      <c r="AK184" s="125"/>
      <c r="AL184" s="125"/>
      <c r="AM184" s="126"/>
      <c r="AN184" s="71"/>
      <c r="AO184" s="62"/>
      <c r="AP184" s="85"/>
      <c r="AX184" s="85"/>
      <c r="AY184" s="85"/>
      <c r="AZ184" s="62"/>
      <c r="BA184" s="62"/>
      <c r="BB184" s="62"/>
      <c r="BC184" s="62"/>
      <c r="BD184" s="85"/>
      <c r="BE184" s="113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8"/>
      <c r="BT184" s="88"/>
      <c r="BU184" s="86"/>
      <c r="BV184" s="81"/>
      <c r="BW184" s="81"/>
      <c r="BX184" s="89"/>
      <c r="BY184" s="89"/>
      <c r="BZ184" s="89"/>
      <c r="CA184" s="89"/>
      <c r="CB184" s="89"/>
      <c r="CC184" s="89"/>
      <c r="CD184" s="65"/>
      <c r="CL184" s="66"/>
    </row>
    <row r="185" spans="3:90" s="61" customFormat="1" x14ac:dyDescent="0.25">
      <c r="C185" s="62"/>
      <c r="D185" s="81"/>
      <c r="E185" s="82"/>
      <c r="F185" s="65"/>
      <c r="I185" s="66"/>
      <c r="J185" s="65"/>
      <c r="N185" s="65"/>
      <c r="T185" s="83"/>
      <c r="U185" s="62"/>
      <c r="V185" s="84"/>
      <c r="W185" s="84"/>
      <c r="X185" s="62"/>
      <c r="Y185" s="92"/>
      <c r="Z185" s="95"/>
      <c r="AA185" s="85"/>
      <c r="AB185" s="125"/>
      <c r="AC185" s="125"/>
      <c r="AD185" s="125"/>
      <c r="AE185" s="91"/>
      <c r="AF185" s="91"/>
      <c r="AG185" s="125"/>
      <c r="AH185" s="125"/>
      <c r="AI185" s="125"/>
      <c r="AJ185" s="125"/>
      <c r="AK185" s="125"/>
      <c r="AL185" s="125"/>
      <c r="AM185" s="126"/>
      <c r="AN185" s="71"/>
      <c r="AO185" s="62"/>
      <c r="AP185" s="85"/>
      <c r="AX185" s="85"/>
      <c r="AY185" s="85"/>
      <c r="AZ185" s="62"/>
      <c r="BA185" s="62"/>
      <c r="BB185" s="62"/>
      <c r="BC185" s="62"/>
      <c r="BD185" s="85"/>
      <c r="BE185" s="113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8"/>
      <c r="BT185" s="88"/>
      <c r="BU185" s="86"/>
      <c r="BV185" s="81"/>
      <c r="BW185" s="81"/>
      <c r="BX185" s="89"/>
      <c r="BY185" s="89"/>
      <c r="BZ185" s="89"/>
      <c r="CA185" s="89"/>
      <c r="CB185" s="89"/>
      <c r="CC185" s="89"/>
      <c r="CD185" s="65"/>
      <c r="CL185" s="66"/>
    </row>
    <row r="186" spans="3:90" s="61" customFormat="1" x14ac:dyDescent="0.25">
      <c r="C186" s="62"/>
      <c r="D186" s="81"/>
      <c r="E186" s="64">
        <v>5</v>
      </c>
      <c r="F186" s="65"/>
      <c r="I186" s="66"/>
      <c r="J186" s="65"/>
      <c r="N186" s="65"/>
      <c r="T186" s="83"/>
      <c r="U186" s="76" t="s">
        <v>63</v>
      </c>
      <c r="V186" s="73" t="s">
        <v>43</v>
      </c>
      <c r="W186" s="73"/>
      <c r="X186" s="63">
        <f>BW186</f>
        <v>18</v>
      </c>
      <c r="Y186" s="120" t="s">
        <v>50</v>
      </c>
      <c r="Z186" s="121" t="s">
        <v>140</v>
      </c>
      <c r="AA186" s="74"/>
      <c r="AB186" s="122"/>
      <c r="AC186" s="122"/>
      <c r="AD186" s="122"/>
      <c r="AE186" s="129"/>
      <c r="AF186" s="129"/>
      <c r="AG186" s="122"/>
      <c r="AH186" s="122"/>
      <c r="AI186" s="122"/>
      <c r="AJ186" s="122"/>
      <c r="AK186" s="122"/>
      <c r="AL186" s="122"/>
      <c r="AM186" s="123"/>
      <c r="AN186" s="72" t="s">
        <v>55</v>
      </c>
      <c r="AO186" s="76"/>
      <c r="AP186" s="68" t="s">
        <v>30</v>
      </c>
      <c r="AQ186" s="68"/>
      <c r="AR186" s="68"/>
      <c r="AS186" s="68"/>
      <c r="AT186" s="68"/>
      <c r="AU186" s="68"/>
      <c r="AV186" s="68"/>
      <c r="AW186" s="68"/>
      <c r="AX186" s="74"/>
      <c r="AY186" s="74"/>
      <c r="AZ186" s="76"/>
      <c r="BA186" s="76"/>
      <c r="BB186" s="76"/>
      <c r="BC186" s="76"/>
      <c r="BD186" s="74"/>
      <c r="BE186" s="78" t="s">
        <v>50</v>
      </c>
      <c r="BF186" s="68" t="s">
        <v>21</v>
      </c>
      <c r="BG186" s="68"/>
      <c r="BH186" s="68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9">
        <v>18</v>
      </c>
      <c r="BT186" s="79">
        <v>0</v>
      </c>
      <c r="BU186" s="75"/>
      <c r="BV186" s="63" t="str">
        <f t="shared" ref="BV186" si="17">IF(BW186&lt;&gt;"",IF(BW186=CB186+BZ186,"完了","未完"),"")</f>
        <v>未完</v>
      </c>
      <c r="BW186" s="63">
        <f>SUM(BS186:BT188)</f>
        <v>18</v>
      </c>
      <c r="BX186" s="80">
        <v>0</v>
      </c>
      <c r="BY186" s="80">
        <v>0</v>
      </c>
      <c r="BZ186" s="80">
        <v>0</v>
      </c>
      <c r="CA186" s="80">
        <f>BW186-(BX186+BY186+BZ186)</f>
        <v>18</v>
      </c>
      <c r="CB186" s="80">
        <v>0</v>
      </c>
      <c r="CC186" s="80">
        <v>0</v>
      </c>
      <c r="CD186" s="67"/>
      <c r="CE186" s="68"/>
      <c r="CF186" s="68"/>
      <c r="CG186" s="68"/>
      <c r="CH186" s="68"/>
      <c r="CI186" s="68"/>
      <c r="CJ186" s="68"/>
      <c r="CK186" s="68"/>
      <c r="CL186" s="69"/>
    </row>
    <row r="187" spans="3:90" s="61" customFormat="1" x14ac:dyDescent="0.25">
      <c r="C187" s="62"/>
      <c r="D187" s="81"/>
      <c r="E187" s="82"/>
      <c r="F187" s="65"/>
      <c r="I187" s="66"/>
      <c r="J187" s="65"/>
      <c r="N187" s="65"/>
      <c r="T187" s="83"/>
      <c r="U187" s="62"/>
      <c r="V187" s="84"/>
      <c r="W187" s="84"/>
      <c r="X187" s="62"/>
      <c r="Y187" s="92"/>
      <c r="Z187" s="95" t="s">
        <v>263</v>
      </c>
      <c r="AA187" s="85"/>
      <c r="AB187" s="125"/>
      <c r="AC187" s="125"/>
      <c r="AD187" s="125"/>
      <c r="AE187" s="91"/>
      <c r="AF187" s="91"/>
      <c r="AG187" s="125"/>
      <c r="AH187" s="125"/>
      <c r="AI187" s="125"/>
      <c r="AJ187" s="125"/>
      <c r="AK187" s="125"/>
      <c r="AL187" s="125"/>
      <c r="AM187" s="126"/>
      <c r="AN187" s="71"/>
      <c r="AO187" s="62"/>
      <c r="AP187" s="85" t="s">
        <v>52</v>
      </c>
      <c r="AX187" s="85"/>
      <c r="AY187" s="85"/>
      <c r="AZ187" s="62"/>
      <c r="BA187" s="62"/>
      <c r="BB187" s="62"/>
      <c r="BC187" s="62"/>
      <c r="BD187" s="85"/>
      <c r="BE187" s="113" t="s">
        <v>50</v>
      </c>
      <c r="BF187" s="61" t="s">
        <v>134</v>
      </c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8"/>
      <c r="BT187" s="88"/>
      <c r="BU187" s="86"/>
      <c r="BV187" s="81"/>
      <c r="BW187" s="81"/>
      <c r="BX187" s="89"/>
      <c r="BY187" s="89"/>
      <c r="BZ187" s="89"/>
      <c r="CA187" s="89"/>
      <c r="CB187" s="89"/>
      <c r="CC187" s="89"/>
      <c r="CD187" s="65"/>
      <c r="CL187" s="66"/>
    </row>
    <row r="188" spans="3:90" s="61" customFormat="1" x14ac:dyDescent="0.25">
      <c r="C188" s="62"/>
      <c r="D188" s="81"/>
      <c r="E188" s="82"/>
      <c r="F188" s="65"/>
      <c r="I188" s="66"/>
      <c r="J188" s="65"/>
      <c r="N188" s="65"/>
      <c r="T188" s="83"/>
      <c r="U188" s="62"/>
      <c r="V188" s="84"/>
      <c r="W188" s="84"/>
      <c r="X188" s="62"/>
      <c r="Y188" s="92"/>
      <c r="Z188" s="95" t="s">
        <v>264</v>
      </c>
      <c r="AA188" s="85"/>
      <c r="AB188" s="125"/>
      <c r="AC188" s="125"/>
      <c r="AD188" s="125"/>
      <c r="AE188" s="91"/>
      <c r="AF188" s="91"/>
      <c r="AG188" s="125"/>
      <c r="AH188" s="125"/>
      <c r="AI188" s="125"/>
      <c r="AJ188" s="125"/>
      <c r="AK188" s="125"/>
      <c r="AL188" s="125"/>
      <c r="AM188" s="126"/>
      <c r="AN188" s="71" t="s">
        <v>84</v>
      </c>
      <c r="AO188" s="62"/>
      <c r="AP188" s="85" t="s">
        <v>135</v>
      </c>
      <c r="AX188" s="85"/>
      <c r="AY188" s="85"/>
      <c r="AZ188" s="62"/>
      <c r="BA188" s="62"/>
      <c r="BB188" s="62"/>
      <c r="BC188" s="62"/>
      <c r="BD188" s="85"/>
      <c r="BE188" s="113" t="s">
        <v>50</v>
      </c>
      <c r="BF188" s="61" t="s">
        <v>133</v>
      </c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8"/>
      <c r="BT188" s="88"/>
      <c r="BU188" s="86"/>
      <c r="BV188" s="81"/>
      <c r="BW188" s="81"/>
      <c r="BX188" s="89"/>
      <c r="BY188" s="89"/>
      <c r="BZ188" s="89"/>
      <c r="CA188" s="89"/>
      <c r="CB188" s="89"/>
      <c r="CC188" s="89"/>
      <c r="CD188" s="65"/>
      <c r="CL188" s="66"/>
    </row>
    <row r="189" spans="3:90" s="61" customFormat="1" x14ac:dyDescent="0.25">
      <c r="C189" s="62"/>
      <c r="D189" s="81"/>
      <c r="E189" s="82"/>
      <c r="F189" s="65"/>
      <c r="I189" s="66"/>
      <c r="J189" s="65"/>
      <c r="N189" s="65"/>
      <c r="T189" s="83"/>
      <c r="U189" s="62"/>
      <c r="V189" s="84"/>
      <c r="W189" s="84"/>
      <c r="X189" s="62"/>
      <c r="Y189" s="92"/>
      <c r="Z189" s="95" t="s">
        <v>275</v>
      </c>
      <c r="AA189" s="85"/>
      <c r="AB189" s="125"/>
      <c r="AC189" s="125"/>
      <c r="AD189" s="125"/>
      <c r="AE189" s="91"/>
      <c r="AF189" s="91"/>
      <c r="AG189" s="125"/>
      <c r="AH189" s="125"/>
      <c r="AI189" s="125"/>
      <c r="AJ189" s="125"/>
      <c r="AK189" s="125"/>
      <c r="AL189" s="125"/>
      <c r="AM189" s="126"/>
      <c r="AN189" s="71"/>
      <c r="AO189" s="62"/>
      <c r="AP189" s="85" t="s">
        <v>52</v>
      </c>
      <c r="AX189" s="85"/>
      <c r="AY189" s="85"/>
      <c r="AZ189" s="62"/>
      <c r="BA189" s="62"/>
      <c r="BB189" s="62"/>
      <c r="BC189" s="62"/>
      <c r="BD189" s="85"/>
      <c r="BE189" s="113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8"/>
      <c r="BT189" s="88"/>
      <c r="BU189" s="86"/>
      <c r="BV189" s="81"/>
      <c r="BW189" s="81"/>
      <c r="BX189" s="89"/>
      <c r="BY189" s="89"/>
      <c r="BZ189" s="89"/>
      <c r="CA189" s="89"/>
      <c r="CB189" s="89"/>
      <c r="CC189" s="89"/>
      <c r="CD189" s="65"/>
      <c r="CL189" s="66"/>
    </row>
    <row r="190" spans="3:90" s="61" customFormat="1" x14ac:dyDescent="0.25">
      <c r="C190" s="62"/>
      <c r="D190" s="81"/>
      <c r="E190" s="82"/>
      <c r="F190" s="65"/>
      <c r="I190" s="66"/>
      <c r="J190" s="65"/>
      <c r="N190" s="65"/>
      <c r="T190" s="83"/>
      <c r="U190" s="62"/>
      <c r="V190" s="84"/>
      <c r="W190" s="84"/>
      <c r="X190" s="62"/>
      <c r="Y190" s="92"/>
      <c r="Z190" s="95" t="s">
        <v>265</v>
      </c>
      <c r="AA190" s="85"/>
      <c r="AB190" s="125"/>
      <c r="AC190" s="125"/>
      <c r="AD190" s="125"/>
      <c r="AE190" s="91"/>
      <c r="AF190" s="91"/>
      <c r="AG190" s="125"/>
      <c r="AH190" s="125"/>
      <c r="AI190" s="125"/>
      <c r="AJ190" s="125"/>
      <c r="AK190" s="125"/>
      <c r="AL190" s="125"/>
      <c r="AM190" s="126"/>
      <c r="AN190" s="62" t="s">
        <v>66</v>
      </c>
      <c r="AO190" s="62"/>
      <c r="AP190" s="85" t="s">
        <v>130</v>
      </c>
      <c r="AQ190" s="61" t="s">
        <v>357</v>
      </c>
      <c r="AS190" s="61" t="s">
        <v>409</v>
      </c>
      <c r="AX190" s="85"/>
      <c r="AY190" s="85"/>
      <c r="AZ190" s="62"/>
      <c r="BA190" s="62"/>
      <c r="BB190" s="62"/>
      <c r="BC190" s="62"/>
      <c r="BD190" s="85"/>
      <c r="BE190" s="113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8"/>
      <c r="BT190" s="88"/>
      <c r="BU190" s="86"/>
      <c r="BV190" s="81"/>
      <c r="BW190" s="81"/>
      <c r="BX190" s="89"/>
      <c r="BY190" s="89"/>
      <c r="BZ190" s="89"/>
      <c r="CA190" s="89"/>
      <c r="CB190" s="89"/>
      <c r="CC190" s="89"/>
      <c r="CD190" s="65"/>
      <c r="CL190" s="66"/>
    </row>
    <row r="191" spans="3:90" s="61" customFormat="1" x14ac:dyDescent="0.25">
      <c r="C191" s="62"/>
      <c r="D191" s="81"/>
      <c r="E191" s="82"/>
      <c r="F191" s="65"/>
      <c r="I191" s="66"/>
      <c r="J191" s="65"/>
      <c r="N191" s="65"/>
      <c r="T191" s="83"/>
      <c r="U191" s="62"/>
      <c r="V191" s="84"/>
      <c r="W191" s="84"/>
      <c r="X191" s="62"/>
      <c r="Y191" s="92" t="s">
        <v>53</v>
      </c>
      <c r="Z191" s="95" t="s">
        <v>548</v>
      </c>
      <c r="AA191" s="95"/>
      <c r="AB191" s="125"/>
      <c r="AC191" s="125"/>
      <c r="AD191" s="125"/>
      <c r="AE191" s="91"/>
      <c r="AF191" s="91"/>
      <c r="AG191" s="125"/>
      <c r="AH191" s="125"/>
      <c r="AI191" s="125"/>
      <c r="AJ191" s="125"/>
      <c r="AK191" s="125"/>
      <c r="AL191" s="125"/>
      <c r="AM191" s="126"/>
      <c r="AN191" s="62"/>
      <c r="AO191" s="62"/>
      <c r="AP191" s="85" t="s">
        <v>52</v>
      </c>
      <c r="AS191" s="61" t="s">
        <v>410</v>
      </c>
      <c r="AX191" s="85"/>
      <c r="AY191" s="85"/>
      <c r="AZ191" s="62"/>
      <c r="BA191" s="62"/>
      <c r="BB191" s="62"/>
      <c r="BC191" s="62"/>
      <c r="BD191" s="85"/>
      <c r="BE191" s="113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8"/>
      <c r="BT191" s="88"/>
      <c r="BU191" s="86"/>
      <c r="BV191" s="81"/>
      <c r="BW191" s="81"/>
      <c r="BX191" s="89"/>
      <c r="BY191" s="89"/>
      <c r="BZ191" s="89"/>
      <c r="CA191" s="89"/>
      <c r="CB191" s="89"/>
      <c r="CC191" s="89"/>
      <c r="CD191" s="65"/>
      <c r="CL191" s="66"/>
    </row>
    <row r="192" spans="3:90" s="61" customFormat="1" x14ac:dyDescent="0.25">
      <c r="C192" s="62"/>
      <c r="D192" s="81"/>
      <c r="E192" s="82"/>
      <c r="F192" s="65"/>
      <c r="I192" s="66"/>
      <c r="J192" s="65"/>
      <c r="N192" s="65"/>
      <c r="T192" s="83"/>
      <c r="U192" s="62"/>
      <c r="V192" s="84"/>
      <c r="W192" s="84"/>
      <c r="X192" s="62"/>
      <c r="Y192" s="92"/>
      <c r="Z192" s="95" t="s">
        <v>57</v>
      </c>
      <c r="AA192" s="85" t="s">
        <v>549</v>
      </c>
      <c r="AB192" s="125"/>
      <c r="AC192" s="125"/>
      <c r="AD192" s="125"/>
      <c r="AE192" s="91"/>
      <c r="AF192" s="91"/>
      <c r="AG192" s="125"/>
      <c r="AH192" s="125"/>
      <c r="AI192" s="125"/>
      <c r="AJ192" s="125"/>
      <c r="AK192" s="125"/>
      <c r="AL192" s="125"/>
      <c r="AM192" s="126"/>
      <c r="AN192" s="62" t="s">
        <v>71</v>
      </c>
      <c r="AO192" s="62"/>
      <c r="AP192" s="85" t="s">
        <v>132</v>
      </c>
      <c r="AS192" s="61" t="s">
        <v>411</v>
      </c>
      <c r="AX192" s="85"/>
      <c r="AY192" s="85"/>
      <c r="AZ192" s="62"/>
      <c r="BA192" s="62"/>
      <c r="BB192" s="62"/>
      <c r="BC192" s="62"/>
      <c r="BD192" s="85"/>
      <c r="BE192" s="113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8"/>
      <c r="BT192" s="88"/>
      <c r="BU192" s="86"/>
      <c r="BV192" s="81"/>
      <c r="BW192" s="81"/>
      <c r="BX192" s="89"/>
      <c r="BY192" s="89"/>
      <c r="BZ192" s="89"/>
      <c r="CA192" s="89"/>
      <c r="CB192" s="89"/>
      <c r="CC192" s="89"/>
      <c r="CD192" s="65"/>
      <c r="CL192" s="66"/>
    </row>
    <row r="193" spans="3:90" s="61" customFormat="1" x14ac:dyDescent="0.25">
      <c r="C193" s="62"/>
      <c r="D193" s="81"/>
      <c r="E193" s="82"/>
      <c r="F193" s="65"/>
      <c r="I193" s="66"/>
      <c r="J193" s="65"/>
      <c r="N193" s="65"/>
      <c r="T193" s="83"/>
      <c r="U193" s="62"/>
      <c r="V193" s="84"/>
      <c r="W193" s="84"/>
      <c r="X193" s="62"/>
      <c r="Y193" s="92"/>
      <c r="Z193" s="95"/>
      <c r="AA193" s="85"/>
      <c r="AB193" s="125"/>
      <c r="AC193" s="125"/>
      <c r="AD193" s="125"/>
      <c r="AE193" s="91"/>
      <c r="AF193" s="91"/>
      <c r="AG193" s="125"/>
      <c r="AH193" s="125"/>
      <c r="AI193" s="125"/>
      <c r="AJ193" s="125"/>
      <c r="AK193" s="125"/>
      <c r="AL193" s="125"/>
      <c r="AM193" s="126"/>
      <c r="AN193" s="62"/>
      <c r="AO193" s="62"/>
      <c r="AP193" s="85"/>
      <c r="AS193" s="61" t="s">
        <v>537</v>
      </c>
      <c r="AX193" s="85"/>
      <c r="AY193" s="85"/>
      <c r="AZ193" s="62"/>
      <c r="BA193" s="62"/>
      <c r="BB193" s="62"/>
      <c r="BC193" s="62"/>
      <c r="BD193" s="85"/>
      <c r="BE193" s="113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8"/>
      <c r="BT193" s="88"/>
      <c r="BU193" s="86"/>
      <c r="BV193" s="81"/>
      <c r="BW193" s="81"/>
      <c r="BX193" s="89"/>
      <c r="BY193" s="89"/>
      <c r="BZ193" s="89"/>
      <c r="CA193" s="89"/>
      <c r="CB193" s="89"/>
      <c r="CC193" s="89"/>
      <c r="CD193" s="65"/>
      <c r="CL193" s="66"/>
    </row>
    <row r="194" spans="3:90" s="61" customFormat="1" x14ac:dyDescent="0.25">
      <c r="C194" s="62"/>
      <c r="D194" s="81"/>
      <c r="E194" s="82"/>
      <c r="F194" s="65"/>
      <c r="I194" s="66"/>
      <c r="J194" s="65"/>
      <c r="N194" s="65"/>
      <c r="T194" s="83"/>
      <c r="U194" s="62"/>
      <c r="V194" s="84"/>
      <c r="W194" s="84"/>
      <c r="X194" s="62"/>
      <c r="Y194" s="92"/>
      <c r="Z194" s="95"/>
      <c r="AA194" s="85"/>
      <c r="AB194" s="125"/>
      <c r="AC194" s="125"/>
      <c r="AD194" s="125"/>
      <c r="AE194" s="91"/>
      <c r="AF194" s="91"/>
      <c r="AG194" s="125"/>
      <c r="AH194" s="125"/>
      <c r="AI194" s="125"/>
      <c r="AJ194" s="125"/>
      <c r="AK194" s="125"/>
      <c r="AL194" s="125"/>
      <c r="AM194" s="126"/>
      <c r="AN194" s="71"/>
      <c r="AO194" s="62"/>
      <c r="AP194" s="85"/>
      <c r="AX194" s="85"/>
      <c r="AY194" s="85"/>
      <c r="AZ194" s="62"/>
      <c r="BA194" s="62"/>
      <c r="BB194" s="62"/>
      <c r="BC194" s="62"/>
      <c r="BD194" s="85"/>
      <c r="BE194" s="113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8"/>
      <c r="BT194" s="88"/>
      <c r="BU194" s="86"/>
      <c r="BV194" s="81"/>
      <c r="BW194" s="81"/>
      <c r="BX194" s="89"/>
      <c r="BY194" s="89"/>
      <c r="BZ194" s="89"/>
      <c r="CA194" s="89"/>
      <c r="CB194" s="89"/>
      <c r="CC194" s="89"/>
      <c r="CD194" s="65"/>
      <c r="CL194" s="66"/>
    </row>
    <row r="195" spans="3:90" s="61" customFormat="1" x14ac:dyDescent="0.25">
      <c r="C195" s="62"/>
      <c r="D195" s="81"/>
      <c r="E195" s="82"/>
      <c r="F195" s="65"/>
      <c r="I195" s="66"/>
      <c r="J195" s="65"/>
      <c r="N195" s="65"/>
      <c r="T195" s="83"/>
      <c r="U195" s="62"/>
      <c r="V195" s="84"/>
      <c r="W195" s="84"/>
      <c r="X195" s="62"/>
      <c r="Y195" s="92"/>
      <c r="Z195" s="95"/>
      <c r="AA195" s="85"/>
      <c r="AB195" s="125"/>
      <c r="AC195" s="125"/>
      <c r="AD195" s="125"/>
      <c r="AE195" s="91"/>
      <c r="AF195" s="91"/>
      <c r="AG195" s="125"/>
      <c r="AH195" s="125"/>
      <c r="AI195" s="125"/>
      <c r="AJ195" s="125"/>
      <c r="AK195" s="125"/>
      <c r="AL195" s="125"/>
      <c r="AM195" s="126"/>
      <c r="AN195" s="71"/>
      <c r="AO195" s="62"/>
      <c r="AP195" s="85"/>
      <c r="AX195" s="85"/>
      <c r="AY195" s="85"/>
      <c r="AZ195" s="62"/>
      <c r="BA195" s="62"/>
      <c r="BB195" s="62"/>
      <c r="BC195" s="62"/>
      <c r="BD195" s="85"/>
      <c r="BE195" s="113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8"/>
      <c r="BT195" s="88"/>
      <c r="BU195" s="86"/>
      <c r="BV195" s="81"/>
      <c r="BW195" s="81"/>
      <c r="BX195" s="89"/>
      <c r="BY195" s="89"/>
      <c r="BZ195" s="89"/>
      <c r="CA195" s="89"/>
      <c r="CB195" s="89"/>
      <c r="CC195" s="89"/>
      <c r="CD195" s="65"/>
      <c r="CL195" s="66"/>
    </row>
    <row r="196" spans="3:90" s="61" customFormat="1" x14ac:dyDescent="0.25">
      <c r="C196" s="62"/>
      <c r="D196" s="81"/>
      <c r="E196" s="64">
        <v>6</v>
      </c>
      <c r="F196" s="65"/>
      <c r="I196" s="66"/>
      <c r="J196" s="65"/>
      <c r="N196" s="65"/>
      <c r="T196" s="83"/>
      <c r="U196" s="76" t="s">
        <v>63</v>
      </c>
      <c r="V196" s="73" t="s">
        <v>43</v>
      </c>
      <c r="W196" s="84"/>
      <c r="X196" s="63">
        <f>BW196</f>
        <v>18</v>
      </c>
      <c r="Y196" s="120" t="s">
        <v>50</v>
      </c>
      <c r="Z196" s="121" t="s">
        <v>266</v>
      </c>
      <c r="AA196" s="74"/>
      <c r="AB196" s="122"/>
      <c r="AC196" s="122"/>
      <c r="AD196" s="122"/>
      <c r="AE196" s="129"/>
      <c r="AF196" s="129"/>
      <c r="AG196" s="122"/>
      <c r="AH196" s="122"/>
      <c r="AI196" s="122"/>
      <c r="AJ196" s="122"/>
      <c r="AK196" s="122"/>
      <c r="AL196" s="122"/>
      <c r="AM196" s="123"/>
      <c r="AN196" s="72" t="s">
        <v>55</v>
      </c>
      <c r="AO196" s="76"/>
      <c r="AP196" s="74" t="s">
        <v>30</v>
      </c>
      <c r="AQ196" s="68"/>
      <c r="AR196" s="68"/>
      <c r="AS196" s="68"/>
      <c r="AT196" s="68"/>
      <c r="AU196" s="68"/>
      <c r="AV196" s="68"/>
      <c r="AW196" s="68"/>
      <c r="AX196" s="74"/>
      <c r="AY196" s="74"/>
      <c r="AZ196" s="76"/>
      <c r="BA196" s="76"/>
      <c r="BB196" s="76"/>
      <c r="BC196" s="76"/>
      <c r="BD196" s="74"/>
      <c r="BE196" s="78" t="s">
        <v>50</v>
      </c>
      <c r="BF196" s="68" t="s">
        <v>21</v>
      </c>
      <c r="BG196" s="68"/>
      <c r="BH196" s="68"/>
      <c r="BI196" s="74"/>
      <c r="BJ196" s="74"/>
      <c r="BK196" s="74"/>
      <c r="BL196" s="74"/>
      <c r="BM196" s="74"/>
      <c r="BN196" s="74"/>
      <c r="BO196" s="74"/>
      <c r="BP196" s="74"/>
      <c r="BQ196" s="74"/>
      <c r="BR196" s="74"/>
      <c r="BS196" s="79">
        <v>18</v>
      </c>
      <c r="BT196" s="79">
        <v>0</v>
      </c>
      <c r="BU196" s="75"/>
      <c r="BV196" s="63" t="str">
        <f t="shared" ref="BV196" si="18">IF(BW196&lt;&gt;"",IF(BW196=CB196+BZ196,"完了","未完"),"")</f>
        <v>未完</v>
      </c>
      <c r="BW196" s="63">
        <f>SUM(BS196:BT198)</f>
        <v>18</v>
      </c>
      <c r="BX196" s="80">
        <v>0</v>
      </c>
      <c r="BY196" s="80">
        <v>0</v>
      </c>
      <c r="BZ196" s="80">
        <v>0</v>
      </c>
      <c r="CA196" s="80">
        <f>BW196-(BX196+BY196+BZ196)</f>
        <v>18</v>
      </c>
      <c r="CB196" s="80">
        <v>0</v>
      </c>
      <c r="CC196" s="80">
        <v>0</v>
      </c>
      <c r="CD196" s="67"/>
      <c r="CE196" s="68"/>
      <c r="CF196" s="68"/>
      <c r="CG196" s="68"/>
      <c r="CH196" s="68"/>
      <c r="CI196" s="68"/>
      <c r="CJ196" s="68"/>
      <c r="CK196" s="68"/>
      <c r="CL196" s="69"/>
    </row>
    <row r="197" spans="3:90" s="61" customFormat="1" x14ac:dyDescent="0.25">
      <c r="C197" s="62"/>
      <c r="D197" s="81"/>
      <c r="E197" s="82"/>
      <c r="F197" s="65"/>
      <c r="I197" s="66"/>
      <c r="J197" s="65"/>
      <c r="N197" s="65"/>
      <c r="T197" s="83"/>
      <c r="U197" s="62"/>
      <c r="V197" s="84"/>
      <c r="W197" s="84"/>
      <c r="X197" s="62"/>
      <c r="Y197" s="92" t="s">
        <v>50</v>
      </c>
      <c r="Z197" s="95" t="s">
        <v>267</v>
      </c>
      <c r="AA197" s="85"/>
      <c r="AB197" s="125"/>
      <c r="AC197" s="125"/>
      <c r="AD197" s="125"/>
      <c r="AE197" s="91"/>
      <c r="AF197" s="91"/>
      <c r="AG197" s="125"/>
      <c r="AH197" s="125"/>
      <c r="AI197" s="125"/>
      <c r="AJ197" s="125"/>
      <c r="AK197" s="125"/>
      <c r="AL197" s="125"/>
      <c r="AM197" s="126"/>
      <c r="AN197" s="71"/>
      <c r="AO197" s="62"/>
      <c r="AP197" s="85" t="s">
        <v>52</v>
      </c>
      <c r="AX197" s="85"/>
      <c r="AY197" s="85"/>
      <c r="AZ197" s="62"/>
      <c r="BA197" s="62"/>
      <c r="BB197" s="62"/>
      <c r="BC197" s="62"/>
      <c r="BD197" s="85"/>
      <c r="BE197" s="113" t="s">
        <v>50</v>
      </c>
      <c r="BF197" s="61" t="s">
        <v>134</v>
      </c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8"/>
      <c r="BT197" s="88"/>
      <c r="BU197" s="86"/>
      <c r="BV197" s="81"/>
      <c r="BW197" s="81"/>
      <c r="BX197" s="89"/>
      <c r="BY197" s="89"/>
      <c r="BZ197" s="89"/>
      <c r="CA197" s="89"/>
      <c r="CB197" s="89"/>
      <c r="CC197" s="89"/>
      <c r="CD197" s="65"/>
      <c r="CL197" s="66"/>
    </row>
    <row r="198" spans="3:90" s="61" customFormat="1" x14ac:dyDescent="0.25">
      <c r="C198" s="62"/>
      <c r="D198" s="81"/>
      <c r="E198" s="82"/>
      <c r="F198" s="65"/>
      <c r="I198" s="66"/>
      <c r="J198" s="65"/>
      <c r="N198" s="65"/>
      <c r="T198" s="83"/>
      <c r="U198" s="62"/>
      <c r="V198" s="84"/>
      <c r="W198" s="84"/>
      <c r="X198" s="62"/>
      <c r="Y198" s="92" t="s">
        <v>53</v>
      </c>
      <c r="Z198" s="95" t="s">
        <v>548</v>
      </c>
      <c r="AA198" s="95"/>
      <c r="AB198" s="125"/>
      <c r="AC198" s="125"/>
      <c r="AD198" s="125"/>
      <c r="AE198" s="91"/>
      <c r="AF198" s="91"/>
      <c r="AG198" s="125"/>
      <c r="AH198" s="125"/>
      <c r="AI198" s="125"/>
      <c r="AJ198" s="125"/>
      <c r="AK198" s="125"/>
      <c r="AL198" s="125"/>
      <c r="AM198" s="126"/>
      <c r="AN198" s="71" t="s">
        <v>84</v>
      </c>
      <c r="AO198" s="62"/>
      <c r="AP198" s="85" t="s">
        <v>137</v>
      </c>
      <c r="AX198" s="85"/>
      <c r="AY198" s="85"/>
      <c r="AZ198" s="62"/>
      <c r="BA198" s="62"/>
      <c r="BB198" s="62"/>
      <c r="BC198" s="62"/>
      <c r="BD198" s="85"/>
      <c r="BE198" s="113" t="s">
        <v>50</v>
      </c>
      <c r="BF198" s="61" t="s">
        <v>133</v>
      </c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8"/>
      <c r="BT198" s="88"/>
      <c r="BU198" s="86"/>
      <c r="BV198" s="81"/>
      <c r="BW198" s="81"/>
      <c r="BX198" s="89"/>
      <c r="BY198" s="89"/>
      <c r="BZ198" s="89"/>
      <c r="CA198" s="89"/>
      <c r="CB198" s="89"/>
      <c r="CC198" s="89"/>
      <c r="CD198" s="65"/>
      <c r="CL198" s="66"/>
    </row>
    <row r="199" spans="3:90" s="61" customFormat="1" x14ac:dyDescent="0.25">
      <c r="C199" s="62"/>
      <c r="D199" s="81"/>
      <c r="E199" s="82"/>
      <c r="F199" s="65"/>
      <c r="I199" s="66"/>
      <c r="J199" s="65"/>
      <c r="N199" s="65"/>
      <c r="T199" s="83"/>
      <c r="U199" s="62"/>
      <c r="V199" s="84"/>
      <c r="W199" s="84"/>
      <c r="X199" s="62"/>
      <c r="Y199" s="92"/>
      <c r="Z199" s="95" t="s">
        <v>57</v>
      </c>
      <c r="AA199" s="85" t="s">
        <v>549</v>
      </c>
      <c r="AB199" s="125"/>
      <c r="AC199" s="125"/>
      <c r="AD199" s="125"/>
      <c r="AE199" s="91"/>
      <c r="AF199" s="91"/>
      <c r="AG199" s="125"/>
      <c r="AH199" s="125"/>
      <c r="AI199" s="125"/>
      <c r="AJ199" s="125"/>
      <c r="AK199" s="125"/>
      <c r="AL199" s="125"/>
      <c r="AM199" s="126"/>
      <c r="AN199" s="71"/>
      <c r="AO199" s="62"/>
      <c r="AP199" s="85" t="s">
        <v>52</v>
      </c>
      <c r="AX199" s="85"/>
      <c r="AY199" s="85"/>
      <c r="AZ199" s="62"/>
      <c r="BA199" s="62"/>
      <c r="BB199" s="62"/>
      <c r="BC199" s="62"/>
      <c r="BD199" s="85"/>
      <c r="BE199" s="113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8"/>
      <c r="BT199" s="88"/>
      <c r="BU199" s="86"/>
      <c r="BV199" s="81"/>
      <c r="BW199" s="81"/>
      <c r="BX199" s="89"/>
      <c r="BY199" s="89"/>
      <c r="BZ199" s="89"/>
      <c r="CA199" s="89"/>
      <c r="CB199" s="89"/>
      <c r="CC199" s="89"/>
      <c r="CD199" s="65"/>
      <c r="CL199" s="66"/>
    </row>
    <row r="200" spans="3:90" s="61" customFormat="1" x14ac:dyDescent="0.25">
      <c r="C200" s="62"/>
      <c r="D200" s="81"/>
      <c r="E200" s="82"/>
      <c r="F200" s="65"/>
      <c r="I200" s="66"/>
      <c r="J200" s="65"/>
      <c r="N200" s="65"/>
      <c r="T200" s="83"/>
      <c r="U200" s="62"/>
      <c r="V200" s="84"/>
      <c r="W200" s="84"/>
      <c r="X200" s="62"/>
      <c r="Y200" s="92"/>
      <c r="Z200" s="95"/>
      <c r="AA200" s="85"/>
      <c r="AB200" s="125"/>
      <c r="AC200" s="125"/>
      <c r="AD200" s="125"/>
      <c r="AE200" s="91"/>
      <c r="AF200" s="91"/>
      <c r="AG200" s="125"/>
      <c r="AH200" s="125"/>
      <c r="AI200" s="125"/>
      <c r="AJ200" s="125"/>
      <c r="AK200" s="125"/>
      <c r="AL200" s="125"/>
      <c r="AM200" s="126"/>
      <c r="AN200" s="62" t="s">
        <v>66</v>
      </c>
      <c r="AO200" s="62"/>
      <c r="AP200" s="85" t="s">
        <v>138</v>
      </c>
      <c r="AQ200" s="61" t="s">
        <v>359</v>
      </c>
      <c r="AS200" s="61" t="s">
        <v>412</v>
      </c>
      <c r="AX200" s="85"/>
      <c r="AY200" s="85"/>
      <c r="AZ200" s="62"/>
      <c r="BA200" s="62"/>
      <c r="BB200" s="62"/>
      <c r="BC200" s="62"/>
      <c r="BD200" s="85"/>
      <c r="BE200" s="113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8"/>
      <c r="BT200" s="88"/>
      <c r="BU200" s="86"/>
      <c r="BV200" s="81"/>
      <c r="BW200" s="81"/>
      <c r="BX200" s="89"/>
      <c r="BY200" s="89"/>
      <c r="BZ200" s="89"/>
      <c r="CA200" s="89"/>
      <c r="CB200" s="89"/>
      <c r="CC200" s="89"/>
      <c r="CD200" s="65"/>
      <c r="CL200" s="66"/>
    </row>
    <row r="201" spans="3:90" s="61" customFormat="1" x14ac:dyDescent="0.25">
      <c r="C201" s="62"/>
      <c r="D201" s="81"/>
      <c r="E201" s="82"/>
      <c r="F201" s="65"/>
      <c r="I201" s="66"/>
      <c r="J201" s="65"/>
      <c r="N201" s="65"/>
      <c r="T201" s="83"/>
      <c r="U201" s="62"/>
      <c r="V201" s="84"/>
      <c r="W201" s="84"/>
      <c r="X201" s="62"/>
      <c r="Y201" s="92"/>
      <c r="Z201" s="95"/>
      <c r="AA201" s="85"/>
      <c r="AB201" s="125"/>
      <c r="AC201" s="125"/>
      <c r="AD201" s="125"/>
      <c r="AE201" s="91"/>
      <c r="AF201" s="91"/>
      <c r="AG201" s="125"/>
      <c r="AH201" s="125"/>
      <c r="AI201" s="125"/>
      <c r="AJ201" s="125"/>
      <c r="AK201" s="125"/>
      <c r="AL201" s="125"/>
      <c r="AM201" s="126"/>
      <c r="AN201" s="62"/>
      <c r="AO201" s="62"/>
      <c r="AP201" s="85" t="s">
        <v>52</v>
      </c>
      <c r="AS201" s="61" t="s">
        <v>413</v>
      </c>
      <c r="AX201" s="85"/>
      <c r="AY201" s="85"/>
      <c r="AZ201" s="62"/>
      <c r="BA201" s="62"/>
      <c r="BB201" s="62"/>
      <c r="BC201" s="62"/>
      <c r="BD201" s="85"/>
      <c r="BE201" s="113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8"/>
      <c r="BT201" s="88"/>
      <c r="BU201" s="86"/>
      <c r="BV201" s="81"/>
      <c r="BW201" s="81"/>
      <c r="BX201" s="89"/>
      <c r="BY201" s="89"/>
      <c r="BZ201" s="89"/>
      <c r="CA201" s="89"/>
      <c r="CB201" s="89"/>
      <c r="CC201" s="89"/>
      <c r="CD201" s="65"/>
      <c r="CL201" s="66"/>
    </row>
    <row r="202" spans="3:90" s="61" customFormat="1" x14ac:dyDescent="0.25">
      <c r="C202" s="62"/>
      <c r="D202" s="81"/>
      <c r="E202" s="82"/>
      <c r="F202" s="65"/>
      <c r="I202" s="66"/>
      <c r="J202" s="65"/>
      <c r="N202" s="65"/>
      <c r="T202" s="83"/>
      <c r="U202" s="62"/>
      <c r="V202" s="84"/>
      <c r="W202" s="84"/>
      <c r="X202" s="62"/>
      <c r="Y202" s="92"/>
      <c r="Z202" s="95"/>
      <c r="AA202" s="85"/>
      <c r="AB202" s="125"/>
      <c r="AC202" s="125"/>
      <c r="AD202" s="125"/>
      <c r="AE202" s="91"/>
      <c r="AF202" s="91"/>
      <c r="AG202" s="125"/>
      <c r="AH202" s="125"/>
      <c r="AI202" s="125"/>
      <c r="AJ202" s="125"/>
      <c r="AK202" s="125"/>
      <c r="AL202" s="125"/>
      <c r="AM202" s="126"/>
      <c r="AN202" s="62" t="s">
        <v>71</v>
      </c>
      <c r="AO202" s="62"/>
      <c r="AP202" s="85" t="s">
        <v>132</v>
      </c>
      <c r="AX202" s="85"/>
      <c r="AY202" s="85"/>
      <c r="AZ202" s="62"/>
      <c r="BA202" s="62"/>
      <c r="BB202" s="62"/>
      <c r="BC202" s="62"/>
      <c r="BD202" s="85"/>
      <c r="BE202" s="113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8"/>
      <c r="BT202" s="88"/>
      <c r="BU202" s="86"/>
      <c r="BV202" s="81"/>
      <c r="BW202" s="81"/>
      <c r="BX202" s="89"/>
      <c r="BY202" s="89"/>
      <c r="BZ202" s="89"/>
      <c r="CA202" s="89"/>
      <c r="CB202" s="89"/>
      <c r="CC202" s="89"/>
      <c r="CD202" s="65"/>
      <c r="CL202" s="66"/>
    </row>
    <row r="203" spans="3:90" s="61" customFormat="1" x14ac:dyDescent="0.25">
      <c r="C203" s="62"/>
      <c r="D203" s="81"/>
      <c r="E203" s="82"/>
      <c r="F203" s="65"/>
      <c r="I203" s="66"/>
      <c r="J203" s="65"/>
      <c r="N203" s="65"/>
      <c r="T203" s="83"/>
      <c r="U203" s="62"/>
      <c r="V203" s="84"/>
      <c r="W203" s="84"/>
      <c r="X203" s="62"/>
      <c r="Y203" s="92"/>
      <c r="Z203" s="95"/>
      <c r="AA203" s="85"/>
      <c r="AB203" s="125"/>
      <c r="AC203" s="125"/>
      <c r="AD203" s="125"/>
      <c r="AE203" s="91"/>
      <c r="AF203" s="91"/>
      <c r="AG203" s="125"/>
      <c r="AH203" s="125"/>
      <c r="AI203" s="125"/>
      <c r="AJ203" s="125"/>
      <c r="AK203" s="125"/>
      <c r="AL203" s="125"/>
      <c r="AM203" s="126"/>
      <c r="AN203" s="71"/>
      <c r="AO203" s="62"/>
      <c r="AP203" s="85"/>
      <c r="AX203" s="85"/>
      <c r="AY203" s="85"/>
      <c r="AZ203" s="62"/>
      <c r="BA203" s="62"/>
      <c r="BB203" s="62"/>
      <c r="BC203" s="62"/>
      <c r="BD203" s="85"/>
      <c r="BE203" s="113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8"/>
      <c r="BT203" s="88"/>
      <c r="BU203" s="86"/>
      <c r="BV203" s="81"/>
      <c r="BW203" s="81"/>
      <c r="BX203" s="89"/>
      <c r="BY203" s="89"/>
      <c r="BZ203" s="89"/>
      <c r="CA203" s="89"/>
      <c r="CB203" s="89"/>
      <c r="CC203" s="89"/>
      <c r="CD203" s="65"/>
      <c r="CL203" s="66"/>
    </row>
    <row r="204" spans="3:90" s="61" customFormat="1" x14ac:dyDescent="0.25">
      <c r="C204" s="62"/>
      <c r="D204" s="81"/>
      <c r="E204" s="82"/>
      <c r="F204" s="65"/>
      <c r="I204" s="66"/>
      <c r="J204" s="65"/>
      <c r="N204" s="65"/>
      <c r="T204" s="83"/>
      <c r="U204" s="62"/>
      <c r="V204" s="84"/>
      <c r="W204" s="84"/>
      <c r="X204" s="62"/>
      <c r="Y204" s="92"/>
      <c r="Z204" s="95"/>
      <c r="AA204" s="85"/>
      <c r="AB204" s="125"/>
      <c r="AC204" s="125"/>
      <c r="AD204" s="125"/>
      <c r="AE204" s="91"/>
      <c r="AF204" s="91"/>
      <c r="AG204" s="125"/>
      <c r="AH204" s="125"/>
      <c r="AI204" s="125"/>
      <c r="AJ204" s="125"/>
      <c r="AK204" s="125"/>
      <c r="AL204" s="125"/>
      <c r="AM204" s="126"/>
      <c r="AN204" s="71"/>
      <c r="AO204" s="62"/>
      <c r="AP204" s="85"/>
      <c r="AX204" s="85"/>
      <c r="AY204" s="85"/>
      <c r="AZ204" s="62"/>
      <c r="BA204" s="62"/>
      <c r="BB204" s="62"/>
      <c r="BC204" s="62"/>
      <c r="BD204" s="85"/>
      <c r="BE204" s="113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8"/>
      <c r="BT204" s="88"/>
      <c r="BU204" s="86"/>
      <c r="BV204" s="81"/>
      <c r="BW204" s="81"/>
      <c r="BX204" s="89"/>
      <c r="BY204" s="89"/>
      <c r="BZ204" s="89"/>
      <c r="CA204" s="89"/>
      <c r="CB204" s="89"/>
      <c r="CC204" s="89"/>
      <c r="CD204" s="65"/>
      <c r="CL204" s="66"/>
    </row>
    <row r="205" spans="3:90" s="61" customFormat="1" x14ac:dyDescent="0.25">
      <c r="C205" s="62"/>
      <c r="D205" s="81"/>
      <c r="E205" s="64">
        <v>7</v>
      </c>
      <c r="F205" s="65"/>
      <c r="I205" s="66"/>
      <c r="J205" s="65"/>
      <c r="N205" s="65"/>
      <c r="T205" s="83"/>
      <c r="U205" s="76" t="s">
        <v>63</v>
      </c>
      <c r="V205" s="73" t="s">
        <v>43</v>
      </c>
      <c r="W205" s="84"/>
      <c r="X205" s="63">
        <f>BW205</f>
        <v>18</v>
      </c>
      <c r="Y205" s="120" t="s">
        <v>50</v>
      </c>
      <c r="Z205" s="121" t="s">
        <v>534</v>
      </c>
      <c r="AA205" s="74"/>
      <c r="AB205" s="122"/>
      <c r="AC205" s="122"/>
      <c r="AD205" s="122"/>
      <c r="AE205" s="129"/>
      <c r="AF205" s="129"/>
      <c r="AG205" s="122"/>
      <c r="AH205" s="122"/>
      <c r="AI205" s="122"/>
      <c r="AJ205" s="122"/>
      <c r="AK205" s="122"/>
      <c r="AL205" s="122"/>
      <c r="AM205" s="123"/>
      <c r="AN205" s="72" t="s">
        <v>55</v>
      </c>
      <c r="AO205" s="76"/>
      <c r="AP205" s="74" t="s">
        <v>30</v>
      </c>
      <c r="AQ205" s="68"/>
      <c r="AR205" s="68"/>
      <c r="AS205" s="68"/>
      <c r="AT205" s="68"/>
      <c r="AU205" s="68"/>
      <c r="AV205" s="68"/>
      <c r="AW205" s="68"/>
      <c r="AX205" s="74"/>
      <c r="AY205" s="74"/>
      <c r="AZ205" s="76"/>
      <c r="BA205" s="76"/>
      <c r="BB205" s="76"/>
      <c r="BC205" s="76"/>
      <c r="BD205" s="74"/>
      <c r="BE205" s="78" t="s">
        <v>50</v>
      </c>
      <c r="BF205" s="68" t="s">
        <v>21</v>
      </c>
      <c r="BG205" s="68"/>
      <c r="BH205" s="68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9">
        <v>18</v>
      </c>
      <c r="BT205" s="79">
        <v>0</v>
      </c>
      <c r="BU205" s="75"/>
      <c r="BV205" s="63" t="str">
        <f t="shared" ref="BV205" si="19">IF(BW205&lt;&gt;"",IF(BW205=CB205+BZ205,"完了","未完"),"")</f>
        <v>未完</v>
      </c>
      <c r="BW205" s="63">
        <f>SUM(BS205:BT207)</f>
        <v>18</v>
      </c>
      <c r="BX205" s="80">
        <v>0</v>
      </c>
      <c r="BY205" s="80">
        <v>0</v>
      </c>
      <c r="BZ205" s="80">
        <v>0</v>
      </c>
      <c r="CA205" s="80">
        <f>BW205-(BX205+BY205+BZ205)</f>
        <v>18</v>
      </c>
      <c r="CB205" s="80">
        <v>0</v>
      </c>
      <c r="CC205" s="80">
        <v>0</v>
      </c>
      <c r="CD205" s="67"/>
      <c r="CE205" s="68"/>
      <c r="CF205" s="68"/>
      <c r="CG205" s="68"/>
      <c r="CH205" s="68"/>
      <c r="CI205" s="68"/>
      <c r="CJ205" s="68"/>
      <c r="CK205" s="68"/>
      <c r="CL205" s="69"/>
    </row>
    <row r="206" spans="3:90" s="61" customFormat="1" x14ac:dyDescent="0.25">
      <c r="C206" s="62"/>
      <c r="D206" s="81"/>
      <c r="E206" s="82"/>
      <c r="F206" s="65"/>
      <c r="I206" s="66"/>
      <c r="J206" s="65"/>
      <c r="N206" s="65"/>
      <c r="T206" s="83"/>
      <c r="U206" s="62"/>
      <c r="V206" s="84"/>
      <c r="W206" s="84"/>
      <c r="X206" s="62"/>
      <c r="Y206" s="92" t="s">
        <v>50</v>
      </c>
      <c r="Z206" s="95" t="s">
        <v>535</v>
      </c>
      <c r="AA206" s="85"/>
      <c r="AB206" s="125"/>
      <c r="AC206" s="125"/>
      <c r="AD206" s="125"/>
      <c r="AE206" s="91"/>
      <c r="AF206" s="91"/>
      <c r="AG206" s="125"/>
      <c r="AH206" s="125"/>
      <c r="AI206" s="125"/>
      <c r="AJ206" s="125"/>
      <c r="AK206" s="125"/>
      <c r="AL206" s="125"/>
      <c r="AM206" s="126"/>
      <c r="AN206" s="71"/>
      <c r="AO206" s="62"/>
      <c r="AP206" s="85" t="s">
        <v>52</v>
      </c>
      <c r="AX206" s="85"/>
      <c r="AY206" s="85"/>
      <c r="AZ206" s="62"/>
      <c r="BA206" s="62"/>
      <c r="BB206" s="62"/>
      <c r="BC206" s="62"/>
      <c r="BD206" s="85"/>
      <c r="BE206" s="113" t="s">
        <v>50</v>
      </c>
      <c r="BF206" s="61" t="s">
        <v>134</v>
      </c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8"/>
      <c r="BT206" s="88"/>
      <c r="BU206" s="86"/>
      <c r="BV206" s="81"/>
      <c r="BW206" s="81"/>
      <c r="BX206" s="89"/>
      <c r="BY206" s="89"/>
      <c r="BZ206" s="89"/>
      <c r="CA206" s="89"/>
      <c r="CB206" s="89"/>
      <c r="CC206" s="89"/>
      <c r="CD206" s="65"/>
      <c r="CL206" s="66"/>
    </row>
    <row r="207" spans="3:90" s="61" customFormat="1" x14ac:dyDescent="0.25">
      <c r="C207" s="62"/>
      <c r="D207" s="81"/>
      <c r="E207" s="82"/>
      <c r="F207" s="65"/>
      <c r="I207" s="66"/>
      <c r="J207" s="65"/>
      <c r="N207" s="65"/>
      <c r="T207" s="83"/>
      <c r="U207" s="62"/>
      <c r="V207" s="84"/>
      <c r="W207" s="84"/>
      <c r="X207" s="62"/>
      <c r="Y207" s="92" t="s">
        <v>53</v>
      </c>
      <c r="Z207" s="95" t="s">
        <v>548</v>
      </c>
      <c r="AA207" s="95"/>
      <c r="AB207" s="125"/>
      <c r="AC207" s="125"/>
      <c r="AD207" s="125"/>
      <c r="AE207" s="91"/>
      <c r="AF207" s="91"/>
      <c r="AG207" s="125"/>
      <c r="AH207" s="125"/>
      <c r="AI207" s="125"/>
      <c r="AJ207" s="125"/>
      <c r="AK207" s="125"/>
      <c r="AL207" s="125"/>
      <c r="AM207" s="126"/>
      <c r="AN207" s="71" t="s">
        <v>84</v>
      </c>
      <c r="AO207" s="62"/>
      <c r="AP207" s="61" t="s">
        <v>135</v>
      </c>
      <c r="AQ207" s="61" t="s">
        <v>536</v>
      </c>
      <c r="AX207" s="85"/>
      <c r="AY207" s="85"/>
      <c r="AZ207" s="62"/>
      <c r="BA207" s="62"/>
      <c r="BB207" s="62"/>
      <c r="BC207" s="62"/>
      <c r="BD207" s="85"/>
      <c r="BE207" s="113" t="s">
        <v>50</v>
      </c>
      <c r="BF207" s="61" t="s">
        <v>133</v>
      </c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8"/>
      <c r="BT207" s="88"/>
      <c r="BU207" s="86"/>
      <c r="BV207" s="81"/>
      <c r="BW207" s="81"/>
      <c r="BX207" s="89"/>
      <c r="BY207" s="89"/>
      <c r="BZ207" s="89"/>
      <c r="CA207" s="89"/>
      <c r="CB207" s="89"/>
      <c r="CC207" s="89"/>
      <c r="CD207" s="65"/>
      <c r="CL207" s="66"/>
    </row>
    <row r="208" spans="3:90" s="61" customFormat="1" x14ac:dyDescent="0.25">
      <c r="C208" s="62"/>
      <c r="D208" s="81"/>
      <c r="E208" s="82"/>
      <c r="F208" s="65"/>
      <c r="I208" s="66"/>
      <c r="J208" s="65"/>
      <c r="N208" s="65"/>
      <c r="T208" s="83"/>
      <c r="U208" s="62"/>
      <c r="V208" s="84"/>
      <c r="W208" s="84"/>
      <c r="X208" s="62"/>
      <c r="Y208" s="92"/>
      <c r="Z208" s="95" t="s">
        <v>57</v>
      </c>
      <c r="AA208" s="85" t="s">
        <v>549</v>
      </c>
      <c r="AB208" s="125"/>
      <c r="AC208" s="125"/>
      <c r="AD208" s="125"/>
      <c r="AE208" s="91"/>
      <c r="AF208" s="91"/>
      <c r="AG208" s="125"/>
      <c r="AH208" s="125"/>
      <c r="AI208" s="125"/>
      <c r="AJ208" s="125"/>
      <c r="AK208" s="125"/>
      <c r="AL208" s="125"/>
      <c r="AM208" s="126"/>
      <c r="AN208" s="71"/>
      <c r="AO208" s="62"/>
      <c r="AP208" s="85" t="s">
        <v>52</v>
      </c>
      <c r="AX208" s="85"/>
      <c r="AY208" s="85"/>
      <c r="AZ208" s="62"/>
      <c r="BA208" s="62"/>
      <c r="BB208" s="62"/>
      <c r="BC208" s="62"/>
      <c r="BD208" s="85"/>
      <c r="BE208" s="113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8"/>
      <c r="BT208" s="88"/>
      <c r="BU208" s="86"/>
      <c r="BV208" s="81"/>
      <c r="BW208" s="81"/>
      <c r="BX208" s="89"/>
      <c r="BY208" s="89"/>
      <c r="BZ208" s="89"/>
      <c r="CA208" s="89"/>
      <c r="CB208" s="89"/>
      <c r="CC208" s="89"/>
      <c r="CD208" s="65"/>
      <c r="CL208" s="66"/>
    </row>
    <row r="209" spans="3:90" s="61" customFormat="1" x14ac:dyDescent="0.25">
      <c r="C209" s="62"/>
      <c r="D209" s="81"/>
      <c r="E209" s="82"/>
      <c r="F209" s="65"/>
      <c r="I209" s="66"/>
      <c r="J209" s="65"/>
      <c r="N209" s="65"/>
      <c r="T209" s="83"/>
      <c r="U209" s="62"/>
      <c r="V209" s="84"/>
      <c r="W209" s="84"/>
      <c r="X209" s="62"/>
      <c r="Y209" s="92"/>
      <c r="Z209" s="95"/>
      <c r="AA209" s="85"/>
      <c r="AB209" s="125"/>
      <c r="AC209" s="125"/>
      <c r="AD209" s="125"/>
      <c r="AE209" s="91"/>
      <c r="AF209" s="91"/>
      <c r="AG209" s="125"/>
      <c r="AH209" s="125"/>
      <c r="AI209" s="125"/>
      <c r="AJ209" s="125"/>
      <c r="AK209" s="125"/>
      <c r="AL209" s="125"/>
      <c r="AM209" s="126"/>
      <c r="AN209" s="62" t="s">
        <v>66</v>
      </c>
      <c r="AO209" s="62"/>
      <c r="AP209" s="85" t="s">
        <v>130</v>
      </c>
      <c r="AQ209" s="61" t="s">
        <v>358</v>
      </c>
      <c r="AX209" s="85"/>
      <c r="AY209" s="85"/>
      <c r="AZ209" s="62"/>
      <c r="BA209" s="62"/>
      <c r="BB209" s="62"/>
      <c r="BC209" s="62"/>
      <c r="BD209" s="85"/>
      <c r="BE209" s="113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8"/>
      <c r="BT209" s="88"/>
      <c r="BU209" s="86"/>
      <c r="BV209" s="81"/>
      <c r="BW209" s="81"/>
      <c r="BX209" s="89"/>
      <c r="BY209" s="89"/>
      <c r="BZ209" s="89"/>
      <c r="CA209" s="89"/>
      <c r="CB209" s="89"/>
      <c r="CC209" s="89"/>
      <c r="CD209" s="65"/>
      <c r="CL209" s="66"/>
    </row>
    <row r="210" spans="3:90" s="61" customFormat="1" x14ac:dyDescent="0.25">
      <c r="C210" s="62"/>
      <c r="D210" s="81"/>
      <c r="E210" s="82"/>
      <c r="F210" s="65"/>
      <c r="I210" s="66"/>
      <c r="J210" s="65"/>
      <c r="N210" s="65"/>
      <c r="T210" s="83"/>
      <c r="U210" s="62"/>
      <c r="V210" s="84"/>
      <c r="W210" s="84"/>
      <c r="X210" s="62"/>
      <c r="Y210" s="92"/>
      <c r="Z210" s="95"/>
      <c r="AA210" s="85"/>
      <c r="AB210" s="125"/>
      <c r="AC210" s="125"/>
      <c r="AD210" s="125"/>
      <c r="AE210" s="91"/>
      <c r="AF210" s="91"/>
      <c r="AG210" s="125"/>
      <c r="AH210" s="125"/>
      <c r="AI210" s="125"/>
      <c r="AJ210" s="125"/>
      <c r="AK210" s="125"/>
      <c r="AL210" s="125"/>
      <c r="AM210" s="126"/>
      <c r="AN210" s="62"/>
      <c r="AO210" s="62"/>
      <c r="AP210" s="85"/>
      <c r="AX210" s="85"/>
      <c r="AY210" s="85"/>
      <c r="AZ210" s="62"/>
      <c r="BA210" s="62"/>
      <c r="BB210" s="62"/>
      <c r="BC210" s="62"/>
      <c r="BD210" s="85"/>
      <c r="BE210" s="113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8"/>
      <c r="BT210" s="88"/>
      <c r="BU210" s="86"/>
      <c r="BV210" s="81"/>
      <c r="BW210" s="81"/>
      <c r="BX210" s="89"/>
      <c r="BY210" s="89"/>
      <c r="BZ210" s="89"/>
      <c r="CA210" s="89"/>
      <c r="CB210" s="89"/>
      <c r="CC210" s="89"/>
      <c r="CD210" s="65"/>
      <c r="CL210" s="66"/>
    </row>
    <row r="211" spans="3:90" s="61" customFormat="1" x14ac:dyDescent="0.25">
      <c r="C211" s="62"/>
      <c r="D211" s="81"/>
      <c r="E211" s="82"/>
      <c r="F211" s="65"/>
      <c r="I211" s="66"/>
      <c r="J211" s="65"/>
      <c r="N211" s="65"/>
      <c r="T211" s="83"/>
      <c r="U211" s="62"/>
      <c r="V211" s="84"/>
      <c r="W211" s="84"/>
      <c r="X211" s="62"/>
      <c r="Y211" s="92"/>
      <c r="Z211" s="95"/>
      <c r="AA211" s="85"/>
      <c r="AB211" s="125"/>
      <c r="AC211" s="125"/>
      <c r="AD211" s="125"/>
      <c r="AE211" s="91"/>
      <c r="AF211" s="91"/>
      <c r="AG211" s="125"/>
      <c r="AH211" s="125"/>
      <c r="AI211" s="125"/>
      <c r="AJ211" s="125"/>
      <c r="AK211" s="125"/>
      <c r="AL211" s="125"/>
      <c r="AM211" s="126"/>
      <c r="AX211" s="85"/>
      <c r="AY211" s="85"/>
      <c r="AZ211" s="62"/>
      <c r="BA211" s="62"/>
      <c r="BB211" s="62"/>
      <c r="BC211" s="62"/>
      <c r="BD211" s="85"/>
      <c r="BE211" s="113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8"/>
      <c r="BT211" s="88"/>
      <c r="BU211" s="86"/>
      <c r="BV211" s="81"/>
      <c r="BW211" s="81"/>
      <c r="BX211" s="89"/>
      <c r="BY211" s="89"/>
      <c r="BZ211" s="89"/>
      <c r="CA211" s="89"/>
      <c r="CB211" s="89"/>
      <c r="CC211" s="89"/>
      <c r="CD211" s="65"/>
      <c r="CL211" s="66"/>
    </row>
    <row r="212" spans="3:90" s="61" customFormat="1" x14ac:dyDescent="0.25">
      <c r="C212" s="62"/>
      <c r="D212" s="81"/>
      <c r="E212" s="64">
        <v>8</v>
      </c>
      <c r="F212" s="65"/>
      <c r="I212" s="66"/>
      <c r="J212" s="65"/>
      <c r="N212" s="65"/>
      <c r="T212" s="83"/>
      <c r="U212" s="76" t="s">
        <v>63</v>
      </c>
      <c r="V212" s="73" t="s">
        <v>43</v>
      </c>
      <c r="W212" s="84"/>
      <c r="X212" s="63">
        <f>BW212</f>
        <v>18</v>
      </c>
      <c r="Y212" s="120" t="s">
        <v>50</v>
      </c>
      <c r="Z212" s="121" t="s">
        <v>142</v>
      </c>
      <c r="AA212" s="74"/>
      <c r="AB212" s="122"/>
      <c r="AC212" s="122"/>
      <c r="AD212" s="122"/>
      <c r="AE212" s="129"/>
      <c r="AF212" s="129"/>
      <c r="AG212" s="122"/>
      <c r="AH212" s="122"/>
      <c r="AI212" s="122"/>
      <c r="AJ212" s="122"/>
      <c r="AK212" s="122"/>
      <c r="AL212" s="122"/>
      <c r="AM212" s="123"/>
      <c r="AN212" s="72" t="s">
        <v>55</v>
      </c>
      <c r="AO212" s="76"/>
      <c r="AP212" s="74" t="s">
        <v>30</v>
      </c>
      <c r="AQ212" s="68"/>
      <c r="AR212" s="68"/>
      <c r="AS212" s="68"/>
      <c r="AT212" s="68"/>
      <c r="AU212" s="68"/>
      <c r="AV212" s="68"/>
      <c r="AW212" s="68"/>
      <c r="AX212" s="74"/>
      <c r="AY212" s="74"/>
      <c r="AZ212" s="76"/>
      <c r="BA212" s="76"/>
      <c r="BB212" s="76"/>
      <c r="BC212" s="76"/>
      <c r="BD212" s="74"/>
      <c r="BE212" s="78" t="s">
        <v>50</v>
      </c>
      <c r="BF212" s="68" t="s">
        <v>21</v>
      </c>
      <c r="BG212" s="68"/>
      <c r="BH212" s="68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9">
        <v>18</v>
      </c>
      <c r="BT212" s="79">
        <v>0</v>
      </c>
      <c r="BU212" s="75"/>
      <c r="BV212" s="63" t="str">
        <f t="shared" ref="BV212" si="20">IF(BW212&lt;&gt;"",IF(BW212=CB212+BZ212,"完了","未完"),"")</f>
        <v>未完</v>
      </c>
      <c r="BW212" s="63">
        <f>SUM(BS212:BT214)</f>
        <v>18</v>
      </c>
      <c r="BX212" s="80">
        <v>0</v>
      </c>
      <c r="BY212" s="80">
        <v>0</v>
      </c>
      <c r="BZ212" s="80">
        <v>0</v>
      </c>
      <c r="CA212" s="80">
        <f>BW212-(BX212+BY212+BZ212)</f>
        <v>18</v>
      </c>
      <c r="CB212" s="80">
        <v>0</v>
      </c>
      <c r="CC212" s="80">
        <v>0</v>
      </c>
      <c r="CD212" s="67"/>
      <c r="CE212" s="68"/>
      <c r="CF212" s="68"/>
      <c r="CG212" s="68"/>
      <c r="CH212" s="68"/>
      <c r="CI212" s="68"/>
      <c r="CJ212" s="68"/>
      <c r="CK212" s="68"/>
      <c r="CL212" s="69"/>
    </row>
    <row r="213" spans="3:90" s="61" customFormat="1" x14ac:dyDescent="0.25">
      <c r="C213" s="62"/>
      <c r="D213" s="81"/>
      <c r="E213" s="82"/>
      <c r="F213" s="65"/>
      <c r="I213" s="66"/>
      <c r="J213" s="65"/>
      <c r="N213" s="65"/>
      <c r="T213" s="83"/>
      <c r="U213" s="62"/>
      <c r="V213" s="84"/>
      <c r="W213" s="84"/>
      <c r="X213" s="62"/>
      <c r="Y213" s="92" t="s">
        <v>53</v>
      </c>
      <c r="Z213" s="95" t="s">
        <v>548</v>
      </c>
      <c r="AA213" s="95"/>
      <c r="AB213" s="125"/>
      <c r="AC213" s="125"/>
      <c r="AD213" s="125"/>
      <c r="AE213" s="91"/>
      <c r="AF213" s="91"/>
      <c r="AG213" s="125"/>
      <c r="AH213" s="125"/>
      <c r="AI213" s="125"/>
      <c r="AJ213" s="125"/>
      <c r="AK213" s="125"/>
      <c r="AL213" s="125"/>
      <c r="AM213" s="126"/>
      <c r="AN213" s="71"/>
      <c r="AO213" s="62"/>
      <c r="AP213" s="85" t="s">
        <v>52</v>
      </c>
      <c r="AX213" s="85"/>
      <c r="AY213" s="85"/>
      <c r="AZ213" s="62"/>
      <c r="BA213" s="62"/>
      <c r="BB213" s="62"/>
      <c r="BC213" s="62"/>
      <c r="BD213" s="85"/>
      <c r="BE213" s="113" t="s">
        <v>50</v>
      </c>
      <c r="BF213" s="61" t="s">
        <v>134</v>
      </c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8"/>
      <c r="BT213" s="88"/>
      <c r="BU213" s="86"/>
      <c r="BV213" s="81"/>
      <c r="BW213" s="81"/>
      <c r="BX213" s="89"/>
      <c r="BY213" s="89"/>
      <c r="BZ213" s="89"/>
      <c r="CA213" s="89"/>
      <c r="CB213" s="89"/>
      <c r="CC213" s="89"/>
      <c r="CD213" s="65"/>
      <c r="CL213" s="66"/>
    </row>
    <row r="214" spans="3:90" s="61" customFormat="1" x14ac:dyDescent="0.25">
      <c r="C214" s="62"/>
      <c r="D214" s="81"/>
      <c r="E214" s="82"/>
      <c r="F214" s="65"/>
      <c r="I214" s="66"/>
      <c r="J214" s="65"/>
      <c r="N214" s="65"/>
      <c r="T214" s="83"/>
      <c r="U214" s="62"/>
      <c r="V214" s="84"/>
      <c r="W214" s="84"/>
      <c r="X214" s="62"/>
      <c r="Y214" s="92"/>
      <c r="Z214" s="95" t="s">
        <v>57</v>
      </c>
      <c r="AA214" s="85" t="s">
        <v>549</v>
      </c>
      <c r="AB214" s="125"/>
      <c r="AC214" s="125"/>
      <c r="AD214" s="125"/>
      <c r="AE214" s="91"/>
      <c r="AF214" s="91"/>
      <c r="AG214" s="125"/>
      <c r="AH214" s="125"/>
      <c r="AI214" s="125"/>
      <c r="AJ214" s="125"/>
      <c r="AK214" s="125"/>
      <c r="AL214" s="125"/>
      <c r="AM214" s="126"/>
      <c r="AN214" s="71" t="s">
        <v>84</v>
      </c>
      <c r="AO214" s="62"/>
      <c r="AP214" s="61" t="s">
        <v>135</v>
      </c>
      <c r="AX214" s="85"/>
      <c r="AY214" s="85"/>
      <c r="AZ214" s="62"/>
      <c r="BA214" s="62"/>
      <c r="BB214" s="62"/>
      <c r="BC214" s="62"/>
      <c r="BD214" s="85"/>
      <c r="BE214" s="113" t="s">
        <v>50</v>
      </c>
      <c r="BF214" s="61" t="s">
        <v>133</v>
      </c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8"/>
      <c r="BT214" s="88"/>
      <c r="BU214" s="86"/>
      <c r="BV214" s="81"/>
      <c r="BW214" s="81"/>
      <c r="BX214" s="89"/>
      <c r="BY214" s="89"/>
      <c r="BZ214" s="89"/>
      <c r="CA214" s="89"/>
      <c r="CB214" s="89"/>
      <c r="CC214" s="89"/>
      <c r="CD214" s="65"/>
      <c r="CL214" s="66"/>
    </row>
    <row r="215" spans="3:90" s="61" customFormat="1" x14ac:dyDescent="0.25">
      <c r="C215" s="62"/>
      <c r="D215" s="81"/>
      <c r="E215" s="82"/>
      <c r="F215" s="65"/>
      <c r="I215" s="66"/>
      <c r="J215" s="65"/>
      <c r="N215" s="65"/>
      <c r="T215" s="83"/>
      <c r="U215" s="62"/>
      <c r="V215" s="84"/>
      <c r="W215" s="84"/>
      <c r="X215" s="62"/>
      <c r="Y215" s="92"/>
      <c r="Z215" s="95"/>
      <c r="AA215" s="85"/>
      <c r="AB215" s="125"/>
      <c r="AC215" s="125"/>
      <c r="AD215" s="125"/>
      <c r="AE215" s="91"/>
      <c r="AF215" s="91"/>
      <c r="AG215" s="125"/>
      <c r="AH215" s="125"/>
      <c r="AI215" s="125"/>
      <c r="AJ215" s="125"/>
      <c r="AK215" s="125"/>
      <c r="AL215" s="125"/>
      <c r="AM215" s="126"/>
      <c r="AN215" s="71"/>
      <c r="AO215" s="62"/>
      <c r="AP215" s="85" t="s">
        <v>52</v>
      </c>
      <c r="AX215" s="85"/>
      <c r="AY215" s="85"/>
      <c r="AZ215" s="62"/>
      <c r="BA215" s="62"/>
      <c r="BB215" s="62"/>
      <c r="BC215" s="62"/>
      <c r="BD215" s="85"/>
      <c r="BE215" s="113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8"/>
      <c r="BT215" s="88"/>
      <c r="BU215" s="86"/>
      <c r="BV215" s="81"/>
      <c r="BW215" s="81"/>
      <c r="BX215" s="89"/>
      <c r="BY215" s="89"/>
      <c r="BZ215" s="89"/>
      <c r="CA215" s="89"/>
      <c r="CB215" s="89"/>
      <c r="CC215" s="89"/>
      <c r="CD215" s="65"/>
      <c r="CL215" s="66"/>
    </row>
    <row r="216" spans="3:90" s="61" customFormat="1" x14ac:dyDescent="0.25">
      <c r="C216" s="62"/>
      <c r="D216" s="81"/>
      <c r="E216" s="82"/>
      <c r="F216" s="65"/>
      <c r="I216" s="66"/>
      <c r="J216" s="65"/>
      <c r="N216" s="65"/>
      <c r="T216" s="83"/>
      <c r="U216" s="62"/>
      <c r="V216" s="84"/>
      <c r="W216" s="84"/>
      <c r="X216" s="62"/>
      <c r="Y216" s="92"/>
      <c r="Z216" s="95"/>
      <c r="AA216" s="85"/>
      <c r="AB216" s="125"/>
      <c r="AC216" s="125"/>
      <c r="AD216" s="125"/>
      <c r="AE216" s="91"/>
      <c r="AF216" s="91"/>
      <c r="AG216" s="125"/>
      <c r="AH216" s="125"/>
      <c r="AI216" s="125"/>
      <c r="AJ216" s="125"/>
      <c r="AK216" s="125"/>
      <c r="AL216" s="125"/>
      <c r="AM216" s="126"/>
      <c r="AN216" s="62" t="s">
        <v>66</v>
      </c>
      <c r="AO216" s="62"/>
      <c r="AP216" s="85" t="s">
        <v>130</v>
      </c>
      <c r="AQ216" s="61" t="s">
        <v>78</v>
      </c>
      <c r="AX216" s="85"/>
      <c r="AY216" s="85"/>
      <c r="AZ216" s="62"/>
      <c r="BA216" s="62"/>
      <c r="BB216" s="62"/>
      <c r="BC216" s="62"/>
      <c r="BD216" s="85"/>
      <c r="BE216" s="113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8"/>
      <c r="BT216" s="88"/>
      <c r="BU216" s="86"/>
      <c r="BV216" s="81"/>
      <c r="BW216" s="81"/>
      <c r="BX216" s="89"/>
      <c r="BY216" s="89"/>
      <c r="BZ216" s="89"/>
      <c r="CA216" s="89"/>
      <c r="CB216" s="89"/>
      <c r="CC216" s="89"/>
      <c r="CD216" s="65"/>
      <c r="CL216" s="66"/>
    </row>
    <row r="217" spans="3:90" s="61" customFormat="1" x14ac:dyDescent="0.25">
      <c r="C217" s="62"/>
      <c r="D217" s="81"/>
      <c r="E217" s="82"/>
      <c r="F217" s="65"/>
      <c r="I217" s="66"/>
      <c r="J217" s="65"/>
      <c r="N217" s="65"/>
      <c r="T217" s="83"/>
      <c r="U217" s="62"/>
      <c r="V217" s="84"/>
      <c r="W217" s="84"/>
      <c r="X217" s="62"/>
      <c r="Y217" s="92"/>
      <c r="Z217" s="95"/>
      <c r="AA217" s="85"/>
      <c r="AB217" s="125"/>
      <c r="AC217" s="125"/>
      <c r="AD217" s="125"/>
      <c r="AE217" s="91"/>
      <c r="AF217" s="91"/>
      <c r="AG217" s="125"/>
      <c r="AH217" s="125"/>
      <c r="AI217" s="125"/>
      <c r="AJ217" s="125"/>
      <c r="AK217" s="125"/>
      <c r="AL217" s="125"/>
      <c r="AM217" s="126"/>
      <c r="AN217" s="62"/>
      <c r="AO217" s="62"/>
      <c r="AP217" s="85"/>
      <c r="AX217" s="85"/>
      <c r="AY217" s="85"/>
      <c r="AZ217" s="62"/>
      <c r="BA217" s="62"/>
      <c r="BB217" s="62"/>
      <c r="BC217" s="62"/>
      <c r="BD217" s="85"/>
      <c r="BE217" s="113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8"/>
      <c r="BT217" s="88"/>
      <c r="BU217" s="86"/>
      <c r="BV217" s="81"/>
      <c r="BW217" s="81"/>
      <c r="BX217" s="89"/>
      <c r="BY217" s="89"/>
      <c r="BZ217" s="89"/>
      <c r="CA217" s="89"/>
      <c r="CB217" s="89"/>
      <c r="CC217" s="89"/>
      <c r="CD217" s="65"/>
      <c r="CL217" s="66"/>
    </row>
    <row r="218" spans="3:90" s="61" customFormat="1" x14ac:dyDescent="0.25">
      <c r="C218" s="62"/>
      <c r="D218" s="81"/>
      <c r="E218" s="82"/>
      <c r="F218" s="65"/>
      <c r="I218" s="66"/>
      <c r="J218" s="65"/>
      <c r="N218" s="65"/>
      <c r="T218" s="83"/>
      <c r="U218" s="62"/>
      <c r="V218" s="84"/>
      <c r="W218" s="84"/>
      <c r="X218" s="62"/>
      <c r="Y218" s="92"/>
      <c r="Z218" s="95"/>
      <c r="AA218" s="85"/>
      <c r="AB218" s="125"/>
      <c r="AC218" s="125"/>
      <c r="AD218" s="125"/>
      <c r="AE218" s="91"/>
      <c r="AF218" s="91"/>
      <c r="AG218" s="125"/>
      <c r="AH218" s="125"/>
      <c r="AI218" s="125"/>
      <c r="AJ218" s="125"/>
      <c r="AK218" s="125"/>
      <c r="AL218" s="125"/>
      <c r="AM218" s="126"/>
      <c r="AN218" s="62"/>
      <c r="AO218" s="62"/>
      <c r="AP218" s="85"/>
      <c r="AX218" s="85"/>
      <c r="AY218" s="85"/>
      <c r="AZ218" s="62"/>
      <c r="BA218" s="62"/>
      <c r="BB218" s="62"/>
      <c r="BC218" s="62"/>
      <c r="BD218" s="85"/>
      <c r="BE218" s="113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8"/>
      <c r="BT218" s="88"/>
      <c r="BU218" s="86"/>
      <c r="BV218" s="81"/>
      <c r="BW218" s="81"/>
      <c r="BX218" s="89"/>
      <c r="BY218" s="89"/>
      <c r="BZ218" s="89"/>
      <c r="CA218" s="89"/>
      <c r="CB218" s="89"/>
      <c r="CC218" s="89"/>
      <c r="CD218" s="65"/>
      <c r="CL218" s="66"/>
    </row>
    <row r="219" spans="3:90" s="61" customFormat="1" x14ac:dyDescent="0.25">
      <c r="C219" s="62"/>
      <c r="D219" s="81"/>
      <c r="E219" s="64">
        <v>9</v>
      </c>
      <c r="F219" s="65"/>
      <c r="I219" s="66"/>
      <c r="J219" s="65"/>
      <c r="N219" s="65"/>
      <c r="T219" s="83"/>
      <c r="U219" s="76" t="s">
        <v>63</v>
      </c>
      <c r="V219" s="73" t="s">
        <v>43</v>
      </c>
      <c r="W219" s="84"/>
      <c r="X219" s="63">
        <f>BW219</f>
        <v>18</v>
      </c>
      <c r="Y219" s="120" t="s">
        <v>50</v>
      </c>
      <c r="Z219" s="121" t="s">
        <v>143</v>
      </c>
      <c r="AA219" s="74"/>
      <c r="AB219" s="122"/>
      <c r="AC219" s="122"/>
      <c r="AD219" s="122"/>
      <c r="AE219" s="129"/>
      <c r="AF219" s="129"/>
      <c r="AG219" s="122"/>
      <c r="AH219" s="122"/>
      <c r="AI219" s="122"/>
      <c r="AJ219" s="122"/>
      <c r="AK219" s="122"/>
      <c r="AL219" s="122"/>
      <c r="AM219" s="123"/>
      <c r="AN219" s="72" t="s">
        <v>55</v>
      </c>
      <c r="AO219" s="76"/>
      <c r="AP219" s="74" t="s">
        <v>30</v>
      </c>
      <c r="AQ219" s="68"/>
      <c r="AR219" s="68"/>
      <c r="AS219" s="68"/>
      <c r="AT219" s="68"/>
      <c r="AU219" s="68"/>
      <c r="AV219" s="68"/>
      <c r="AW219" s="68"/>
      <c r="AX219" s="74"/>
      <c r="AY219" s="74"/>
      <c r="AZ219" s="76"/>
      <c r="BA219" s="76"/>
      <c r="BB219" s="76"/>
      <c r="BC219" s="76"/>
      <c r="BD219" s="74"/>
      <c r="BE219" s="78" t="s">
        <v>50</v>
      </c>
      <c r="BF219" s="68" t="s">
        <v>21</v>
      </c>
      <c r="BG219" s="68"/>
      <c r="BH219" s="68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9">
        <v>18</v>
      </c>
      <c r="BT219" s="79">
        <v>0</v>
      </c>
      <c r="BU219" s="75"/>
      <c r="BV219" s="63" t="str">
        <f t="shared" ref="BV219" si="21">IF(BW219&lt;&gt;"",IF(BW219=CB219+BZ219,"完了","未完"),"")</f>
        <v>未完</v>
      </c>
      <c r="BW219" s="63">
        <f>SUM(BS219:BT221)</f>
        <v>18</v>
      </c>
      <c r="BX219" s="80">
        <v>0</v>
      </c>
      <c r="BY219" s="80">
        <v>0</v>
      </c>
      <c r="BZ219" s="80">
        <v>0</v>
      </c>
      <c r="CA219" s="80">
        <f>BW219-(BX219+BY219+BZ219)</f>
        <v>18</v>
      </c>
      <c r="CB219" s="80">
        <v>0</v>
      </c>
      <c r="CC219" s="80">
        <v>0</v>
      </c>
      <c r="CD219" s="67"/>
      <c r="CE219" s="68"/>
      <c r="CF219" s="68"/>
      <c r="CG219" s="68"/>
      <c r="CH219" s="68"/>
      <c r="CI219" s="68"/>
      <c r="CJ219" s="68"/>
      <c r="CK219" s="68"/>
      <c r="CL219" s="69"/>
    </row>
    <row r="220" spans="3:90" s="61" customFormat="1" x14ac:dyDescent="0.25">
      <c r="C220" s="62"/>
      <c r="D220" s="81"/>
      <c r="E220" s="82"/>
      <c r="F220" s="65"/>
      <c r="I220" s="66"/>
      <c r="J220" s="65"/>
      <c r="N220" s="65"/>
      <c r="T220" s="83"/>
      <c r="U220" s="62"/>
      <c r="V220" s="84"/>
      <c r="W220" s="84"/>
      <c r="X220" s="62"/>
      <c r="Y220" s="92" t="s">
        <v>53</v>
      </c>
      <c r="Z220" s="95" t="s">
        <v>548</v>
      </c>
      <c r="AA220" s="95"/>
      <c r="AB220" s="125"/>
      <c r="AC220" s="125"/>
      <c r="AD220" s="125"/>
      <c r="AE220" s="91"/>
      <c r="AF220" s="91"/>
      <c r="AG220" s="125"/>
      <c r="AH220" s="125"/>
      <c r="AI220" s="125"/>
      <c r="AJ220" s="125"/>
      <c r="AK220" s="125"/>
      <c r="AL220" s="125"/>
      <c r="AM220" s="126"/>
      <c r="AN220" s="71"/>
      <c r="AO220" s="62"/>
      <c r="AP220" s="85" t="s">
        <v>52</v>
      </c>
      <c r="AX220" s="85"/>
      <c r="AY220" s="85"/>
      <c r="AZ220" s="62"/>
      <c r="BA220" s="62"/>
      <c r="BB220" s="62"/>
      <c r="BC220" s="62"/>
      <c r="BD220" s="85"/>
      <c r="BE220" s="113" t="s">
        <v>50</v>
      </c>
      <c r="BF220" s="61" t="s">
        <v>134</v>
      </c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8"/>
      <c r="BT220" s="88"/>
      <c r="BU220" s="86"/>
      <c r="BV220" s="81"/>
      <c r="BW220" s="81"/>
      <c r="BX220" s="89"/>
      <c r="BY220" s="89"/>
      <c r="BZ220" s="89"/>
      <c r="CA220" s="89"/>
      <c r="CB220" s="89"/>
      <c r="CC220" s="89"/>
      <c r="CD220" s="65"/>
      <c r="CL220" s="66"/>
    </row>
    <row r="221" spans="3:90" s="61" customFormat="1" x14ac:dyDescent="0.25">
      <c r="C221" s="62"/>
      <c r="D221" s="81"/>
      <c r="E221" s="82"/>
      <c r="F221" s="65"/>
      <c r="I221" s="66"/>
      <c r="J221" s="65"/>
      <c r="N221" s="65"/>
      <c r="T221" s="83"/>
      <c r="U221" s="62"/>
      <c r="V221" s="84"/>
      <c r="W221" s="84"/>
      <c r="X221" s="62"/>
      <c r="Y221" s="92"/>
      <c r="Z221" s="95" t="s">
        <v>57</v>
      </c>
      <c r="AA221" s="85" t="s">
        <v>549</v>
      </c>
      <c r="AB221" s="125"/>
      <c r="AC221" s="125"/>
      <c r="AD221" s="125"/>
      <c r="AE221" s="91"/>
      <c r="AF221" s="91"/>
      <c r="AG221" s="125"/>
      <c r="AH221" s="125"/>
      <c r="AI221" s="125"/>
      <c r="AJ221" s="125"/>
      <c r="AK221" s="125"/>
      <c r="AL221" s="125"/>
      <c r="AM221" s="126"/>
      <c r="AN221" s="71" t="s">
        <v>84</v>
      </c>
      <c r="AO221" s="62"/>
      <c r="AP221" s="61" t="s">
        <v>135</v>
      </c>
      <c r="AX221" s="85"/>
      <c r="AY221" s="85"/>
      <c r="AZ221" s="62"/>
      <c r="BA221" s="62"/>
      <c r="BB221" s="62"/>
      <c r="BC221" s="62"/>
      <c r="BD221" s="85"/>
      <c r="BE221" s="113" t="s">
        <v>50</v>
      </c>
      <c r="BF221" s="61" t="s">
        <v>133</v>
      </c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8"/>
      <c r="BT221" s="88"/>
      <c r="BU221" s="86"/>
      <c r="BV221" s="81"/>
      <c r="BW221" s="81"/>
      <c r="BX221" s="89"/>
      <c r="BY221" s="89"/>
      <c r="BZ221" s="89"/>
      <c r="CA221" s="89"/>
      <c r="CB221" s="89"/>
      <c r="CC221" s="89"/>
      <c r="CD221" s="65"/>
      <c r="CL221" s="66"/>
    </row>
    <row r="222" spans="3:90" s="61" customFormat="1" x14ac:dyDescent="0.25">
      <c r="C222" s="62"/>
      <c r="D222" s="81"/>
      <c r="E222" s="82"/>
      <c r="F222" s="65"/>
      <c r="I222" s="66"/>
      <c r="J222" s="65"/>
      <c r="N222" s="65"/>
      <c r="T222" s="83"/>
      <c r="U222" s="62"/>
      <c r="V222" s="84"/>
      <c r="W222" s="84"/>
      <c r="X222" s="62"/>
      <c r="Y222" s="92"/>
      <c r="Z222" s="95"/>
      <c r="AA222" s="85"/>
      <c r="AB222" s="125"/>
      <c r="AC222" s="125"/>
      <c r="AD222" s="125"/>
      <c r="AE222" s="91"/>
      <c r="AF222" s="91"/>
      <c r="AG222" s="125"/>
      <c r="AH222" s="125"/>
      <c r="AI222" s="125"/>
      <c r="AJ222" s="125"/>
      <c r="AK222" s="125"/>
      <c r="AL222" s="125"/>
      <c r="AM222" s="126"/>
      <c r="AN222" s="71"/>
      <c r="AO222" s="62"/>
      <c r="AP222" s="85" t="s">
        <v>52</v>
      </c>
      <c r="AX222" s="85"/>
      <c r="AY222" s="85"/>
      <c r="AZ222" s="62"/>
      <c r="BA222" s="62"/>
      <c r="BB222" s="62"/>
      <c r="BC222" s="62"/>
      <c r="BD222" s="85"/>
      <c r="BE222" s="113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8"/>
      <c r="BT222" s="88"/>
      <c r="BU222" s="86"/>
      <c r="BV222" s="81"/>
      <c r="BW222" s="81"/>
      <c r="BX222" s="89"/>
      <c r="BY222" s="89"/>
      <c r="BZ222" s="89"/>
      <c r="CA222" s="89"/>
      <c r="CB222" s="89"/>
      <c r="CC222" s="89"/>
      <c r="CD222" s="65"/>
      <c r="CL222" s="66"/>
    </row>
    <row r="223" spans="3:90" s="61" customFormat="1" x14ac:dyDescent="0.25">
      <c r="C223" s="62"/>
      <c r="D223" s="81"/>
      <c r="E223" s="82"/>
      <c r="F223" s="65"/>
      <c r="I223" s="66"/>
      <c r="J223" s="65"/>
      <c r="N223" s="65"/>
      <c r="T223" s="83"/>
      <c r="U223" s="62"/>
      <c r="V223" s="84"/>
      <c r="W223" s="84"/>
      <c r="X223" s="62"/>
      <c r="Y223" s="92"/>
      <c r="Z223" s="95"/>
      <c r="AA223" s="85"/>
      <c r="AB223" s="125"/>
      <c r="AC223" s="125"/>
      <c r="AD223" s="125"/>
      <c r="AE223" s="91"/>
      <c r="AF223" s="91"/>
      <c r="AG223" s="125"/>
      <c r="AH223" s="125"/>
      <c r="AI223" s="125"/>
      <c r="AJ223" s="125"/>
      <c r="AK223" s="125"/>
      <c r="AL223" s="125"/>
      <c r="AM223" s="126"/>
      <c r="AN223" s="62" t="s">
        <v>66</v>
      </c>
      <c r="AO223" s="62"/>
      <c r="AP223" s="85" t="s">
        <v>130</v>
      </c>
      <c r="AQ223" s="61" t="s">
        <v>79</v>
      </c>
      <c r="AX223" s="85"/>
      <c r="AY223" s="85"/>
      <c r="AZ223" s="62"/>
      <c r="BA223" s="62"/>
      <c r="BB223" s="62"/>
      <c r="BC223" s="62"/>
      <c r="BD223" s="85"/>
      <c r="BE223" s="113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8"/>
      <c r="BT223" s="88"/>
      <c r="BU223" s="86"/>
      <c r="BV223" s="81"/>
      <c r="BW223" s="81"/>
      <c r="BX223" s="89"/>
      <c r="BY223" s="89"/>
      <c r="BZ223" s="89"/>
      <c r="CA223" s="89"/>
      <c r="CB223" s="89"/>
      <c r="CC223" s="89"/>
      <c r="CD223" s="65"/>
      <c r="CL223" s="66"/>
    </row>
    <row r="224" spans="3:90" s="61" customFormat="1" x14ac:dyDescent="0.25">
      <c r="C224" s="62"/>
      <c r="D224" s="81"/>
      <c r="E224" s="82"/>
      <c r="F224" s="65"/>
      <c r="I224" s="66"/>
      <c r="J224" s="65"/>
      <c r="N224" s="65"/>
      <c r="T224" s="83"/>
      <c r="U224" s="62"/>
      <c r="V224" s="84"/>
      <c r="W224" s="84"/>
      <c r="X224" s="62"/>
      <c r="Y224" s="92"/>
      <c r="Z224" s="95"/>
      <c r="AA224" s="85"/>
      <c r="AB224" s="125"/>
      <c r="AC224" s="125"/>
      <c r="AD224" s="125"/>
      <c r="AE224" s="91"/>
      <c r="AF224" s="91"/>
      <c r="AG224" s="125"/>
      <c r="AH224" s="125"/>
      <c r="AI224" s="125"/>
      <c r="AJ224" s="125"/>
      <c r="AK224" s="125"/>
      <c r="AL224" s="125"/>
      <c r="AM224" s="126"/>
      <c r="AN224" s="62"/>
      <c r="AO224" s="62"/>
      <c r="AP224" s="85" t="s">
        <v>52</v>
      </c>
      <c r="AX224" s="85"/>
      <c r="AY224" s="85"/>
      <c r="AZ224" s="62"/>
      <c r="BA224" s="62"/>
      <c r="BB224" s="62"/>
      <c r="BC224" s="62"/>
      <c r="BD224" s="85"/>
      <c r="BE224" s="113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8"/>
      <c r="BT224" s="88"/>
      <c r="BU224" s="86"/>
      <c r="BV224" s="81"/>
      <c r="BW224" s="81"/>
      <c r="BX224" s="89"/>
      <c r="BY224" s="89"/>
      <c r="BZ224" s="89"/>
      <c r="CA224" s="89"/>
      <c r="CB224" s="89"/>
      <c r="CC224" s="89"/>
      <c r="CD224" s="65"/>
      <c r="CL224" s="66"/>
    </row>
    <row r="225" spans="3:90" s="61" customFormat="1" x14ac:dyDescent="0.25">
      <c r="C225" s="62"/>
      <c r="D225" s="81"/>
      <c r="E225" s="82"/>
      <c r="F225" s="65"/>
      <c r="I225" s="66"/>
      <c r="J225" s="65"/>
      <c r="N225" s="65"/>
      <c r="T225" s="83"/>
      <c r="U225" s="62"/>
      <c r="V225" s="84"/>
      <c r="W225" s="84"/>
      <c r="X225" s="62"/>
      <c r="Y225" s="92"/>
      <c r="Z225" s="95"/>
      <c r="AA225" s="85"/>
      <c r="AB225" s="125"/>
      <c r="AC225" s="125"/>
      <c r="AD225" s="125"/>
      <c r="AE225" s="91"/>
      <c r="AF225" s="91"/>
      <c r="AG225" s="125"/>
      <c r="AH225" s="125"/>
      <c r="AI225" s="125"/>
      <c r="AJ225" s="125"/>
      <c r="AK225" s="125"/>
      <c r="AL225" s="125"/>
      <c r="AM225" s="126"/>
      <c r="AN225" s="62" t="s">
        <v>71</v>
      </c>
      <c r="AO225" s="62"/>
      <c r="AP225" s="85" t="s">
        <v>130</v>
      </c>
      <c r="AX225" s="85"/>
      <c r="AY225" s="85"/>
      <c r="AZ225" s="62"/>
      <c r="BA225" s="62"/>
      <c r="BB225" s="62"/>
      <c r="BC225" s="62"/>
      <c r="BD225" s="85"/>
      <c r="BE225" s="113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8"/>
      <c r="BT225" s="88"/>
      <c r="BU225" s="86"/>
      <c r="BV225" s="81"/>
      <c r="BW225" s="81"/>
      <c r="BX225" s="89"/>
      <c r="BY225" s="89"/>
      <c r="BZ225" s="89"/>
      <c r="CA225" s="89"/>
      <c r="CB225" s="89"/>
      <c r="CC225" s="89"/>
      <c r="CD225" s="65"/>
      <c r="CL225" s="66"/>
    </row>
    <row r="226" spans="3:90" s="61" customFormat="1" x14ac:dyDescent="0.25">
      <c r="C226" s="62"/>
      <c r="D226" s="81"/>
      <c r="E226" s="82"/>
      <c r="F226" s="65"/>
      <c r="I226" s="66"/>
      <c r="J226" s="65"/>
      <c r="N226" s="65"/>
      <c r="T226" s="83"/>
      <c r="U226" s="62"/>
      <c r="V226" s="84"/>
      <c r="W226" s="84"/>
      <c r="X226" s="62"/>
      <c r="Y226" s="92"/>
      <c r="Z226" s="95"/>
      <c r="AA226" s="85"/>
      <c r="AB226" s="125"/>
      <c r="AC226" s="125"/>
      <c r="AD226" s="125"/>
      <c r="AE226" s="91"/>
      <c r="AF226" s="91"/>
      <c r="AG226" s="125"/>
      <c r="AH226" s="125"/>
      <c r="AI226" s="125"/>
      <c r="AJ226" s="125"/>
      <c r="AK226" s="125"/>
      <c r="AL226" s="125"/>
      <c r="AM226" s="126"/>
      <c r="AN226" s="62"/>
      <c r="AO226" s="62"/>
      <c r="AP226" s="85"/>
      <c r="AX226" s="85"/>
      <c r="AY226" s="85"/>
      <c r="AZ226" s="62"/>
      <c r="BA226" s="62"/>
      <c r="BB226" s="62"/>
      <c r="BC226" s="62"/>
      <c r="BD226" s="85"/>
      <c r="BE226" s="113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8"/>
      <c r="BT226" s="88"/>
      <c r="BU226" s="86"/>
      <c r="BV226" s="81"/>
      <c r="BW226" s="81"/>
      <c r="BX226" s="89"/>
      <c r="BY226" s="89"/>
      <c r="BZ226" s="89"/>
      <c r="CA226" s="89"/>
      <c r="CB226" s="89"/>
      <c r="CC226" s="89"/>
      <c r="CD226" s="65"/>
      <c r="CL226" s="66"/>
    </row>
    <row r="227" spans="3:90" s="61" customFormat="1" x14ac:dyDescent="0.25">
      <c r="C227" s="62"/>
      <c r="D227" s="81"/>
      <c r="E227" s="82"/>
      <c r="F227" s="65"/>
      <c r="I227" s="66"/>
      <c r="J227" s="65"/>
      <c r="N227" s="65"/>
      <c r="T227" s="83"/>
      <c r="U227" s="62"/>
      <c r="V227" s="84"/>
      <c r="W227" s="84"/>
      <c r="X227" s="62"/>
      <c r="Y227" s="92"/>
      <c r="Z227" s="95"/>
      <c r="AA227" s="85"/>
      <c r="AB227" s="125"/>
      <c r="AC227" s="125"/>
      <c r="AD227" s="125"/>
      <c r="AE227" s="91"/>
      <c r="AF227" s="91"/>
      <c r="AG227" s="125"/>
      <c r="AH227" s="125"/>
      <c r="AI227" s="125"/>
      <c r="AJ227" s="125"/>
      <c r="AK227" s="125"/>
      <c r="AL227" s="125"/>
      <c r="AM227" s="126"/>
      <c r="AN227" s="62"/>
      <c r="AO227" s="62"/>
      <c r="AP227" s="85"/>
      <c r="AX227" s="85"/>
      <c r="AY227" s="85"/>
      <c r="AZ227" s="62"/>
      <c r="BA227" s="62"/>
      <c r="BB227" s="62"/>
      <c r="BC227" s="62"/>
      <c r="BD227" s="85"/>
      <c r="BE227" s="113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8"/>
      <c r="BT227" s="88"/>
      <c r="BU227" s="86"/>
      <c r="BV227" s="81"/>
      <c r="BW227" s="81"/>
      <c r="BX227" s="89"/>
      <c r="BY227" s="89"/>
      <c r="BZ227" s="89"/>
      <c r="CA227" s="89"/>
      <c r="CB227" s="89"/>
      <c r="CC227" s="89"/>
      <c r="CD227" s="65"/>
      <c r="CL227" s="66"/>
    </row>
    <row r="228" spans="3:90" s="61" customFormat="1" x14ac:dyDescent="0.25">
      <c r="C228" s="62"/>
      <c r="D228" s="81"/>
      <c r="E228" s="64">
        <v>10</v>
      </c>
      <c r="F228" s="65"/>
      <c r="I228" s="66"/>
      <c r="J228" s="65"/>
      <c r="N228" s="65"/>
      <c r="T228" s="83"/>
      <c r="U228" s="76" t="s">
        <v>63</v>
      </c>
      <c r="V228" s="73" t="s">
        <v>43</v>
      </c>
      <c r="W228" s="84"/>
      <c r="X228" s="63">
        <f>BW228</f>
        <v>4</v>
      </c>
      <c r="Y228" s="120" t="s">
        <v>50</v>
      </c>
      <c r="Z228" s="121" t="s">
        <v>144</v>
      </c>
      <c r="AA228" s="74"/>
      <c r="AB228" s="122"/>
      <c r="AC228" s="122"/>
      <c r="AD228" s="122"/>
      <c r="AE228" s="129"/>
      <c r="AF228" s="129"/>
      <c r="AG228" s="122"/>
      <c r="AH228" s="122"/>
      <c r="AI228" s="122"/>
      <c r="AJ228" s="122"/>
      <c r="AK228" s="122"/>
      <c r="AL228" s="122"/>
      <c r="AM228" s="123"/>
      <c r="AN228" s="72" t="s">
        <v>55</v>
      </c>
      <c r="AO228" s="76"/>
      <c r="AP228" s="74" t="s">
        <v>145</v>
      </c>
      <c r="AQ228" s="68"/>
      <c r="AR228" s="68"/>
      <c r="AS228" s="68"/>
      <c r="AT228" s="68"/>
      <c r="AU228" s="68"/>
      <c r="AV228" s="68"/>
      <c r="AW228" s="68"/>
      <c r="AX228" s="74"/>
      <c r="AY228" s="74"/>
      <c r="AZ228" s="76"/>
      <c r="BA228" s="76"/>
      <c r="BB228" s="76"/>
      <c r="BC228" s="76"/>
      <c r="BD228" s="138"/>
      <c r="BE228" s="78" t="s">
        <v>50</v>
      </c>
      <c r="BF228" s="68" t="s">
        <v>21</v>
      </c>
      <c r="BG228" s="68"/>
      <c r="BH228" s="68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9">
        <v>4</v>
      </c>
      <c r="BT228" s="79">
        <v>0</v>
      </c>
      <c r="BU228" s="75"/>
      <c r="BV228" s="63" t="str">
        <f t="shared" ref="BV228" si="22">IF(BW228&lt;&gt;"",IF(BW228=CB228+BZ228,"完了","未完"),"")</f>
        <v>未完</v>
      </c>
      <c r="BW228" s="63">
        <f>SUM(BS228:BT230)</f>
        <v>4</v>
      </c>
      <c r="BX228" s="80">
        <v>0</v>
      </c>
      <c r="BY228" s="80">
        <v>0</v>
      </c>
      <c r="BZ228" s="80">
        <v>0</v>
      </c>
      <c r="CA228" s="80">
        <f>BW228-(BX228+BY228+BZ228)</f>
        <v>4</v>
      </c>
      <c r="CB228" s="80">
        <v>0</v>
      </c>
      <c r="CC228" s="80">
        <v>0</v>
      </c>
      <c r="CD228" s="67"/>
      <c r="CE228" s="68"/>
      <c r="CF228" s="68"/>
      <c r="CG228" s="68"/>
      <c r="CH228" s="68"/>
      <c r="CI228" s="68"/>
      <c r="CJ228" s="68"/>
      <c r="CK228" s="68"/>
      <c r="CL228" s="69"/>
    </row>
    <row r="229" spans="3:90" s="61" customFormat="1" x14ac:dyDescent="0.25">
      <c r="C229" s="62"/>
      <c r="D229" s="81"/>
      <c r="E229" s="82"/>
      <c r="F229" s="65"/>
      <c r="I229" s="66"/>
      <c r="J229" s="65"/>
      <c r="N229" s="65"/>
      <c r="T229" s="83"/>
      <c r="U229" s="62"/>
      <c r="V229" s="84"/>
      <c r="W229" s="84"/>
      <c r="X229" s="62"/>
      <c r="Y229" s="92" t="s">
        <v>53</v>
      </c>
      <c r="Z229" s="95" t="s">
        <v>548</v>
      </c>
      <c r="AA229" s="95"/>
      <c r="AB229" s="125"/>
      <c r="AC229" s="125"/>
      <c r="AD229" s="125"/>
      <c r="AE229" s="91"/>
      <c r="AF229" s="91"/>
      <c r="AG229" s="125"/>
      <c r="AH229" s="125"/>
      <c r="AI229" s="125"/>
      <c r="AJ229" s="125"/>
      <c r="AK229" s="125"/>
      <c r="AL229" s="125"/>
      <c r="AM229" s="126"/>
      <c r="AN229" s="71"/>
      <c r="AO229" s="62"/>
      <c r="AP229" s="85" t="s">
        <v>52</v>
      </c>
      <c r="AX229" s="85"/>
      <c r="AY229" s="85"/>
      <c r="AZ229" s="62"/>
      <c r="BA229" s="62"/>
      <c r="BB229" s="62"/>
      <c r="BC229" s="62"/>
      <c r="BD229" s="85"/>
      <c r="BE229" s="113" t="s">
        <v>50</v>
      </c>
      <c r="BF229" s="61" t="s">
        <v>134</v>
      </c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8"/>
      <c r="BT229" s="88"/>
      <c r="BU229" s="86"/>
      <c r="BV229" s="81"/>
      <c r="BW229" s="81"/>
      <c r="BX229" s="89"/>
      <c r="BY229" s="89"/>
      <c r="BZ229" s="89"/>
      <c r="CA229" s="89"/>
      <c r="CB229" s="89"/>
      <c r="CC229" s="89"/>
      <c r="CD229" s="65"/>
      <c r="CL229" s="66"/>
    </row>
    <row r="230" spans="3:90" s="61" customFormat="1" x14ac:dyDescent="0.25">
      <c r="C230" s="62"/>
      <c r="D230" s="81"/>
      <c r="E230" s="82"/>
      <c r="F230" s="65"/>
      <c r="I230" s="66"/>
      <c r="J230" s="65"/>
      <c r="N230" s="65"/>
      <c r="T230" s="83"/>
      <c r="U230" s="62"/>
      <c r="V230" s="84"/>
      <c r="W230" s="84"/>
      <c r="X230" s="62"/>
      <c r="Y230" s="92"/>
      <c r="Z230" s="95" t="s">
        <v>57</v>
      </c>
      <c r="AA230" s="85" t="s">
        <v>549</v>
      </c>
      <c r="AB230" s="125"/>
      <c r="AC230" s="125"/>
      <c r="AD230" s="125"/>
      <c r="AE230" s="91"/>
      <c r="AF230" s="91"/>
      <c r="AG230" s="125"/>
      <c r="AH230" s="125"/>
      <c r="AI230" s="125"/>
      <c r="AJ230" s="125"/>
      <c r="AK230" s="125"/>
      <c r="AL230" s="125"/>
      <c r="AM230" s="126"/>
      <c r="AN230" s="71" t="s">
        <v>84</v>
      </c>
      <c r="AO230" s="62"/>
      <c r="AP230" s="85" t="s">
        <v>127</v>
      </c>
      <c r="AX230" s="85"/>
      <c r="AY230" s="85"/>
      <c r="AZ230" s="62"/>
      <c r="BA230" s="62"/>
      <c r="BB230" s="62"/>
      <c r="BC230" s="62"/>
      <c r="BD230" s="85"/>
      <c r="BE230" s="113" t="s">
        <v>50</v>
      </c>
      <c r="BF230" s="61" t="s">
        <v>133</v>
      </c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8"/>
      <c r="BT230" s="88"/>
      <c r="BU230" s="86"/>
      <c r="BV230" s="81"/>
      <c r="BW230" s="81"/>
      <c r="BX230" s="89"/>
      <c r="BY230" s="89"/>
      <c r="BZ230" s="89"/>
      <c r="CA230" s="89"/>
      <c r="CB230" s="89"/>
      <c r="CC230" s="89"/>
      <c r="CD230" s="65"/>
      <c r="CL230" s="66"/>
    </row>
    <row r="231" spans="3:90" s="61" customFormat="1" x14ac:dyDescent="0.25">
      <c r="C231" s="62"/>
      <c r="D231" s="81"/>
      <c r="E231" s="82"/>
      <c r="F231" s="65"/>
      <c r="I231" s="66"/>
      <c r="J231" s="65"/>
      <c r="N231" s="65"/>
      <c r="T231" s="83"/>
      <c r="U231" s="62"/>
      <c r="V231" s="84"/>
      <c r="W231" s="84"/>
      <c r="X231" s="62"/>
      <c r="Y231" s="92"/>
      <c r="Z231" s="95"/>
      <c r="AA231" s="85"/>
      <c r="AB231" s="125"/>
      <c r="AC231" s="125"/>
      <c r="AD231" s="125"/>
      <c r="AE231" s="91"/>
      <c r="AF231" s="91"/>
      <c r="AG231" s="125"/>
      <c r="AH231" s="125"/>
      <c r="AI231" s="125"/>
      <c r="AJ231" s="125"/>
      <c r="AK231" s="125"/>
      <c r="AL231" s="125"/>
      <c r="AM231" s="126"/>
      <c r="AN231" s="71"/>
      <c r="AO231" s="62"/>
      <c r="AP231" s="85" t="s">
        <v>52</v>
      </c>
      <c r="AX231" s="85"/>
      <c r="AY231" s="85"/>
      <c r="AZ231" s="62"/>
      <c r="BA231" s="62"/>
      <c r="BB231" s="62"/>
      <c r="BC231" s="62"/>
      <c r="BD231" s="85"/>
      <c r="BE231" s="113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8"/>
      <c r="BT231" s="88"/>
      <c r="BU231" s="86"/>
      <c r="BV231" s="81"/>
      <c r="BW231" s="81"/>
      <c r="BX231" s="89"/>
      <c r="BY231" s="89"/>
      <c r="BZ231" s="89"/>
      <c r="CA231" s="89"/>
      <c r="CB231" s="89"/>
      <c r="CC231" s="89"/>
      <c r="CD231" s="65"/>
      <c r="CL231" s="66"/>
    </row>
    <row r="232" spans="3:90" s="61" customFormat="1" x14ac:dyDescent="0.25">
      <c r="C232" s="62"/>
      <c r="D232" s="81"/>
      <c r="E232" s="82"/>
      <c r="F232" s="65"/>
      <c r="I232" s="66"/>
      <c r="J232" s="65"/>
      <c r="N232" s="65"/>
      <c r="T232" s="83"/>
      <c r="U232" s="62"/>
      <c r="V232" s="84"/>
      <c r="W232" s="84"/>
      <c r="X232" s="62"/>
      <c r="Y232" s="92"/>
      <c r="Z232" s="95"/>
      <c r="AA232" s="85"/>
      <c r="AB232" s="125"/>
      <c r="AC232" s="125"/>
      <c r="AD232" s="125"/>
      <c r="AE232" s="91"/>
      <c r="AF232" s="91"/>
      <c r="AG232" s="125"/>
      <c r="AH232" s="125"/>
      <c r="AI232" s="125"/>
      <c r="AJ232" s="125"/>
      <c r="AK232" s="125"/>
      <c r="AL232" s="125"/>
      <c r="AM232" s="126"/>
      <c r="AN232" s="62" t="s">
        <v>66</v>
      </c>
      <c r="AO232" s="62"/>
      <c r="AP232" s="85" t="s">
        <v>135</v>
      </c>
      <c r="AX232" s="85"/>
      <c r="AY232" s="85"/>
      <c r="AZ232" s="62"/>
      <c r="BA232" s="62"/>
      <c r="BB232" s="62"/>
      <c r="BC232" s="62"/>
      <c r="BD232" s="85"/>
      <c r="BE232" s="113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8"/>
      <c r="BT232" s="88"/>
      <c r="BU232" s="86"/>
      <c r="BV232" s="81"/>
      <c r="BW232" s="81"/>
      <c r="BX232" s="89"/>
      <c r="BY232" s="89"/>
      <c r="BZ232" s="89"/>
      <c r="CA232" s="89"/>
      <c r="CB232" s="89"/>
      <c r="CC232" s="89"/>
      <c r="CD232" s="65"/>
      <c r="CL232" s="66"/>
    </row>
    <row r="233" spans="3:90" s="61" customFormat="1" x14ac:dyDescent="0.25">
      <c r="C233" s="62"/>
      <c r="D233" s="81"/>
      <c r="E233" s="82"/>
      <c r="F233" s="65"/>
      <c r="I233" s="66"/>
      <c r="J233" s="65"/>
      <c r="N233" s="65"/>
      <c r="T233" s="83"/>
      <c r="U233" s="62"/>
      <c r="V233" s="84"/>
      <c r="W233" s="84"/>
      <c r="X233" s="62"/>
      <c r="Y233" s="92"/>
      <c r="Z233" s="95"/>
      <c r="AA233" s="85"/>
      <c r="AB233" s="125"/>
      <c r="AC233" s="125"/>
      <c r="AD233" s="125"/>
      <c r="AE233" s="91"/>
      <c r="AF233" s="91"/>
      <c r="AG233" s="125"/>
      <c r="AH233" s="125"/>
      <c r="AI233" s="125"/>
      <c r="AJ233" s="125"/>
      <c r="AK233" s="125"/>
      <c r="AL233" s="125"/>
      <c r="AM233" s="126"/>
      <c r="AN233" s="62"/>
      <c r="AO233" s="62"/>
      <c r="AP233" s="85" t="s">
        <v>52</v>
      </c>
      <c r="AX233" s="85"/>
      <c r="AY233" s="85"/>
      <c r="AZ233" s="62"/>
      <c r="BA233" s="62"/>
      <c r="BB233" s="62"/>
      <c r="BC233" s="62"/>
      <c r="BD233" s="85"/>
      <c r="BE233" s="113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8"/>
      <c r="BT233" s="88"/>
      <c r="BU233" s="86"/>
      <c r="BV233" s="81"/>
      <c r="BW233" s="81"/>
      <c r="BX233" s="89"/>
      <c r="BY233" s="89"/>
      <c r="BZ233" s="89"/>
      <c r="CA233" s="89"/>
      <c r="CB233" s="89"/>
      <c r="CC233" s="89"/>
      <c r="CD233" s="65"/>
      <c r="CL233" s="66"/>
    </row>
    <row r="234" spans="3:90" s="61" customFormat="1" x14ac:dyDescent="0.25">
      <c r="C234" s="62"/>
      <c r="D234" s="81"/>
      <c r="E234" s="82"/>
      <c r="F234" s="65"/>
      <c r="I234" s="66"/>
      <c r="J234" s="65"/>
      <c r="N234" s="65"/>
      <c r="T234" s="83"/>
      <c r="U234" s="62"/>
      <c r="V234" s="84"/>
      <c r="W234" s="84"/>
      <c r="X234" s="62"/>
      <c r="Y234" s="92"/>
      <c r="Z234" s="95"/>
      <c r="AA234" s="85"/>
      <c r="AB234" s="125"/>
      <c r="AC234" s="125"/>
      <c r="AD234" s="125"/>
      <c r="AE234" s="91"/>
      <c r="AF234" s="91"/>
      <c r="AG234" s="125"/>
      <c r="AH234" s="125"/>
      <c r="AI234" s="125"/>
      <c r="AJ234" s="125"/>
      <c r="AK234" s="125"/>
      <c r="AL234" s="125"/>
      <c r="AM234" s="126"/>
      <c r="AN234" s="62" t="s">
        <v>71</v>
      </c>
      <c r="AO234" s="62"/>
      <c r="AP234" s="85" t="s">
        <v>130</v>
      </c>
      <c r="AS234" s="61" t="s">
        <v>414</v>
      </c>
      <c r="AX234" s="85"/>
      <c r="AY234" s="85"/>
      <c r="AZ234" s="62"/>
      <c r="BA234" s="62"/>
      <c r="BB234" s="62"/>
      <c r="BC234" s="62"/>
      <c r="BD234" s="85"/>
      <c r="BE234" s="113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8"/>
      <c r="BT234" s="88"/>
      <c r="BU234" s="86"/>
      <c r="BV234" s="81"/>
      <c r="BW234" s="81"/>
      <c r="BX234" s="89"/>
      <c r="BY234" s="89"/>
      <c r="BZ234" s="89"/>
      <c r="CA234" s="89"/>
      <c r="CB234" s="89"/>
      <c r="CC234" s="89"/>
      <c r="CD234" s="65"/>
      <c r="CL234" s="66"/>
    </row>
    <row r="235" spans="3:90" s="61" customFormat="1" x14ac:dyDescent="0.25">
      <c r="C235" s="62"/>
      <c r="D235" s="81"/>
      <c r="E235" s="82"/>
      <c r="F235" s="65"/>
      <c r="I235" s="66"/>
      <c r="J235" s="65"/>
      <c r="N235" s="65"/>
      <c r="T235" s="83"/>
      <c r="U235" s="62"/>
      <c r="V235" s="84"/>
      <c r="W235" s="84"/>
      <c r="X235" s="62"/>
      <c r="Y235" s="92"/>
      <c r="Z235" s="95"/>
      <c r="AA235" s="85"/>
      <c r="AB235" s="125"/>
      <c r="AC235" s="125"/>
      <c r="AD235" s="125"/>
      <c r="AE235" s="91"/>
      <c r="AF235" s="91"/>
      <c r="AG235" s="125"/>
      <c r="AH235" s="125"/>
      <c r="AI235" s="125"/>
      <c r="AJ235" s="125"/>
      <c r="AK235" s="125"/>
      <c r="AL235" s="125"/>
      <c r="AM235" s="126"/>
      <c r="AN235" s="62"/>
      <c r="AO235" s="62"/>
      <c r="AP235" s="85"/>
      <c r="AS235" s="61" t="s">
        <v>203</v>
      </c>
      <c r="AX235" s="85"/>
      <c r="AY235" s="85"/>
      <c r="AZ235" s="62"/>
      <c r="BA235" s="62"/>
      <c r="BB235" s="62"/>
      <c r="BC235" s="62"/>
      <c r="BD235" s="85"/>
      <c r="BE235" s="113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8"/>
      <c r="BT235" s="88"/>
      <c r="BU235" s="86"/>
      <c r="BV235" s="81"/>
      <c r="BW235" s="81"/>
      <c r="BX235" s="89"/>
      <c r="BY235" s="89"/>
      <c r="BZ235" s="89"/>
      <c r="CA235" s="89"/>
      <c r="CB235" s="89"/>
      <c r="CC235" s="89"/>
      <c r="CD235" s="65"/>
      <c r="CL235" s="66"/>
    </row>
    <row r="236" spans="3:90" s="61" customFormat="1" x14ac:dyDescent="0.25">
      <c r="C236" s="62"/>
      <c r="D236" s="81"/>
      <c r="E236" s="82"/>
      <c r="F236" s="65"/>
      <c r="I236" s="66"/>
      <c r="J236" s="65"/>
      <c r="N236" s="65"/>
      <c r="T236" s="83"/>
      <c r="U236" s="62"/>
      <c r="V236" s="84"/>
      <c r="W236" s="84"/>
      <c r="X236" s="62"/>
      <c r="Y236" s="92"/>
      <c r="Z236" s="95"/>
      <c r="AA236" s="85"/>
      <c r="AB236" s="125"/>
      <c r="AC236" s="125"/>
      <c r="AD236" s="125"/>
      <c r="AE236" s="91"/>
      <c r="AF236" s="91"/>
      <c r="AG236" s="125"/>
      <c r="AH236" s="125"/>
      <c r="AI236" s="125"/>
      <c r="AJ236" s="125"/>
      <c r="AK236" s="125"/>
      <c r="AL236" s="125"/>
      <c r="AM236" s="126"/>
      <c r="AN236" s="62"/>
      <c r="AO236" s="62"/>
      <c r="AP236" s="85"/>
      <c r="AX236" s="85"/>
      <c r="AY236" s="85"/>
      <c r="AZ236" s="62"/>
      <c r="BA236" s="62"/>
      <c r="BB236" s="62"/>
      <c r="BC236" s="62"/>
      <c r="BD236" s="85"/>
      <c r="BE236" s="113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8"/>
      <c r="BT236" s="88"/>
      <c r="BU236" s="86"/>
      <c r="BV236" s="81"/>
      <c r="BW236" s="81"/>
      <c r="BX236" s="89"/>
      <c r="BY236" s="89"/>
      <c r="BZ236" s="89"/>
      <c r="CA236" s="89"/>
      <c r="CB236" s="89"/>
      <c r="CC236" s="89"/>
      <c r="CD236" s="65"/>
      <c r="CL236" s="66"/>
    </row>
    <row r="237" spans="3:90" s="61" customFormat="1" x14ac:dyDescent="0.25">
      <c r="C237" s="62"/>
      <c r="D237" s="81"/>
      <c r="E237" s="82"/>
      <c r="F237" s="65"/>
      <c r="I237" s="66"/>
      <c r="J237" s="65"/>
      <c r="N237" s="65"/>
      <c r="T237" s="83"/>
      <c r="U237" s="62"/>
      <c r="V237" s="84"/>
      <c r="W237" s="84"/>
      <c r="X237" s="62"/>
      <c r="Y237" s="92"/>
      <c r="Z237" s="95"/>
      <c r="AA237" s="85"/>
      <c r="AB237" s="125"/>
      <c r="AC237" s="125"/>
      <c r="AD237" s="125"/>
      <c r="AE237" s="91"/>
      <c r="AF237" s="91"/>
      <c r="AG237" s="125"/>
      <c r="AH237" s="125"/>
      <c r="AI237" s="125"/>
      <c r="AJ237" s="125"/>
      <c r="AK237" s="125"/>
      <c r="AL237" s="125"/>
      <c r="AM237" s="126"/>
      <c r="AN237" s="62"/>
      <c r="AO237" s="62"/>
      <c r="AP237" s="85"/>
      <c r="AX237" s="85"/>
      <c r="AY237" s="85"/>
      <c r="AZ237" s="62"/>
      <c r="BA237" s="62"/>
      <c r="BB237" s="62"/>
      <c r="BC237" s="62"/>
      <c r="BD237" s="85"/>
      <c r="BE237" s="113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8"/>
      <c r="BT237" s="88"/>
      <c r="BU237" s="86"/>
      <c r="BV237" s="81"/>
      <c r="BW237" s="81"/>
      <c r="BX237" s="89"/>
      <c r="BY237" s="89"/>
      <c r="BZ237" s="89"/>
      <c r="CA237" s="89"/>
      <c r="CB237" s="89"/>
      <c r="CC237" s="89"/>
      <c r="CD237" s="65"/>
      <c r="CL237" s="66"/>
    </row>
    <row r="238" spans="3:90" s="61" customFormat="1" x14ac:dyDescent="0.25">
      <c r="C238" s="62"/>
      <c r="D238" s="63">
        <v>121</v>
      </c>
      <c r="E238" s="64">
        <v>1</v>
      </c>
      <c r="F238" s="65"/>
      <c r="I238" s="66"/>
      <c r="J238" s="65"/>
      <c r="N238" s="67" t="s">
        <v>89</v>
      </c>
      <c r="O238" s="68"/>
      <c r="P238" s="68"/>
      <c r="Q238" s="68"/>
      <c r="R238" s="68"/>
      <c r="S238" s="68"/>
      <c r="T238" s="69"/>
      <c r="U238" s="76" t="s">
        <v>63</v>
      </c>
      <c r="V238" s="73" t="s">
        <v>43</v>
      </c>
      <c r="W238" s="84"/>
      <c r="X238" s="63">
        <f>BW238</f>
        <v>18</v>
      </c>
      <c r="Y238" s="120" t="s">
        <v>50</v>
      </c>
      <c r="Z238" s="121" t="s">
        <v>146</v>
      </c>
      <c r="AA238" s="74"/>
      <c r="AB238" s="122"/>
      <c r="AC238" s="122"/>
      <c r="AD238" s="122"/>
      <c r="AE238" s="129"/>
      <c r="AF238" s="129"/>
      <c r="AG238" s="122"/>
      <c r="AH238" s="122"/>
      <c r="AI238" s="122"/>
      <c r="AJ238" s="122"/>
      <c r="AK238" s="122"/>
      <c r="AL238" s="122"/>
      <c r="AM238" s="123"/>
      <c r="AN238" s="72" t="s">
        <v>100</v>
      </c>
      <c r="AO238" s="76"/>
      <c r="AP238" s="68" t="s">
        <v>30</v>
      </c>
      <c r="AQ238" s="68"/>
      <c r="AR238" s="68"/>
      <c r="AS238" s="68"/>
      <c r="AT238" s="68"/>
      <c r="AU238" s="68"/>
      <c r="AV238" s="68"/>
      <c r="AW238" s="68"/>
      <c r="AX238" s="74"/>
      <c r="AY238" s="74"/>
      <c r="AZ238" s="76"/>
      <c r="BA238" s="76"/>
      <c r="BB238" s="76"/>
      <c r="BC238" s="76"/>
      <c r="BD238" s="74"/>
      <c r="BE238" s="78" t="s">
        <v>50</v>
      </c>
      <c r="BF238" s="68" t="s">
        <v>21</v>
      </c>
      <c r="BG238" s="68"/>
      <c r="BH238" s="68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9">
        <v>18</v>
      </c>
      <c r="BT238" s="79">
        <v>0</v>
      </c>
      <c r="BU238" s="75"/>
      <c r="BV238" s="63" t="str">
        <f t="shared" ref="BV238" si="23">IF(BW238&lt;&gt;"",IF(BW238=CB238+BZ238,"完了","未完"),"")</f>
        <v>未完</v>
      </c>
      <c r="BW238" s="63">
        <f>SUM(BS238:BT240)</f>
        <v>18</v>
      </c>
      <c r="BX238" s="80">
        <v>0</v>
      </c>
      <c r="BY238" s="80">
        <v>0</v>
      </c>
      <c r="BZ238" s="80">
        <v>0</v>
      </c>
      <c r="CA238" s="80">
        <f>BW238-(BX238+BY238+BZ238)</f>
        <v>18</v>
      </c>
      <c r="CB238" s="80">
        <v>0</v>
      </c>
      <c r="CC238" s="80">
        <v>0</v>
      </c>
      <c r="CD238" s="67"/>
      <c r="CE238" s="68"/>
      <c r="CF238" s="68"/>
      <c r="CG238" s="68"/>
      <c r="CH238" s="68"/>
      <c r="CI238" s="68"/>
      <c r="CJ238" s="68"/>
      <c r="CK238" s="68"/>
      <c r="CL238" s="69"/>
    </row>
    <row r="239" spans="3:90" s="61" customFormat="1" x14ac:dyDescent="0.25">
      <c r="C239" s="62"/>
      <c r="D239" s="81"/>
      <c r="E239" s="82"/>
      <c r="F239" s="224"/>
      <c r="G239" s="225"/>
      <c r="H239" s="225"/>
      <c r="I239" s="226"/>
      <c r="J239" s="65"/>
      <c r="N239" s="65" t="s">
        <v>152</v>
      </c>
      <c r="T239" s="66"/>
      <c r="U239" s="62"/>
      <c r="V239" s="84"/>
      <c r="W239" s="84"/>
      <c r="X239" s="62"/>
      <c r="Y239" s="92" t="s">
        <v>53</v>
      </c>
      <c r="Z239" s="95" t="s">
        <v>548</v>
      </c>
      <c r="AA239" s="95"/>
      <c r="AB239" s="125"/>
      <c r="AC239" s="125"/>
      <c r="AD239" s="125"/>
      <c r="AE239" s="91"/>
      <c r="AF239" s="91"/>
      <c r="AG239" s="125"/>
      <c r="AH239" s="125"/>
      <c r="AI239" s="125"/>
      <c r="AJ239" s="125"/>
      <c r="AK239" s="125"/>
      <c r="AL239" s="125"/>
      <c r="AM239" s="126"/>
      <c r="AN239" s="71"/>
      <c r="AO239" s="62"/>
      <c r="AP239" s="85" t="s">
        <v>52</v>
      </c>
      <c r="AX239" s="85"/>
      <c r="AY239" s="85"/>
      <c r="AZ239" s="62"/>
      <c r="BA239" s="62"/>
      <c r="BB239" s="62"/>
      <c r="BC239" s="62"/>
      <c r="BD239" s="85"/>
      <c r="BE239" s="113" t="s">
        <v>50</v>
      </c>
      <c r="BF239" s="61" t="s">
        <v>134</v>
      </c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8"/>
      <c r="BT239" s="88"/>
      <c r="BU239" s="86"/>
      <c r="BV239" s="81"/>
      <c r="BW239" s="81"/>
      <c r="BX239" s="89"/>
      <c r="BY239" s="89"/>
      <c r="BZ239" s="89"/>
      <c r="CA239" s="89"/>
      <c r="CB239" s="89"/>
      <c r="CC239" s="89"/>
      <c r="CD239" s="65"/>
      <c r="CL239" s="66"/>
    </row>
    <row r="240" spans="3:90" s="61" customFormat="1" x14ac:dyDescent="0.25">
      <c r="C240" s="62"/>
      <c r="D240" s="81"/>
      <c r="E240" s="82"/>
      <c r="F240" s="224"/>
      <c r="G240" s="225"/>
      <c r="H240" s="225"/>
      <c r="I240" s="226"/>
      <c r="J240" s="65"/>
      <c r="N240" s="65"/>
      <c r="O240" s="61" t="s">
        <v>153</v>
      </c>
      <c r="T240" s="66"/>
      <c r="U240" s="62"/>
      <c r="V240" s="84"/>
      <c r="W240" s="84"/>
      <c r="X240" s="62"/>
      <c r="Y240" s="92"/>
      <c r="Z240" s="95" t="s">
        <v>57</v>
      </c>
      <c r="AA240" s="85" t="s">
        <v>549</v>
      </c>
      <c r="AB240" s="125"/>
      <c r="AC240" s="125"/>
      <c r="AD240" s="125"/>
      <c r="AE240" s="91"/>
      <c r="AF240" s="91"/>
      <c r="AG240" s="125"/>
      <c r="AH240" s="125"/>
      <c r="AI240" s="125"/>
      <c r="AJ240" s="125"/>
      <c r="AK240" s="125"/>
      <c r="AL240" s="125"/>
      <c r="AM240" s="126"/>
      <c r="AN240" s="71" t="s">
        <v>84</v>
      </c>
      <c r="AO240" s="62"/>
      <c r="AP240" s="61" t="s">
        <v>137</v>
      </c>
      <c r="AX240" s="85"/>
      <c r="AY240" s="85"/>
      <c r="AZ240" s="62"/>
      <c r="BA240" s="62"/>
      <c r="BB240" s="62"/>
      <c r="BC240" s="62"/>
      <c r="BD240" s="85"/>
      <c r="BE240" s="113" t="s">
        <v>50</v>
      </c>
      <c r="BF240" s="61" t="s">
        <v>133</v>
      </c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8"/>
      <c r="BT240" s="88"/>
      <c r="BU240" s="86"/>
      <c r="BV240" s="81"/>
      <c r="BW240" s="81"/>
      <c r="BX240" s="89"/>
      <c r="BY240" s="89"/>
      <c r="BZ240" s="89"/>
      <c r="CA240" s="89"/>
      <c r="CB240" s="89"/>
      <c r="CC240" s="89"/>
      <c r="CD240" s="65"/>
      <c r="CL240" s="66"/>
    </row>
    <row r="241" spans="3:90" s="61" customFormat="1" x14ac:dyDescent="0.25">
      <c r="C241" s="62"/>
      <c r="D241" s="81"/>
      <c r="E241" s="82"/>
      <c r="F241" s="224"/>
      <c r="G241" s="225"/>
      <c r="H241" s="225"/>
      <c r="I241" s="226"/>
      <c r="J241" s="65"/>
      <c r="N241" s="65"/>
      <c r="T241" s="83"/>
      <c r="U241" s="62"/>
      <c r="V241" s="84"/>
      <c r="W241" s="84"/>
      <c r="X241" s="62"/>
      <c r="Y241" s="92"/>
      <c r="Z241" s="95"/>
      <c r="AA241" s="85"/>
      <c r="AB241" s="125"/>
      <c r="AC241" s="125"/>
      <c r="AD241" s="125"/>
      <c r="AE241" s="91"/>
      <c r="AF241" s="91"/>
      <c r="AG241" s="125"/>
      <c r="AH241" s="125"/>
      <c r="AI241" s="125"/>
      <c r="AJ241" s="125"/>
      <c r="AK241" s="125"/>
      <c r="AL241" s="125"/>
      <c r="AM241" s="126"/>
      <c r="AN241" s="92"/>
      <c r="AO241" s="62"/>
      <c r="AP241" s="85" t="s">
        <v>52</v>
      </c>
      <c r="AX241" s="85"/>
      <c r="AY241" s="85"/>
      <c r="AZ241" s="62"/>
      <c r="BA241" s="62"/>
      <c r="BB241" s="62"/>
      <c r="BC241" s="62"/>
      <c r="BD241" s="85"/>
      <c r="BE241" s="113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8"/>
      <c r="BT241" s="88"/>
      <c r="BU241" s="86"/>
      <c r="BV241" s="81"/>
      <c r="BW241" s="81"/>
      <c r="BX241" s="89"/>
      <c r="BY241" s="89"/>
      <c r="BZ241" s="89"/>
      <c r="CA241" s="89"/>
      <c r="CB241" s="89"/>
      <c r="CC241" s="89"/>
      <c r="CD241" s="65"/>
      <c r="CL241" s="66"/>
    </row>
    <row r="242" spans="3:90" s="61" customFormat="1" x14ac:dyDescent="0.25">
      <c r="C242" s="62"/>
      <c r="D242" s="81"/>
      <c r="E242" s="82"/>
      <c r="F242" s="224"/>
      <c r="G242" s="225"/>
      <c r="H242" s="225"/>
      <c r="I242" s="226"/>
      <c r="J242" s="65"/>
      <c r="N242" s="65"/>
      <c r="T242" s="83"/>
      <c r="U242" s="62"/>
      <c r="V242" s="84"/>
      <c r="W242" s="84"/>
      <c r="X242" s="62"/>
      <c r="Y242" s="92"/>
      <c r="Z242" s="95"/>
      <c r="AA242" s="85"/>
      <c r="AB242" s="125"/>
      <c r="AC242" s="125"/>
      <c r="AD242" s="125"/>
      <c r="AE242" s="91"/>
      <c r="AF242" s="91"/>
      <c r="AG242" s="125"/>
      <c r="AH242" s="125"/>
      <c r="AI242" s="125"/>
      <c r="AJ242" s="125"/>
      <c r="AK242" s="125"/>
      <c r="AL242" s="125"/>
      <c r="AM242" s="126"/>
      <c r="AN242" s="62" t="s">
        <v>66</v>
      </c>
      <c r="AO242" s="62"/>
      <c r="AP242" s="61" t="s">
        <v>138</v>
      </c>
      <c r="AX242" s="85"/>
      <c r="AY242" s="85"/>
      <c r="AZ242" s="62"/>
      <c r="BA242" s="62"/>
      <c r="BB242" s="62"/>
      <c r="BC242" s="62"/>
      <c r="BD242" s="85"/>
      <c r="BE242" s="113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8"/>
      <c r="BT242" s="88"/>
      <c r="BU242" s="86"/>
      <c r="BV242" s="81"/>
      <c r="BW242" s="81"/>
      <c r="BX242" s="89"/>
      <c r="BY242" s="89"/>
      <c r="BZ242" s="89"/>
      <c r="CA242" s="89"/>
      <c r="CB242" s="89"/>
      <c r="CC242" s="89"/>
      <c r="CD242" s="65"/>
      <c r="CL242" s="66"/>
    </row>
    <row r="243" spans="3:90" s="61" customFormat="1" x14ac:dyDescent="0.25">
      <c r="C243" s="62"/>
      <c r="D243" s="81"/>
      <c r="E243" s="82"/>
      <c r="F243" s="224"/>
      <c r="G243" s="225"/>
      <c r="H243" s="225"/>
      <c r="I243" s="226"/>
      <c r="J243" s="65"/>
      <c r="N243" s="65"/>
      <c r="T243" s="83"/>
      <c r="U243" s="62"/>
      <c r="V243" s="84"/>
      <c r="W243" s="84"/>
      <c r="X243" s="62"/>
      <c r="Y243" s="92"/>
      <c r="Z243" s="95"/>
      <c r="AA243" s="85"/>
      <c r="AB243" s="125"/>
      <c r="AC243" s="125"/>
      <c r="AD243" s="125"/>
      <c r="AE243" s="91"/>
      <c r="AF243" s="91"/>
      <c r="AG243" s="125"/>
      <c r="AH243" s="125"/>
      <c r="AI243" s="125"/>
      <c r="AJ243" s="125"/>
      <c r="AK243" s="125"/>
      <c r="AL243" s="125"/>
      <c r="AM243" s="126"/>
      <c r="AN243" s="62"/>
      <c r="AO243" s="62"/>
      <c r="AP243" s="85" t="s">
        <v>52</v>
      </c>
      <c r="AX243" s="85"/>
      <c r="AY243" s="85"/>
      <c r="AZ243" s="62"/>
      <c r="BA243" s="62"/>
      <c r="BB243" s="62"/>
      <c r="BC243" s="62"/>
      <c r="BD243" s="85"/>
      <c r="BE243" s="113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8"/>
      <c r="BT243" s="88"/>
      <c r="BU243" s="86"/>
      <c r="BV243" s="81"/>
      <c r="BW243" s="81"/>
      <c r="BX243" s="89"/>
      <c r="BY243" s="89"/>
      <c r="BZ243" s="89"/>
      <c r="CA243" s="89"/>
      <c r="CB243" s="89"/>
      <c r="CC243" s="89"/>
      <c r="CD243" s="65"/>
      <c r="CL243" s="66"/>
    </row>
    <row r="244" spans="3:90" s="61" customFormat="1" x14ac:dyDescent="0.25">
      <c r="C244" s="62"/>
      <c r="D244" s="81"/>
      <c r="E244" s="82"/>
      <c r="F244" s="224"/>
      <c r="G244" s="225"/>
      <c r="H244" s="225"/>
      <c r="I244" s="226"/>
      <c r="J244" s="65"/>
      <c r="N244" s="65"/>
      <c r="T244" s="83"/>
      <c r="U244" s="62"/>
      <c r="V244" s="84"/>
      <c r="W244" s="84"/>
      <c r="X244" s="62"/>
      <c r="Y244" s="92"/>
      <c r="Z244" s="95"/>
      <c r="AA244" s="85"/>
      <c r="AB244" s="125"/>
      <c r="AC244" s="125"/>
      <c r="AD244" s="125"/>
      <c r="AE244" s="91"/>
      <c r="AF244" s="91"/>
      <c r="AG244" s="125"/>
      <c r="AH244" s="125"/>
      <c r="AI244" s="125"/>
      <c r="AJ244" s="125"/>
      <c r="AK244" s="125"/>
      <c r="AL244" s="125"/>
      <c r="AM244" s="126"/>
      <c r="AN244" s="62" t="s">
        <v>71</v>
      </c>
      <c r="AO244" s="62"/>
      <c r="AP244" s="85" t="s">
        <v>29</v>
      </c>
      <c r="AX244" s="85"/>
      <c r="AY244" s="85"/>
      <c r="AZ244" s="62"/>
      <c r="BA244" s="62"/>
      <c r="BB244" s="62"/>
      <c r="BC244" s="62"/>
      <c r="BD244" s="85"/>
      <c r="BE244" s="113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8"/>
      <c r="BT244" s="88"/>
      <c r="BU244" s="86"/>
      <c r="BV244" s="81"/>
      <c r="BW244" s="81"/>
      <c r="BX244" s="89"/>
      <c r="BY244" s="89"/>
      <c r="BZ244" s="89"/>
      <c r="CA244" s="89"/>
      <c r="CB244" s="89"/>
      <c r="CC244" s="89"/>
      <c r="CD244" s="65"/>
      <c r="CL244" s="66"/>
    </row>
    <row r="245" spans="3:90" s="61" customFormat="1" x14ac:dyDescent="0.25">
      <c r="C245" s="62"/>
      <c r="D245" s="81"/>
      <c r="E245" s="82"/>
      <c r="F245" s="65"/>
      <c r="I245" s="66"/>
      <c r="J245" s="65"/>
      <c r="N245" s="65"/>
      <c r="T245" s="83"/>
      <c r="U245" s="62"/>
      <c r="V245" s="84"/>
      <c r="W245" s="84"/>
      <c r="X245" s="62"/>
      <c r="Y245" s="92"/>
      <c r="Z245" s="95"/>
      <c r="AA245" s="85"/>
      <c r="AB245" s="125"/>
      <c r="AC245" s="125"/>
      <c r="AD245" s="125"/>
      <c r="AE245" s="91"/>
      <c r="AF245" s="91"/>
      <c r="AG245" s="125"/>
      <c r="AH245" s="125"/>
      <c r="AI245" s="125"/>
      <c r="AJ245" s="125"/>
      <c r="AK245" s="125"/>
      <c r="AL245" s="125"/>
      <c r="AM245" s="126"/>
      <c r="AN245" s="92"/>
      <c r="AO245" s="62"/>
      <c r="AP245" s="85" t="s">
        <v>52</v>
      </c>
      <c r="AX245" s="85"/>
      <c r="AY245" s="85"/>
      <c r="AZ245" s="62"/>
      <c r="BA245" s="62"/>
      <c r="BB245" s="62"/>
      <c r="BC245" s="62"/>
      <c r="BD245" s="85"/>
      <c r="BE245" s="113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8"/>
      <c r="BT245" s="88"/>
      <c r="BU245" s="86"/>
      <c r="BV245" s="81"/>
      <c r="BW245" s="81"/>
      <c r="BX245" s="89"/>
      <c r="BY245" s="89"/>
      <c r="BZ245" s="89"/>
      <c r="CA245" s="89"/>
      <c r="CB245" s="89"/>
      <c r="CC245" s="89"/>
      <c r="CD245" s="65"/>
      <c r="CL245" s="66"/>
    </row>
    <row r="246" spans="3:90" s="61" customFormat="1" x14ac:dyDescent="0.25">
      <c r="C246" s="62"/>
      <c r="D246" s="81"/>
      <c r="E246" s="82"/>
      <c r="F246" s="65"/>
      <c r="I246" s="66"/>
      <c r="J246" s="65"/>
      <c r="N246" s="65"/>
      <c r="T246" s="83"/>
      <c r="U246" s="62"/>
      <c r="V246" s="84"/>
      <c r="W246" s="84"/>
      <c r="X246" s="62"/>
      <c r="Y246" s="92"/>
      <c r="Z246" s="95"/>
      <c r="AA246" s="85"/>
      <c r="AB246" s="125"/>
      <c r="AC246" s="125"/>
      <c r="AD246" s="125"/>
      <c r="AE246" s="91"/>
      <c r="AF246" s="91"/>
      <c r="AG246" s="125"/>
      <c r="AH246" s="125"/>
      <c r="AI246" s="125"/>
      <c r="AJ246" s="125"/>
      <c r="AK246" s="125"/>
      <c r="AL246" s="125"/>
      <c r="AM246" s="126"/>
      <c r="AN246" s="62" t="s">
        <v>72</v>
      </c>
      <c r="AO246" s="62"/>
      <c r="AP246" s="61" t="s">
        <v>138</v>
      </c>
      <c r="AQ246" s="61" t="s">
        <v>354</v>
      </c>
      <c r="AS246" s="61" t="s">
        <v>415</v>
      </c>
      <c r="AX246" s="85"/>
      <c r="AY246" s="85"/>
      <c r="AZ246" s="62"/>
      <c r="BA246" s="62"/>
      <c r="BB246" s="62"/>
      <c r="BC246" s="62"/>
      <c r="BD246" s="85"/>
      <c r="BE246" s="113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8"/>
      <c r="BT246" s="88"/>
      <c r="BU246" s="86"/>
      <c r="BV246" s="81"/>
      <c r="BW246" s="81"/>
      <c r="BX246" s="89"/>
      <c r="BY246" s="89"/>
      <c r="BZ246" s="89"/>
      <c r="CA246" s="89"/>
      <c r="CB246" s="89"/>
      <c r="CC246" s="89"/>
      <c r="CD246" s="65"/>
      <c r="CL246" s="66"/>
    </row>
    <row r="247" spans="3:90" s="61" customFormat="1" x14ac:dyDescent="0.25">
      <c r="C247" s="62"/>
      <c r="D247" s="81"/>
      <c r="E247" s="82"/>
      <c r="F247" s="65"/>
      <c r="I247" s="66"/>
      <c r="J247" s="65"/>
      <c r="N247" s="65"/>
      <c r="T247" s="83"/>
      <c r="U247" s="62"/>
      <c r="V247" s="84"/>
      <c r="W247" s="84"/>
      <c r="X247" s="62"/>
      <c r="Y247" s="92"/>
      <c r="Z247" s="95"/>
      <c r="AA247" s="85"/>
      <c r="AB247" s="125"/>
      <c r="AC247" s="125"/>
      <c r="AD247" s="125"/>
      <c r="AE247" s="91"/>
      <c r="AF247" s="91"/>
      <c r="AG247" s="125"/>
      <c r="AH247" s="125"/>
      <c r="AI247" s="125"/>
      <c r="AJ247" s="125"/>
      <c r="AK247" s="125"/>
      <c r="AL247" s="125"/>
      <c r="AM247" s="126"/>
      <c r="AN247" s="92"/>
      <c r="AO247" s="62"/>
      <c r="AP247" s="85" t="s">
        <v>52</v>
      </c>
      <c r="AX247" s="85"/>
      <c r="AY247" s="85"/>
      <c r="AZ247" s="62"/>
      <c r="BA247" s="62"/>
      <c r="BB247" s="62"/>
      <c r="BC247" s="62"/>
      <c r="BD247" s="85"/>
      <c r="BE247" s="113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8"/>
      <c r="BT247" s="88"/>
      <c r="BU247" s="86"/>
      <c r="BV247" s="81"/>
      <c r="BW247" s="81"/>
      <c r="BX247" s="89"/>
      <c r="BY247" s="89"/>
      <c r="BZ247" s="89"/>
      <c r="CA247" s="89"/>
      <c r="CB247" s="89"/>
      <c r="CC247" s="89"/>
      <c r="CD247" s="65"/>
      <c r="CL247" s="66"/>
    </row>
    <row r="248" spans="3:90" s="61" customFormat="1" x14ac:dyDescent="0.25">
      <c r="C248" s="62"/>
      <c r="D248" s="81"/>
      <c r="E248" s="82"/>
      <c r="F248" s="65"/>
      <c r="I248" s="66"/>
      <c r="J248" s="65"/>
      <c r="N248" s="65"/>
      <c r="T248" s="83"/>
      <c r="U248" s="62"/>
      <c r="V248" s="84"/>
      <c r="W248" s="84"/>
      <c r="X248" s="62"/>
      <c r="Y248" s="92"/>
      <c r="Z248" s="95"/>
      <c r="AA248" s="85"/>
      <c r="AB248" s="125"/>
      <c r="AC248" s="125"/>
      <c r="AD248" s="125"/>
      <c r="AE248" s="91"/>
      <c r="AF248" s="91"/>
      <c r="AG248" s="125"/>
      <c r="AH248" s="125"/>
      <c r="AI248" s="125"/>
      <c r="AJ248" s="125"/>
      <c r="AK248" s="125"/>
      <c r="AL248" s="125"/>
      <c r="AM248" s="126"/>
      <c r="AN248" s="62" t="s">
        <v>109</v>
      </c>
      <c r="AO248" s="62"/>
      <c r="AP248" s="61" t="s">
        <v>132</v>
      </c>
      <c r="AX248" s="85"/>
      <c r="AY248" s="85"/>
      <c r="AZ248" s="62"/>
      <c r="BA248" s="62"/>
      <c r="BB248" s="62"/>
      <c r="BC248" s="62"/>
      <c r="BD248" s="85"/>
      <c r="BE248" s="113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8"/>
      <c r="BT248" s="88"/>
      <c r="BU248" s="86"/>
      <c r="BV248" s="81"/>
      <c r="BW248" s="81"/>
      <c r="BX248" s="89"/>
      <c r="BY248" s="89"/>
      <c r="BZ248" s="89"/>
      <c r="CA248" s="89"/>
      <c r="CB248" s="89"/>
      <c r="CC248" s="89"/>
      <c r="CD248" s="65"/>
      <c r="CL248" s="66"/>
    </row>
    <row r="249" spans="3:90" s="61" customFormat="1" x14ac:dyDescent="0.25">
      <c r="C249" s="62"/>
      <c r="D249" s="81"/>
      <c r="E249" s="82"/>
      <c r="F249" s="65"/>
      <c r="I249" s="66"/>
      <c r="J249" s="65"/>
      <c r="N249" s="65"/>
      <c r="T249" s="83"/>
      <c r="U249" s="62"/>
      <c r="V249" s="84"/>
      <c r="W249" s="84"/>
      <c r="X249" s="62"/>
      <c r="Y249" s="92"/>
      <c r="Z249" s="95"/>
      <c r="AA249" s="85"/>
      <c r="AB249" s="125"/>
      <c r="AC249" s="125"/>
      <c r="AD249" s="125"/>
      <c r="AE249" s="91"/>
      <c r="AF249" s="91"/>
      <c r="AG249" s="125"/>
      <c r="AH249" s="125"/>
      <c r="AI249" s="125"/>
      <c r="AJ249" s="125"/>
      <c r="AK249" s="125"/>
      <c r="AL249" s="125"/>
      <c r="AM249" s="126"/>
      <c r="AN249" s="62"/>
      <c r="AO249" s="62"/>
      <c r="AP249" s="85"/>
      <c r="AX249" s="85"/>
      <c r="AY249" s="85"/>
      <c r="AZ249" s="62"/>
      <c r="BA249" s="62"/>
      <c r="BB249" s="62"/>
      <c r="BC249" s="62"/>
      <c r="BD249" s="85"/>
      <c r="BE249" s="113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8"/>
      <c r="BT249" s="88"/>
      <c r="BU249" s="86"/>
      <c r="BV249" s="81"/>
      <c r="BW249" s="81"/>
      <c r="BX249" s="89"/>
      <c r="BY249" s="89"/>
      <c r="BZ249" s="89"/>
      <c r="CA249" s="89"/>
      <c r="CB249" s="89"/>
      <c r="CC249" s="89"/>
      <c r="CD249" s="65"/>
      <c r="CL249" s="66"/>
    </row>
    <row r="250" spans="3:90" s="61" customFormat="1" x14ac:dyDescent="0.25">
      <c r="C250" s="62"/>
      <c r="D250" s="81"/>
      <c r="E250" s="82"/>
      <c r="F250" s="65"/>
      <c r="I250" s="66"/>
      <c r="J250" s="65"/>
      <c r="N250" s="65"/>
      <c r="T250" s="83"/>
      <c r="U250" s="62"/>
      <c r="V250" s="84"/>
      <c r="W250" s="84"/>
      <c r="X250" s="62"/>
      <c r="Y250" s="92"/>
      <c r="Z250" s="95"/>
      <c r="AA250" s="85"/>
      <c r="AB250" s="125"/>
      <c r="AC250" s="125"/>
      <c r="AD250" s="125"/>
      <c r="AE250" s="91"/>
      <c r="AF250" s="91"/>
      <c r="AG250" s="125"/>
      <c r="AH250" s="125"/>
      <c r="AI250" s="125"/>
      <c r="AJ250" s="125"/>
      <c r="AK250" s="125"/>
      <c r="AL250" s="125"/>
      <c r="AM250" s="126"/>
      <c r="AN250" s="62"/>
      <c r="AO250" s="62"/>
      <c r="AP250" s="85"/>
      <c r="AX250" s="85"/>
      <c r="AY250" s="85"/>
      <c r="AZ250" s="62"/>
      <c r="BA250" s="62"/>
      <c r="BB250" s="62"/>
      <c r="BC250" s="62"/>
      <c r="BD250" s="85"/>
      <c r="BE250" s="113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8"/>
      <c r="BT250" s="88"/>
      <c r="BU250" s="86"/>
      <c r="BV250" s="81"/>
      <c r="BW250" s="81"/>
      <c r="BX250" s="89"/>
      <c r="BY250" s="89"/>
      <c r="BZ250" s="89"/>
      <c r="CA250" s="89"/>
      <c r="CB250" s="89"/>
      <c r="CC250" s="89"/>
      <c r="CD250" s="65"/>
      <c r="CL250" s="66"/>
    </row>
    <row r="251" spans="3:90" s="61" customFormat="1" x14ac:dyDescent="0.25">
      <c r="C251" s="62"/>
      <c r="D251" s="81"/>
      <c r="E251" s="64">
        <v>2</v>
      </c>
      <c r="F251" s="65"/>
      <c r="I251" s="66"/>
      <c r="J251" s="65"/>
      <c r="N251" s="65"/>
      <c r="T251" s="83"/>
      <c r="U251" s="76" t="s">
        <v>63</v>
      </c>
      <c r="V251" s="73" t="s">
        <v>43</v>
      </c>
      <c r="W251" s="84"/>
      <c r="X251" s="63">
        <f>BW251</f>
        <v>18</v>
      </c>
      <c r="Y251" s="120" t="s">
        <v>50</v>
      </c>
      <c r="Z251" s="121" t="s">
        <v>282</v>
      </c>
      <c r="AA251" s="74"/>
      <c r="AB251" s="122"/>
      <c r="AC251" s="122"/>
      <c r="AD251" s="122"/>
      <c r="AE251" s="129"/>
      <c r="AF251" s="129"/>
      <c r="AG251" s="122"/>
      <c r="AH251" s="122"/>
      <c r="AI251" s="122"/>
      <c r="AJ251" s="122"/>
      <c r="AK251" s="122"/>
      <c r="AL251" s="122"/>
      <c r="AM251" s="123"/>
      <c r="AN251" s="72" t="s">
        <v>100</v>
      </c>
      <c r="AO251" s="76"/>
      <c r="AP251" s="74" t="s">
        <v>30</v>
      </c>
      <c r="AQ251" s="68"/>
      <c r="AR251" s="68"/>
      <c r="AS251" s="68"/>
      <c r="AT251" s="68"/>
      <c r="AU251" s="68"/>
      <c r="AV251" s="68"/>
      <c r="AW251" s="68"/>
      <c r="AX251" s="74"/>
      <c r="AY251" s="74"/>
      <c r="AZ251" s="76"/>
      <c r="BA251" s="76"/>
      <c r="BB251" s="76"/>
      <c r="BC251" s="76"/>
      <c r="BD251" s="74"/>
      <c r="BE251" s="78" t="s">
        <v>50</v>
      </c>
      <c r="BF251" s="68" t="s">
        <v>21</v>
      </c>
      <c r="BG251" s="68"/>
      <c r="BH251" s="68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9">
        <v>18</v>
      </c>
      <c r="BT251" s="79">
        <v>0</v>
      </c>
      <c r="BU251" s="75"/>
      <c r="BV251" s="63" t="str">
        <f t="shared" ref="BV251" si="24">IF(BW251&lt;&gt;"",IF(BW251=CB251+BZ251,"完了","未完"),"")</f>
        <v>未完</v>
      </c>
      <c r="BW251" s="63">
        <f>SUM(BS251:BT253)</f>
        <v>18</v>
      </c>
      <c r="BX251" s="80">
        <v>0</v>
      </c>
      <c r="BY251" s="80">
        <v>0</v>
      </c>
      <c r="BZ251" s="80">
        <v>0</v>
      </c>
      <c r="CA251" s="80">
        <f>BW251-(BX251+BY251+BZ251)</f>
        <v>18</v>
      </c>
      <c r="CB251" s="80">
        <v>0</v>
      </c>
      <c r="CC251" s="80">
        <v>0</v>
      </c>
      <c r="CD251" s="67"/>
      <c r="CE251" s="68"/>
      <c r="CF251" s="68"/>
      <c r="CG251" s="68"/>
      <c r="CH251" s="68"/>
      <c r="CI251" s="68"/>
      <c r="CJ251" s="68"/>
      <c r="CK251" s="68"/>
      <c r="CL251" s="69"/>
    </row>
    <row r="252" spans="3:90" s="61" customFormat="1" x14ac:dyDescent="0.25">
      <c r="C252" s="62"/>
      <c r="D252" s="81"/>
      <c r="E252" s="82"/>
      <c r="F252" s="65"/>
      <c r="I252" s="66"/>
      <c r="J252" s="65"/>
      <c r="N252" s="65"/>
      <c r="T252" s="83"/>
      <c r="U252" s="71"/>
      <c r="V252" s="84"/>
      <c r="W252" s="84"/>
      <c r="X252" s="62"/>
      <c r="Y252" s="92" t="s">
        <v>53</v>
      </c>
      <c r="Z252" s="95" t="s">
        <v>548</v>
      </c>
      <c r="AA252" s="95"/>
      <c r="AB252" s="125"/>
      <c r="AC252" s="125"/>
      <c r="AD252" s="125"/>
      <c r="AE252" s="91"/>
      <c r="AF252" s="91"/>
      <c r="AG252" s="125"/>
      <c r="AH252" s="125"/>
      <c r="AI252" s="125"/>
      <c r="AJ252" s="125"/>
      <c r="AK252" s="125"/>
      <c r="AL252" s="125"/>
      <c r="AM252" s="126"/>
      <c r="AN252" s="71"/>
      <c r="AO252" s="62"/>
      <c r="AP252" s="85" t="s">
        <v>52</v>
      </c>
      <c r="AX252" s="85"/>
      <c r="AY252" s="85"/>
      <c r="AZ252" s="62"/>
      <c r="BA252" s="62"/>
      <c r="BB252" s="62"/>
      <c r="BC252" s="62"/>
      <c r="BD252" s="85"/>
      <c r="BE252" s="113" t="s">
        <v>50</v>
      </c>
      <c r="BF252" s="61" t="s">
        <v>134</v>
      </c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8"/>
      <c r="BT252" s="88"/>
      <c r="BU252" s="86"/>
      <c r="BV252" s="81"/>
      <c r="BW252" s="81"/>
      <c r="BX252" s="89"/>
      <c r="BY252" s="89"/>
      <c r="BZ252" s="89"/>
      <c r="CA252" s="89"/>
      <c r="CB252" s="89"/>
      <c r="CC252" s="89"/>
      <c r="CD252" s="65"/>
      <c r="CL252" s="66"/>
    </row>
    <row r="253" spans="3:90" s="61" customFormat="1" x14ac:dyDescent="0.25">
      <c r="C253" s="62"/>
      <c r="D253" s="81"/>
      <c r="E253" s="82"/>
      <c r="F253" s="65"/>
      <c r="I253" s="66"/>
      <c r="J253" s="65"/>
      <c r="N253" s="65"/>
      <c r="T253" s="83"/>
      <c r="U253" s="71"/>
      <c r="V253" s="84"/>
      <c r="W253" s="84"/>
      <c r="X253" s="62"/>
      <c r="Y253" s="92"/>
      <c r="Z253" s="95" t="s">
        <v>57</v>
      </c>
      <c r="AA253" s="85" t="s">
        <v>549</v>
      </c>
      <c r="AB253" s="125"/>
      <c r="AC253" s="125"/>
      <c r="AD253" s="125"/>
      <c r="AE253" s="91"/>
      <c r="AF253" s="91"/>
      <c r="AG253" s="125"/>
      <c r="AH253" s="125"/>
      <c r="AI253" s="125"/>
      <c r="AJ253" s="125"/>
      <c r="AK253" s="125"/>
      <c r="AL253" s="125"/>
      <c r="AM253" s="126"/>
      <c r="AN253" s="71" t="s">
        <v>84</v>
      </c>
      <c r="AO253" s="62"/>
      <c r="AP253" s="85" t="s">
        <v>137</v>
      </c>
      <c r="AX253" s="85"/>
      <c r="AY253" s="85"/>
      <c r="AZ253" s="62"/>
      <c r="BA253" s="62"/>
      <c r="BB253" s="62"/>
      <c r="BC253" s="62"/>
      <c r="BD253" s="85"/>
      <c r="BE253" s="113" t="s">
        <v>50</v>
      </c>
      <c r="BF253" s="61" t="s">
        <v>133</v>
      </c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8"/>
      <c r="BT253" s="88"/>
      <c r="BU253" s="86"/>
      <c r="BV253" s="81"/>
      <c r="BW253" s="81"/>
      <c r="BX253" s="89"/>
      <c r="BY253" s="89"/>
      <c r="BZ253" s="89"/>
      <c r="CA253" s="89"/>
      <c r="CB253" s="89"/>
      <c r="CC253" s="89"/>
      <c r="CD253" s="65"/>
      <c r="CL253" s="66"/>
    </row>
    <row r="254" spans="3:90" s="61" customFormat="1" x14ac:dyDescent="0.25">
      <c r="C254" s="62"/>
      <c r="D254" s="81"/>
      <c r="E254" s="82"/>
      <c r="F254" s="65"/>
      <c r="I254" s="66"/>
      <c r="J254" s="65"/>
      <c r="N254" s="65"/>
      <c r="T254" s="83"/>
      <c r="U254" s="62"/>
      <c r="V254" s="84"/>
      <c r="W254" s="84"/>
      <c r="X254" s="62"/>
      <c r="Y254" s="92"/>
      <c r="Z254" s="95"/>
      <c r="AA254" s="85"/>
      <c r="AB254" s="125"/>
      <c r="AC254" s="125"/>
      <c r="AD254" s="125"/>
      <c r="AE254" s="91"/>
      <c r="AF254" s="91"/>
      <c r="AG254" s="125"/>
      <c r="AH254" s="125"/>
      <c r="AI254" s="125"/>
      <c r="AJ254" s="125"/>
      <c r="AK254" s="125"/>
      <c r="AL254" s="125"/>
      <c r="AM254" s="126"/>
      <c r="AN254" s="92"/>
      <c r="AO254" s="62"/>
      <c r="AP254" s="85" t="s">
        <v>52</v>
      </c>
      <c r="AX254" s="85"/>
      <c r="AY254" s="85"/>
      <c r="AZ254" s="62"/>
      <c r="BA254" s="62"/>
      <c r="BB254" s="62"/>
      <c r="BC254" s="62"/>
      <c r="BD254" s="85"/>
      <c r="BE254" s="113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8"/>
      <c r="BT254" s="88"/>
      <c r="BU254" s="86"/>
      <c r="BV254" s="81"/>
      <c r="BW254" s="81"/>
      <c r="BX254" s="89"/>
      <c r="BY254" s="89"/>
      <c r="BZ254" s="89"/>
      <c r="CA254" s="89"/>
      <c r="CB254" s="89"/>
      <c r="CC254" s="89"/>
      <c r="CD254" s="65"/>
      <c r="CL254" s="66"/>
    </row>
    <row r="255" spans="3:90" s="61" customFormat="1" x14ac:dyDescent="0.25">
      <c r="C255" s="62"/>
      <c r="D255" s="81"/>
      <c r="E255" s="82"/>
      <c r="F255" s="65"/>
      <c r="I255" s="66"/>
      <c r="J255" s="65"/>
      <c r="N255" s="65"/>
      <c r="T255" s="83"/>
      <c r="U255" s="62"/>
      <c r="V255" s="84"/>
      <c r="W255" s="84"/>
      <c r="X255" s="62"/>
      <c r="Y255" s="92"/>
      <c r="Z255" s="95"/>
      <c r="AA255" s="85"/>
      <c r="AB255" s="125"/>
      <c r="AC255" s="125"/>
      <c r="AD255" s="125"/>
      <c r="AE255" s="91"/>
      <c r="AF255" s="91"/>
      <c r="AG255" s="125"/>
      <c r="AH255" s="125"/>
      <c r="AI255" s="125"/>
      <c r="AJ255" s="125"/>
      <c r="AK255" s="125"/>
      <c r="AL255" s="125"/>
      <c r="AM255" s="126"/>
      <c r="AN255" s="62" t="s">
        <v>66</v>
      </c>
      <c r="AO255" s="62"/>
      <c r="AP255" s="85" t="s">
        <v>138</v>
      </c>
      <c r="AQ255" s="61" t="s">
        <v>355</v>
      </c>
      <c r="AS255" s="61" t="s">
        <v>416</v>
      </c>
      <c r="AX255" s="85"/>
      <c r="AY255" s="85"/>
      <c r="AZ255" s="62"/>
      <c r="BA255" s="62"/>
      <c r="BB255" s="62"/>
      <c r="BC255" s="62"/>
      <c r="BD255" s="85"/>
      <c r="BE255" s="113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8"/>
      <c r="BT255" s="88"/>
      <c r="BU255" s="86"/>
      <c r="BV255" s="81"/>
      <c r="BW255" s="81"/>
      <c r="BX255" s="89"/>
      <c r="BY255" s="89"/>
      <c r="BZ255" s="89"/>
      <c r="CA255" s="89"/>
      <c r="CB255" s="89"/>
      <c r="CC255" s="89"/>
      <c r="CD255" s="65"/>
      <c r="CL255" s="66"/>
    </row>
    <row r="256" spans="3:90" s="61" customFormat="1" x14ac:dyDescent="0.25">
      <c r="C256" s="62"/>
      <c r="D256" s="81"/>
      <c r="E256" s="82"/>
      <c r="F256" s="65"/>
      <c r="I256" s="66"/>
      <c r="J256" s="65"/>
      <c r="N256" s="65"/>
      <c r="T256" s="83"/>
      <c r="U256" s="62"/>
      <c r="V256" s="84"/>
      <c r="W256" s="84"/>
      <c r="X256" s="62"/>
      <c r="Y256" s="92"/>
      <c r="Z256" s="95"/>
      <c r="AA256" s="85"/>
      <c r="AB256" s="125"/>
      <c r="AC256" s="125"/>
      <c r="AD256" s="125"/>
      <c r="AE256" s="91"/>
      <c r="AF256" s="91"/>
      <c r="AG256" s="125"/>
      <c r="AH256" s="125"/>
      <c r="AI256" s="125"/>
      <c r="AJ256" s="125"/>
      <c r="AK256" s="125"/>
      <c r="AL256" s="125"/>
      <c r="AM256" s="126"/>
      <c r="AN256" s="62"/>
      <c r="AO256" s="62"/>
      <c r="AP256" s="85" t="s">
        <v>52</v>
      </c>
      <c r="AX256" s="85"/>
      <c r="AY256" s="85"/>
      <c r="AZ256" s="62"/>
      <c r="BA256" s="62"/>
      <c r="BB256" s="62"/>
      <c r="BC256" s="62"/>
      <c r="BD256" s="85"/>
      <c r="BE256" s="113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8"/>
      <c r="BT256" s="88"/>
      <c r="BU256" s="86"/>
      <c r="BV256" s="81"/>
      <c r="BW256" s="81"/>
      <c r="BX256" s="89"/>
      <c r="BY256" s="89"/>
      <c r="BZ256" s="89"/>
      <c r="CA256" s="89"/>
      <c r="CB256" s="89"/>
      <c r="CC256" s="89"/>
      <c r="CD256" s="65"/>
      <c r="CL256" s="66"/>
    </row>
    <row r="257" spans="3:90" s="61" customFormat="1" x14ac:dyDescent="0.25">
      <c r="C257" s="62"/>
      <c r="D257" s="81"/>
      <c r="E257" s="82"/>
      <c r="F257" s="65"/>
      <c r="I257" s="66"/>
      <c r="J257" s="65"/>
      <c r="N257" s="65"/>
      <c r="T257" s="83"/>
      <c r="U257" s="62"/>
      <c r="V257" s="84"/>
      <c r="W257" s="84"/>
      <c r="X257" s="62"/>
      <c r="Y257" s="92"/>
      <c r="Z257" s="95"/>
      <c r="AA257" s="85"/>
      <c r="AB257" s="125"/>
      <c r="AC257" s="125"/>
      <c r="AD257" s="125"/>
      <c r="AE257" s="91"/>
      <c r="AF257" s="91"/>
      <c r="AG257" s="125"/>
      <c r="AH257" s="125"/>
      <c r="AI257" s="125"/>
      <c r="AJ257" s="125"/>
      <c r="AK257" s="125"/>
      <c r="AL257" s="125"/>
      <c r="AM257" s="126"/>
      <c r="AN257" s="62" t="s">
        <v>71</v>
      </c>
      <c r="AO257" s="62"/>
      <c r="AP257" s="85" t="s">
        <v>132</v>
      </c>
      <c r="AX257" s="85"/>
      <c r="AY257" s="85"/>
      <c r="AZ257" s="62"/>
      <c r="BA257" s="62"/>
      <c r="BB257" s="62"/>
      <c r="BC257" s="62"/>
      <c r="BD257" s="85"/>
      <c r="BE257" s="113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8"/>
      <c r="BT257" s="88"/>
      <c r="BU257" s="86"/>
      <c r="BV257" s="81"/>
      <c r="BW257" s="81"/>
      <c r="BX257" s="89"/>
      <c r="BY257" s="89"/>
      <c r="BZ257" s="89"/>
      <c r="CA257" s="89"/>
      <c r="CB257" s="89"/>
      <c r="CC257" s="89"/>
      <c r="CD257" s="65"/>
      <c r="CL257" s="66"/>
    </row>
    <row r="258" spans="3:90" s="61" customFormat="1" x14ac:dyDescent="0.25">
      <c r="C258" s="62"/>
      <c r="D258" s="81"/>
      <c r="E258" s="82"/>
      <c r="F258" s="65"/>
      <c r="I258" s="66"/>
      <c r="J258" s="65"/>
      <c r="N258" s="65"/>
      <c r="T258" s="83"/>
      <c r="U258" s="62"/>
      <c r="V258" s="84"/>
      <c r="W258" s="84"/>
      <c r="X258" s="62"/>
      <c r="Y258" s="92"/>
      <c r="Z258" s="95"/>
      <c r="AA258" s="85"/>
      <c r="AB258" s="125"/>
      <c r="AC258" s="125"/>
      <c r="AD258" s="125"/>
      <c r="AE258" s="91"/>
      <c r="AF258" s="91"/>
      <c r="AG258" s="125"/>
      <c r="AH258" s="125"/>
      <c r="AI258" s="125"/>
      <c r="AJ258" s="125"/>
      <c r="AK258" s="125"/>
      <c r="AL258" s="125"/>
      <c r="AM258" s="126"/>
      <c r="AN258" s="62"/>
      <c r="AO258" s="62"/>
      <c r="AP258" s="85"/>
      <c r="AX258" s="85"/>
      <c r="AY258" s="85"/>
      <c r="AZ258" s="62"/>
      <c r="BA258" s="62"/>
      <c r="BB258" s="62"/>
      <c r="BC258" s="62"/>
      <c r="BD258" s="85"/>
      <c r="BE258" s="113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8"/>
      <c r="BT258" s="88"/>
      <c r="BU258" s="86"/>
      <c r="BV258" s="81"/>
      <c r="BW258" s="81"/>
      <c r="BX258" s="89"/>
      <c r="BY258" s="89"/>
      <c r="BZ258" s="89"/>
      <c r="CA258" s="89"/>
      <c r="CB258" s="89"/>
      <c r="CC258" s="89"/>
      <c r="CD258" s="65"/>
      <c r="CL258" s="66"/>
    </row>
    <row r="259" spans="3:90" s="61" customFormat="1" x14ac:dyDescent="0.25">
      <c r="C259" s="62"/>
      <c r="D259" s="81"/>
      <c r="E259" s="82"/>
      <c r="F259" s="65"/>
      <c r="I259" s="66"/>
      <c r="J259" s="65"/>
      <c r="N259" s="65"/>
      <c r="T259" s="83"/>
      <c r="U259" s="62"/>
      <c r="V259" s="84"/>
      <c r="W259" s="84"/>
      <c r="X259" s="62"/>
      <c r="Y259" s="92"/>
      <c r="Z259" s="95"/>
      <c r="AA259" s="85"/>
      <c r="AB259" s="125"/>
      <c r="AC259" s="125"/>
      <c r="AD259" s="125"/>
      <c r="AE259" s="91"/>
      <c r="AF259" s="91"/>
      <c r="AG259" s="125"/>
      <c r="AH259" s="125"/>
      <c r="AI259" s="125"/>
      <c r="AJ259" s="125"/>
      <c r="AK259" s="125"/>
      <c r="AL259" s="125"/>
      <c r="AM259" s="126"/>
      <c r="AN259" s="62"/>
      <c r="AO259" s="62"/>
      <c r="AP259" s="85"/>
      <c r="AX259" s="85"/>
      <c r="AY259" s="85"/>
      <c r="AZ259" s="62"/>
      <c r="BA259" s="62"/>
      <c r="BB259" s="62"/>
      <c r="BC259" s="62"/>
      <c r="BD259" s="85"/>
      <c r="BE259" s="113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8"/>
      <c r="BT259" s="88"/>
      <c r="BU259" s="86"/>
      <c r="BV259" s="81"/>
      <c r="BW259" s="81"/>
      <c r="BX259" s="89"/>
      <c r="BY259" s="89"/>
      <c r="BZ259" s="89"/>
      <c r="CA259" s="89"/>
      <c r="CB259" s="89"/>
      <c r="CC259" s="89"/>
      <c r="CD259" s="65"/>
      <c r="CL259" s="66"/>
    </row>
    <row r="260" spans="3:90" s="61" customFormat="1" x14ac:dyDescent="0.25">
      <c r="C260" s="62"/>
      <c r="D260" s="81"/>
      <c r="E260" s="64">
        <v>3</v>
      </c>
      <c r="F260" s="65"/>
      <c r="I260" s="66"/>
      <c r="J260" s="65"/>
      <c r="N260" s="65"/>
      <c r="T260" s="83"/>
      <c r="U260" s="76" t="s">
        <v>63</v>
      </c>
      <c r="V260" s="73" t="s">
        <v>43</v>
      </c>
      <c r="W260" s="84"/>
      <c r="X260" s="63">
        <f>BW260</f>
        <v>18</v>
      </c>
      <c r="Y260" s="120" t="s">
        <v>50</v>
      </c>
      <c r="Z260" s="121" t="s">
        <v>268</v>
      </c>
      <c r="AA260" s="121"/>
      <c r="AB260" s="122"/>
      <c r="AC260" s="122"/>
      <c r="AD260" s="122"/>
      <c r="AE260" s="129"/>
      <c r="AF260" s="129"/>
      <c r="AG260" s="122"/>
      <c r="AH260" s="122"/>
      <c r="AI260" s="122"/>
      <c r="AJ260" s="122"/>
      <c r="AK260" s="122"/>
      <c r="AL260" s="122"/>
      <c r="AM260" s="123"/>
      <c r="AN260" s="72" t="s">
        <v>100</v>
      </c>
      <c r="AO260" s="76"/>
      <c r="AP260" s="74" t="s">
        <v>30</v>
      </c>
      <c r="AQ260" s="68"/>
      <c r="AR260" s="68"/>
      <c r="AS260" s="68"/>
      <c r="AT260" s="68"/>
      <c r="AU260" s="68"/>
      <c r="AV260" s="68"/>
      <c r="AW260" s="68"/>
      <c r="AX260" s="74"/>
      <c r="AY260" s="74"/>
      <c r="AZ260" s="76"/>
      <c r="BA260" s="76"/>
      <c r="BB260" s="76"/>
      <c r="BC260" s="76"/>
      <c r="BD260" s="74"/>
      <c r="BE260" s="78" t="s">
        <v>50</v>
      </c>
      <c r="BF260" s="68" t="s">
        <v>21</v>
      </c>
      <c r="BG260" s="68"/>
      <c r="BH260" s="68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9">
        <v>18</v>
      </c>
      <c r="BT260" s="79">
        <v>0</v>
      </c>
      <c r="BU260" s="75"/>
      <c r="BV260" s="63" t="str">
        <f t="shared" ref="BV260" si="25">IF(BW260&lt;&gt;"",IF(BW260=CB260+BZ260,"完了","未完"),"")</f>
        <v>未完</v>
      </c>
      <c r="BW260" s="63">
        <f>SUM(BS260:BT262)</f>
        <v>18</v>
      </c>
      <c r="BX260" s="80">
        <v>0</v>
      </c>
      <c r="BY260" s="80">
        <v>0</v>
      </c>
      <c r="BZ260" s="80">
        <v>0</v>
      </c>
      <c r="CA260" s="80">
        <f>BW260-(BX260+BY260+BZ260)</f>
        <v>18</v>
      </c>
      <c r="CB260" s="80">
        <v>0</v>
      </c>
      <c r="CC260" s="80">
        <v>0</v>
      </c>
      <c r="CD260" s="67"/>
      <c r="CE260" s="68"/>
      <c r="CF260" s="68"/>
      <c r="CG260" s="68"/>
      <c r="CH260" s="68"/>
      <c r="CI260" s="68"/>
      <c r="CJ260" s="68"/>
      <c r="CK260" s="68"/>
      <c r="CL260" s="69"/>
    </row>
    <row r="261" spans="3:90" s="61" customFormat="1" x14ac:dyDescent="0.25">
      <c r="C261" s="62"/>
      <c r="D261" s="81"/>
      <c r="E261" s="82"/>
      <c r="F261" s="65"/>
      <c r="I261" s="66"/>
      <c r="J261" s="65"/>
      <c r="N261" s="65"/>
      <c r="T261" s="83"/>
      <c r="U261" s="71"/>
      <c r="V261" s="84"/>
      <c r="W261" s="84"/>
      <c r="X261" s="62"/>
      <c r="Y261" s="92" t="s">
        <v>53</v>
      </c>
      <c r="Z261" s="95" t="s">
        <v>548</v>
      </c>
      <c r="AA261" s="95"/>
      <c r="AB261" s="125"/>
      <c r="AC261" s="125"/>
      <c r="AD261" s="125"/>
      <c r="AE261" s="91"/>
      <c r="AF261" s="91"/>
      <c r="AG261" s="125"/>
      <c r="AH261" s="125"/>
      <c r="AI261" s="125"/>
      <c r="AJ261" s="125"/>
      <c r="AK261" s="125"/>
      <c r="AL261" s="125"/>
      <c r="AM261" s="126"/>
      <c r="AN261" s="71"/>
      <c r="AO261" s="62"/>
      <c r="AP261" s="85" t="s">
        <v>52</v>
      </c>
      <c r="AX261" s="85"/>
      <c r="AY261" s="85"/>
      <c r="AZ261" s="62"/>
      <c r="BA261" s="62"/>
      <c r="BB261" s="62"/>
      <c r="BC261" s="62"/>
      <c r="BD261" s="85"/>
      <c r="BE261" s="113" t="s">
        <v>50</v>
      </c>
      <c r="BF261" s="61" t="s">
        <v>134</v>
      </c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8"/>
      <c r="BT261" s="88"/>
      <c r="BU261" s="86"/>
      <c r="BV261" s="81"/>
      <c r="BW261" s="81"/>
      <c r="BX261" s="89"/>
      <c r="BY261" s="89"/>
      <c r="BZ261" s="89"/>
      <c r="CA261" s="89"/>
      <c r="CB261" s="89"/>
      <c r="CC261" s="89"/>
      <c r="CD261" s="65"/>
      <c r="CL261" s="66"/>
    </row>
    <row r="262" spans="3:90" s="61" customFormat="1" x14ac:dyDescent="0.25">
      <c r="C262" s="62"/>
      <c r="D262" s="81"/>
      <c r="E262" s="82"/>
      <c r="F262" s="65"/>
      <c r="I262" s="66"/>
      <c r="J262" s="65"/>
      <c r="N262" s="65"/>
      <c r="T262" s="83"/>
      <c r="U262" s="62"/>
      <c r="V262" s="84"/>
      <c r="W262" s="84"/>
      <c r="X262" s="62"/>
      <c r="Y262" s="92"/>
      <c r="Z262" s="95" t="s">
        <v>57</v>
      </c>
      <c r="AA262" s="85" t="s">
        <v>549</v>
      </c>
      <c r="AB262" s="125"/>
      <c r="AC262" s="125"/>
      <c r="AD262" s="125"/>
      <c r="AE262" s="91"/>
      <c r="AF262" s="91"/>
      <c r="AG262" s="125"/>
      <c r="AH262" s="125"/>
      <c r="AI262" s="125"/>
      <c r="AJ262" s="125"/>
      <c r="AK262" s="125"/>
      <c r="AL262" s="125"/>
      <c r="AM262" s="126"/>
      <c r="AN262" s="71" t="s">
        <v>84</v>
      </c>
      <c r="AO262" s="62"/>
      <c r="AP262" s="85" t="s">
        <v>137</v>
      </c>
      <c r="AX262" s="85"/>
      <c r="AY262" s="85"/>
      <c r="AZ262" s="62"/>
      <c r="BA262" s="62"/>
      <c r="BB262" s="62"/>
      <c r="BC262" s="62"/>
      <c r="BD262" s="85"/>
      <c r="BE262" s="113" t="s">
        <v>50</v>
      </c>
      <c r="BF262" s="61" t="s">
        <v>133</v>
      </c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8"/>
      <c r="BT262" s="88"/>
      <c r="BU262" s="86"/>
      <c r="BV262" s="81"/>
      <c r="BW262" s="81"/>
      <c r="BX262" s="89"/>
      <c r="BY262" s="89"/>
      <c r="BZ262" s="89"/>
      <c r="CA262" s="89"/>
      <c r="CB262" s="89"/>
      <c r="CC262" s="89"/>
      <c r="CD262" s="65"/>
      <c r="CL262" s="66"/>
    </row>
    <row r="263" spans="3:90" s="61" customFormat="1" x14ac:dyDescent="0.25">
      <c r="C263" s="62"/>
      <c r="D263" s="81"/>
      <c r="E263" s="82"/>
      <c r="F263" s="65"/>
      <c r="I263" s="66"/>
      <c r="J263" s="65"/>
      <c r="N263" s="65"/>
      <c r="T263" s="83"/>
      <c r="U263" s="62"/>
      <c r="V263" s="84"/>
      <c r="W263" s="84"/>
      <c r="X263" s="62"/>
      <c r="Y263" s="92"/>
      <c r="Z263" s="95"/>
      <c r="AA263" s="85"/>
      <c r="AB263" s="125"/>
      <c r="AC263" s="125"/>
      <c r="AD263" s="125"/>
      <c r="AE263" s="91"/>
      <c r="AF263" s="91"/>
      <c r="AG263" s="125"/>
      <c r="AH263" s="125"/>
      <c r="AI263" s="125"/>
      <c r="AJ263" s="125"/>
      <c r="AK263" s="125"/>
      <c r="AL263" s="125"/>
      <c r="AM263" s="126"/>
      <c r="AN263" s="92"/>
      <c r="AO263" s="62"/>
      <c r="AP263" s="85" t="s">
        <v>52</v>
      </c>
      <c r="AX263" s="85"/>
      <c r="AY263" s="85"/>
      <c r="AZ263" s="62"/>
      <c r="BA263" s="62"/>
      <c r="BB263" s="62"/>
      <c r="BC263" s="62"/>
      <c r="BD263" s="85"/>
      <c r="BE263" s="113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8"/>
      <c r="BT263" s="88"/>
      <c r="BU263" s="86"/>
      <c r="BV263" s="81"/>
      <c r="BW263" s="81"/>
      <c r="BX263" s="89"/>
      <c r="BY263" s="89"/>
      <c r="BZ263" s="89"/>
      <c r="CA263" s="89"/>
      <c r="CB263" s="89"/>
      <c r="CC263" s="89"/>
      <c r="CD263" s="65"/>
      <c r="CL263" s="66"/>
    </row>
    <row r="264" spans="3:90" s="61" customFormat="1" x14ac:dyDescent="0.25">
      <c r="C264" s="62"/>
      <c r="D264" s="81"/>
      <c r="E264" s="82"/>
      <c r="F264" s="65"/>
      <c r="I264" s="66"/>
      <c r="J264" s="65"/>
      <c r="N264" s="65"/>
      <c r="T264" s="83"/>
      <c r="U264" s="62"/>
      <c r="V264" s="84"/>
      <c r="W264" s="84"/>
      <c r="X264" s="62"/>
      <c r="Y264" s="92"/>
      <c r="Z264" s="95"/>
      <c r="AA264" s="85"/>
      <c r="AB264" s="125"/>
      <c r="AC264" s="125"/>
      <c r="AD264" s="125"/>
      <c r="AE264" s="91"/>
      <c r="AF264" s="91"/>
      <c r="AG264" s="125"/>
      <c r="AH264" s="125"/>
      <c r="AI264" s="125"/>
      <c r="AJ264" s="125"/>
      <c r="AK264" s="125"/>
      <c r="AL264" s="125"/>
      <c r="AM264" s="126"/>
      <c r="AN264" s="62" t="s">
        <v>66</v>
      </c>
      <c r="AO264" s="62"/>
      <c r="AP264" s="85" t="s">
        <v>138</v>
      </c>
      <c r="AQ264" s="61" t="s">
        <v>356</v>
      </c>
      <c r="AS264" s="61" t="s">
        <v>408</v>
      </c>
      <c r="AX264" s="85"/>
      <c r="AY264" s="85"/>
      <c r="AZ264" s="62"/>
      <c r="BA264" s="62"/>
      <c r="BB264" s="62"/>
      <c r="BC264" s="62"/>
      <c r="BD264" s="85"/>
      <c r="BE264" s="113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8"/>
      <c r="BT264" s="88"/>
      <c r="BU264" s="86"/>
      <c r="BV264" s="81"/>
      <c r="BW264" s="81"/>
      <c r="BX264" s="89"/>
      <c r="BY264" s="89"/>
      <c r="BZ264" s="89"/>
      <c r="CA264" s="89"/>
      <c r="CB264" s="89"/>
      <c r="CC264" s="89"/>
      <c r="CD264" s="65"/>
      <c r="CL264" s="66"/>
    </row>
    <row r="265" spans="3:90" s="61" customFormat="1" x14ac:dyDescent="0.25">
      <c r="C265" s="62"/>
      <c r="D265" s="81"/>
      <c r="E265" s="82"/>
      <c r="F265" s="65"/>
      <c r="I265" s="66"/>
      <c r="J265" s="65"/>
      <c r="N265" s="65"/>
      <c r="T265" s="83"/>
      <c r="U265" s="62"/>
      <c r="V265" s="84"/>
      <c r="W265" s="84"/>
      <c r="X265" s="62"/>
      <c r="Y265" s="92"/>
      <c r="Z265" s="95"/>
      <c r="AA265" s="85"/>
      <c r="AB265" s="125"/>
      <c r="AC265" s="125"/>
      <c r="AD265" s="125"/>
      <c r="AE265" s="91"/>
      <c r="AF265" s="91"/>
      <c r="AG265" s="125"/>
      <c r="AH265" s="125"/>
      <c r="AI265" s="125"/>
      <c r="AJ265" s="125"/>
      <c r="AK265" s="125"/>
      <c r="AL265" s="125"/>
      <c r="AM265" s="126"/>
      <c r="AN265" s="62"/>
      <c r="AO265" s="62"/>
      <c r="AP265" s="85" t="s">
        <v>52</v>
      </c>
      <c r="AX265" s="85"/>
      <c r="AY265" s="85"/>
      <c r="AZ265" s="62"/>
      <c r="BA265" s="62"/>
      <c r="BB265" s="62"/>
      <c r="BC265" s="62"/>
      <c r="BD265" s="85"/>
      <c r="BE265" s="113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8"/>
      <c r="BT265" s="88"/>
      <c r="BU265" s="86"/>
      <c r="BV265" s="81"/>
      <c r="BW265" s="81"/>
      <c r="BX265" s="89"/>
      <c r="BY265" s="89"/>
      <c r="BZ265" s="89"/>
      <c r="CA265" s="89"/>
      <c r="CB265" s="89"/>
      <c r="CC265" s="89"/>
      <c r="CD265" s="65"/>
      <c r="CL265" s="66"/>
    </row>
    <row r="266" spans="3:90" s="61" customFormat="1" x14ac:dyDescent="0.25">
      <c r="C266" s="62"/>
      <c r="D266" s="81"/>
      <c r="E266" s="82"/>
      <c r="F266" s="65"/>
      <c r="I266" s="66"/>
      <c r="J266" s="65"/>
      <c r="N266" s="65"/>
      <c r="T266" s="83"/>
      <c r="U266" s="62"/>
      <c r="V266" s="84"/>
      <c r="W266" s="84"/>
      <c r="X266" s="62"/>
      <c r="Y266" s="92"/>
      <c r="Z266" s="95"/>
      <c r="AA266" s="85"/>
      <c r="AB266" s="125"/>
      <c r="AC266" s="125"/>
      <c r="AD266" s="125"/>
      <c r="AE266" s="91"/>
      <c r="AF266" s="91"/>
      <c r="AG266" s="125"/>
      <c r="AH266" s="125"/>
      <c r="AI266" s="125"/>
      <c r="AJ266" s="125"/>
      <c r="AK266" s="125"/>
      <c r="AL266" s="125"/>
      <c r="AM266" s="126"/>
      <c r="AN266" s="62" t="s">
        <v>71</v>
      </c>
      <c r="AO266" s="62"/>
      <c r="AP266" s="85" t="s">
        <v>132</v>
      </c>
      <c r="AX266" s="85"/>
      <c r="AY266" s="85"/>
      <c r="AZ266" s="62"/>
      <c r="BA266" s="62"/>
      <c r="BB266" s="62"/>
      <c r="BC266" s="62"/>
      <c r="BD266" s="85"/>
      <c r="BE266" s="113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8"/>
      <c r="BT266" s="88"/>
      <c r="BU266" s="86"/>
      <c r="BV266" s="81"/>
      <c r="BW266" s="81"/>
      <c r="BX266" s="89"/>
      <c r="BY266" s="89"/>
      <c r="BZ266" s="89"/>
      <c r="CA266" s="89"/>
      <c r="CB266" s="89"/>
      <c r="CC266" s="89"/>
      <c r="CD266" s="65"/>
      <c r="CL266" s="66"/>
    </row>
    <row r="267" spans="3:90" s="61" customFormat="1" x14ac:dyDescent="0.25">
      <c r="C267" s="62"/>
      <c r="D267" s="81"/>
      <c r="E267" s="82"/>
      <c r="F267" s="65"/>
      <c r="I267" s="66"/>
      <c r="J267" s="65"/>
      <c r="N267" s="65"/>
      <c r="T267" s="83"/>
      <c r="U267" s="62"/>
      <c r="V267" s="84"/>
      <c r="W267" s="84"/>
      <c r="X267" s="62"/>
      <c r="Y267" s="92"/>
      <c r="Z267" s="95"/>
      <c r="AA267" s="85"/>
      <c r="AB267" s="125"/>
      <c r="AC267" s="125"/>
      <c r="AD267" s="125"/>
      <c r="AE267" s="91"/>
      <c r="AF267" s="91"/>
      <c r="AG267" s="125"/>
      <c r="AH267" s="125"/>
      <c r="AI267" s="125"/>
      <c r="AJ267" s="125"/>
      <c r="AK267" s="125"/>
      <c r="AL267" s="125"/>
      <c r="AM267" s="126"/>
      <c r="AN267" s="62"/>
      <c r="AO267" s="62"/>
      <c r="AP267" s="85"/>
      <c r="AX267" s="85"/>
      <c r="AY267" s="85"/>
      <c r="AZ267" s="62"/>
      <c r="BA267" s="62"/>
      <c r="BB267" s="62"/>
      <c r="BC267" s="62"/>
      <c r="BD267" s="85"/>
      <c r="BE267" s="113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8"/>
      <c r="BT267" s="88"/>
      <c r="BU267" s="86"/>
      <c r="BV267" s="81"/>
      <c r="BW267" s="81"/>
      <c r="BX267" s="89"/>
      <c r="BY267" s="89"/>
      <c r="BZ267" s="89"/>
      <c r="CA267" s="89"/>
      <c r="CB267" s="89"/>
      <c r="CC267" s="89"/>
      <c r="CD267" s="65"/>
      <c r="CL267" s="66"/>
    </row>
    <row r="268" spans="3:90" s="61" customFormat="1" x14ac:dyDescent="0.25">
      <c r="C268" s="62"/>
      <c r="D268" s="81"/>
      <c r="E268" s="82"/>
      <c r="F268" s="65"/>
      <c r="I268" s="66"/>
      <c r="J268" s="65"/>
      <c r="N268" s="65"/>
      <c r="T268" s="83"/>
      <c r="U268" s="62"/>
      <c r="V268" s="84"/>
      <c r="W268" s="84"/>
      <c r="X268" s="62"/>
      <c r="Y268" s="92"/>
      <c r="Z268" s="95"/>
      <c r="AA268" s="85"/>
      <c r="AB268" s="125"/>
      <c r="AC268" s="125"/>
      <c r="AD268" s="125"/>
      <c r="AE268" s="91"/>
      <c r="AF268" s="91"/>
      <c r="AG268" s="125"/>
      <c r="AH268" s="125"/>
      <c r="AI268" s="125"/>
      <c r="AJ268" s="125"/>
      <c r="AK268" s="125"/>
      <c r="AL268" s="125"/>
      <c r="AM268" s="126"/>
      <c r="AN268" s="62"/>
      <c r="AO268" s="62"/>
      <c r="AP268" s="85"/>
      <c r="AX268" s="85"/>
      <c r="AY268" s="85"/>
      <c r="AZ268" s="62"/>
      <c r="BA268" s="62"/>
      <c r="BB268" s="62"/>
      <c r="BC268" s="62"/>
      <c r="BD268" s="85"/>
      <c r="BE268" s="113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8"/>
      <c r="BT268" s="88"/>
      <c r="BU268" s="86"/>
      <c r="BV268" s="81"/>
      <c r="BW268" s="81"/>
      <c r="BX268" s="89"/>
      <c r="BY268" s="89"/>
      <c r="BZ268" s="89"/>
      <c r="CA268" s="89"/>
      <c r="CB268" s="89"/>
      <c r="CC268" s="89"/>
      <c r="CD268" s="65"/>
      <c r="CL268" s="66"/>
    </row>
    <row r="269" spans="3:90" s="61" customFormat="1" x14ac:dyDescent="0.25">
      <c r="C269" s="62"/>
      <c r="D269" s="81"/>
      <c r="E269" s="64">
        <v>4</v>
      </c>
      <c r="F269" s="65"/>
      <c r="I269" s="66"/>
      <c r="J269" s="65"/>
      <c r="N269" s="65"/>
      <c r="T269" s="83"/>
      <c r="U269" s="76" t="s">
        <v>63</v>
      </c>
      <c r="V269" s="73" t="s">
        <v>43</v>
      </c>
      <c r="W269" s="84"/>
      <c r="X269" s="63">
        <f>BW269</f>
        <v>18</v>
      </c>
      <c r="Y269" s="120" t="s">
        <v>50</v>
      </c>
      <c r="Z269" s="121" t="s">
        <v>140</v>
      </c>
      <c r="AA269" s="74"/>
      <c r="AB269" s="122"/>
      <c r="AC269" s="122"/>
      <c r="AD269" s="122"/>
      <c r="AE269" s="129"/>
      <c r="AF269" s="129"/>
      <c r="AG269" s="122"/>
      <c r="AH269" s="122"/>
      <c r="AI269" s="122"/>
      <c r="AJ269" s="122"/>
      <c r="AK269" s="122"/>
      <c r="AL269" s="122"/>
      <c r="AM269" s="123"/>
      <c r="AN269" s="72" t="s">
        <v>100</v>
      </c>
      <c r="AO269" s="76"/>
      <c r="AP269" s="74" t="s">
        <v>30</v>
      </c>
      <c r="AQ269" s="68"/>
      <c r="AR269" s="68"/>
      <c r="AS269" s="68"/>
      <c r="AT269" s="68"/>
      <c r="AU269" s="68"/>
      <c r="AV269" s="68"/>
      <c r="AW269" s="68"/>
      <c r="AX269" s="74"/>
      <c r="AY269" s="74"/>
      <c r="AZ269" s="76"/>
      <c r="BA269" s="76"/>
      <c r="BB269" s="76"/>
      <c r="BC269" s="76"/>
      <c r="BD269" s="74"/>
      <c r="BE269" s="78" t="s">
        <v>50</v>
      </c>
      <c r="BF269" s="68" t="s">
        <v>21</v>
      </c>
      <c r="BG269" s="68"/>
      <c r="BH269" s="68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9">
        <v>18</v>
      </c>
      <c r="BT269" s="79">
        <v>0</v>
      </c>
      <c r="BU269" s="75"/>
      <c r="BV269" s="63" t="str">
        <f t="shared" ref="BV269" si="26">IF(BW269&lt;&gt;"",IF(BW269=CB269+BZ269,"完了","未完"),"")</f>
        <v>未完</v>
      </c>
      <c r="BW269" s="63">
        <f>SUM(BS269:BT271)</f>
        <v>18</v>
      </c>
      <c r="BX269" s="80">
        <v>0</v>
      </c>
      <c r="BY269" s="80">
        <v>0</v>
      </c>
      <c r="BZ269" s="80">
        <v>0</v>
      </c>
      <c r="CA269" s="80">
        <f>BW269-(BX269+BY269+BZ269)</f>
        <v>18</v>
      </c>
      <c r="CB269" s="80">
        <v>0</v>
      </c>
      <c r="CC269" s="80">
        <v>0</v>
      </c>
      <c r="CD269" s="67"/>
      <c r="CE269" s="68"/>
      <c r="CF269" s="68"/>
      <c r="CG269" s="68"/>
      <c r="CH269" s="68"/>
      <c r="CI269" s="68"/>
      <c r="CJ269" s="68"/>
      <c r="CK269" s="68"/>
      <c r="CL269" s="69"/>
    </row>
    <row r="270" spans="3:90" s="61" customFormat="1" x14ac:dyDescent="0.25">
      <c r="C270" s="62"/>
      <c r="D270" s="81"/>
      <c r="E270" s="82"/>
      <c r="F270" s="65"/>
      <c r="I270" s="66"/>
      <c r="J270" s="65"/>
      <c r="N270" s="65"/>
      <c r="T270" s="83"/>
      <c r="U270" s="71"/>
      <c r="V270" s="84"/>
      <c r="W270" s="84"/>
      <c r="X270" s="62"/>
      <c r="Y270" s="92"/>
      <c r="Z270" s="95" t="s">
        <v>420</v>
      </c>
      <c r="AA270" s="85"/>
      <c r="AB270" s="125"/>
      <c r="AC270" s="125"/>
      <c r="AD270" s="125"/>
      <c r="AE270" s="91"/>
      <c r="AF270" s="91"/>
      <c r="AG270" s="125"/>
      <c r="AH270" s="125"/>
      <c r="AI270" s="125"/>
      <c r="AJ270" s="125"/>
      <c r="AK270" s="125"/>
      <c r="AL270" s="125"/>
      <c r="AM270" s="126"/>
      <c r="AN270" s="71"/>
      <c r="AO270" s="62"/>
      <c r="AP270" s="85" t="s">
        <v>52</v>
      </c>
      <c r="AX270" s="85"/>
      <c r="AY270" s="85"/>
      <c r="AZ270" s="62"/>
      <c r="BA270" s="62"/>
      <c r="BB270" s="62"/>
      <c r="BC270" s="62"/>
      <c r="BD270" s="85"/>
      <c r="BE270" s="113" t="s">
        <v>50</v>
      </c>
      <c r="BF270" s="61" t="s">
        <v>134</v>
      </c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8"/>
      <c r="BT270" s="88"/>
      <c r="BU270" s="86"/>
      <c r="BV270" s="81"/>
      <c r="BW270" s="81"/>
      <c r="BX270" s="89"/>
      <c r="BY270" s="89"/>
      <c r="BZ270" s="89"/>
      <c r="CA270" s="89"/>
      <c r="CB270" s="89"/>
      <c r="CC270" s="89"/>
      <c r="CD270" s="65"/>
      <c r="CL270" s="66"/>
    </row>
    <row r="271" spans="3:90" s="61" customFormat="1" x14ac:dyDescent="0.25">
      <c r="C271" s="62"/>
      <c r="D271" s="81"/>
      <c r="E271" s="82"/>
      <c r="F271" s="65"/>
      <c r="I271" s="66"/>
      <c r="J271" s="65"/>
      <c r="N271" s="65"/>
      <c r="T271" s="83"/>
      <c r="U271" s="71"/>
      <c r="V271" s="84"/>
      <c r="W271" s="84"/>
      <c r="X271" s="62"/>
      <c r="Y271" s="92"/>
      <c r="Z271" s="95" t="s">
        <v>265</v>
      </c>
      <c r="AA271" s="85"/>
      <c r="AB271" s="125"/>
      <c r="AC271" s="125"/>
      <c r="AD271" s="125"/>
      <c r="AE271" s="91"/>
      <c r="AF271" s="91"/>
      <c r="AG271" s="125"/>
      <c r="AH271" s="125"/>
      <c r="AI271" s="125"/>
      <c r="AJ271" s="125"/>
      <c r="AK271" s="125"/>
      <c r="AL271" s="125"/>
      <c r="AM271" s="126"/>
      <c r="AN271" s="71" t="s">
        <v>84</v>
      </c>
      <c r="AO271" s="62"/>
      <c r="AP271" s="85" t="s">
        <v>135</v>
      </c>
      <c r="AX271" s="85"/>
      <c r="AY271" s="85"/>
      <c r="AZ271" s="62"/>
      <c r="BA271" s="62"/>
      <c r="BB271" s="62"/>
      <c r="BC271" s="62"/>
      <c r="BD271" s="85"/>
      <c r="BE271" s="113" t="s">
        <v>50</v>
      </c>
      <c r="BF271" s="61" t="s">
        <v>133</v>
      </c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8"/>
      <c r="BT271" s="88"/>
      <c r="BU271" s="86"/>
      <c r="BV271" s="81"/>
      <c r="BW271" s="81"/>
      <c r="BX271" s="89"/>
      <c r="BY271" s="89"/>
      <c r="BZ271" s="89"/>
      <c r="CA271" s="89"/>
      <c r="CB271" s="89"/>
      <c r="CC271" s="89"/>
      <c r="CD271" s="65"/>
      <c r="CL271" s="66"/>
    </row>
    <row r="272" spans="3:90" s="61" customFormat="1" x14ac:dyDescent="0.25">
      <c r="C272" s="62"/>
      <c r="D272" s="81"/>
      <c r="E272" s="82"/>
      <c r="F272" s="65"/>
      <c r="I272" s="66"/>
      <c r="J272" s="65"/>
      <c r="N272" s="65"/>
      <c r="T272" s="83"/>
      <c r="U272" s="62"/>
      <c r="V272" s="84"/>
      <c r="W272" s="84"/>
      <c r="X272" s="62"/>
      <c r="Y272" s="92" t="s">
        <v>53</v>
      </c>
      <c r="Z272" s="95" t="s">
        <v>548</v>
      </c>
      <c r="AA272" s="95"/>
      <c r="AB272" s="125"/>
      <c r="AC272" s="125"/>
      <c r="AD272" s="125"/>
      <c r="AE272" s="91"/>
      <c r="AF272" s="91"/>
      <c r="AG272" s="125"/>
      <c r="AH272" s="125"/>
      <c r="AI272" s="125"/>
      <c r="AJ272" s="125"/>
      <c r="AK272" s="125"/>
      <c r="AL272" s="125"/>
      <c r="AM272" s="126"/>
      <c r="AN272" s="92"/>
      <c r="AO272" s="62"/>
      <c r="AP272" s="85" t="s">
        <v>52</v>
      </c>
      <c r="AX272" s="85"/>
      <c r="AY272" s="85"/>
      <c r="AZ272" s="62"/>
      <c r="BA272" s="62"/>
      <c r="BB272" s="62"/>
      <c r="BC272" s="62"/>
      <c r="BD272" s="85"/>
      <c r="BE272" s="113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8"/>
      <c r="BT272" s="88"/>
      <c r="BU272" s="86"/>
      <c r="BV272" s="81"/>
      <c r="BW272" s="81"/>
      <c r="BX272" s="89"/>
      <c r="BY272" s="89"/>
      <c r="BZ272" s="89"/>
      <c r="CA272" s="89"/>
      <c r="CB272" s="89"/>
      <c r="CC272" s="89"/>
      <c r="CD272" s="65"/>
      <c r="CL272" s="66"/>
    </row>
    <row r="273" spans="3:90" s="61" customFormat="1" x14ac:dyDescent="0.25">
      <c r="C273" s="62"/>
      <c r="D273" s="81"/>
      <c r="E273" s="82"/>
      <c r="F273" s="65"/>
      <c r="I273" s="66"/>
      <c r="J273" s="65"/>
      <c r="N273" s="65"/>
      <c r="T273" s="83"/>
      <c r="U273" s="62"/>
      <c r="V273" s="84"/>
      <c r="W273" s="84"/>
      <c r="X273" s="62"/>
      <c r="Y273" s="92"/>
      <c r="Z273" s="95" t="s">
        <v>57</v>
      </c>
      <c r="AA273" s="85" t="s">
        <v>549</v>
      </c>
      <c r="AB273" s="125"/>
      <c r="AC273" s="125"/>
      <c r="AD273" s="125"/>
      <c r="AE273" s="91"/>
      <c r="AF273" s="91"/>
      <c r="AG273" s="125"/>
      <c r="AH273" s="125"/>
      <c r="AI273" s="125"/>
      <c r="AJ273" s="125"/>
      <c r="AK273" s="125"/>
      <c r="AL273" s="125"/>
      <c r="AM273" s="126"/>
      <c r="AN273" s="62" t="s">
        <v>66</v>
      </c>
      <c r="AO273" s="62"/>
      <c r="AP273" s="85" t="s">
        <v>130</v>
      </c>
      <c r="AQ273" s="61" t="s">
        <v>357</v>
      </c>
      <c r="AT273" s="61" t="s">
        <v>417</v>
      </c>
      <c r="AX273" s="85"/>
      <c r="AY273" s="85"/>
      <c r="AZ273" s="62"/>
      <c r="BA273" s="62"/>
      <c r="BB273" s="62"/>
      <c r="BC273" s="62"/>
      <c r="BD273" s="85"/>
      <c r="BE273" s="113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8"/>
      <c r="BT273" s="88"/>
      <c r="BU273" s="86"/>
      <c r="BV273" s="81"/>
      <c r="BW273" s="81"/>
      <c r="BX273" s="89"/>
      <c r="BY273" s="89"/>
      <c r="BZ273" s="89"/>
      <c r="CA273" s="89"/>
      <c r="CB273" s="89"/>
      <c r="CC273" s="89"/>
      <c r="CD273" s="65"/>
      <c r="CL273" s="66"/>
    </row>
    <row r="274" spans="3:90" s="61" customFormat="1" x14ac:dyDescent="0.25">
      <c r="C274" s="62"/>
      <c r="D274" s="81"/>
      <c r="E274" s="82"/>
      <c r="F274" s="65"/>
      <c r="I274" s="66"/>
      <c r="J274" s="65"/>
      <c r="N274" s="65"/>
      <c r="T274" s="83"/>
      <c r="U274" s="62"/>
      <c r="V274" s="84"/>
      <c r="W274" s="84"/>
      <c r="X274" s="62"/>
      <c r="Y274" s="92"/>
      <c r="Z274" s="95"/>
      <c r="AA274" s="85"/>
      <c r="AB274" s="125"/>
      <c r="AC274" s="125"/>
      <c r="AD274" s="125"/>
      <c r="AE274" s="91"/>
      <c r="AF274" s="91"/>
      <c r="AG274" s="125"/>
      <c r="AH274" s="125"/>
      <c r="AI274" s="125"/>
      <c r="AJ274" s="125"/>
      <c r="AK274" s="125"/>
      <c r="AL274" s="125"/>
      <c r="AM274" s="126"/>
      <c r="AN274" s="62"/>
      <c r="AO274" s="62"/>
      <c r="AP274" s="85" t="s">
        <v>52</v>
      </c>
      <c r="AT274" s="61" t="s">
        <v>418</v>
      </c>
      <c r="AX274" s="85"/>
      <c r="AY274" s="85"/>
      <c r="AZ274" s="62"/>
      <c r="BA274" s="62"/>
      <c r="BB274" s="62"/>
      <c r="BC274" s="62"/>
      <c r="BD274" s="85"/>
      <c r="BE274" s="113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8"/>
      <c r="BT274" s="88"/>
      <c r="BU274" s="86"/>
      <c r="BV274" s="81"/>
      <c r="BW274" s="81"/>
      <c r="BX274" s="89"/>
      <c r="BY274" s="89"/>
      <c r="BZ274" s="89"/>
      <c r="CA274" s="89"/>
      <c r="CB274" s="89"/>
      <c r="CC274" s="89"/>
      <c r="CD274" s="65"/>
      <c r="CL274" s="66"/>
    </row>
    <row r="275" spans="3:90" s="61" customFormat="1" x14ac:dyDescent="0.25">
      <c r="C275" s="62"/>
      <c r="D275" s="81"/>
      <c r="E275" s="82"/>
      <c r="F275" s="65"/>
      <c r="I275" s="66"/>
      <c r="J275" s="65"/>
      <c r="N275" s="65"/>
      <c r="T275" s="83"/>
      <c r="U275" s="62"/>
      <c r="V275" s="84"/>
      <c r="W275" s="84"/>
      <c r="X275" s="62"/>
      <c r="Y275" s="92"/>
      <c r="Z275" s="95"/>
      <c r="AA275" s="85"/>
      <c r="AB275" s="125"/>
      <c r="AC275" s="125"/>
      <c r="AD275" s="125"/>
      <c r="AE275" s="91"/>
      <c r="AF275" s="91"/>
      <c r="AG275" s="125"/>
      <c r="AH275" s="125"/>
      <c r="AI275" s="125"/>
      <c r="AJ275" s="125"/>
      <c r="AK275" s="125"/>
      <c r="AL275" s="125"/>
      <c r="AM275" s="126"/>
      <c r="AN275" s="62" t="s">
        <v>71</v>
      </c>
      <c r="AO275" s="62"/>
      <c r="AP275" s="85" t="s">
        <v>132</v>
      </c>
      <c r="AX275" s="85"/>
      <c r="AY275" s="85"/>
      <c r="AZ275" s="62"/>
      <c r="BA275" s="62"/>
      <c r="BB275" s="62"/>
      <c r="BC275" s="62"/>
      <c r="BD275" s="85"/>
      <c r="BE275" s="113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8"/>
      <c r="BT275" s="88"/>
      <c r="BU275" s="86"/>
      <c r="BV275" s="81"/>
      <c r="BW275" s="81"/>
      <c r="BX275" s="89"/>
      <c r="BY275" s="89"/>
      <c r="BZ275" s="89"/>
      <c r="CA275" s="89"/>
      <c r="CB275" s="89"/>
      <c r="CC275" s="89"/>
      <c r="CD275" s="65"/>
      <c r="CL275" s="66"/>
    </row>
    <row r="276" spans="3:90" s="61" customFormat="1" x14ac:dyDescent="0.25">
      <c r="C276" s="62"/>
      <c r="D276" s="81"/>
      <c r="E276" s="82"/>
      <c r="F276" s="65"/>
      <c r="I276" s="66"/>
      <c r="J276" s="65"/>
      <c r="N276" s="65"/>
      <c r="T276" s="83"/>
      <c r="U276" s="62"/>
      <c r="V276" s="84"/>
      <c r="W276" s="84"/>
      <c r="X276" s="62"/>
      <c r="Y276" s="92"/>
      <c r="Z276" s="95"/>
      <c r="AA276" s="85"/>
      <c r="AB276" s="125"/>
      <c r="AC276" s="125"/>
      <c r="AD276" s="125"/>
      <c r="AE276" s="91"/>
      <c r="AF276" s="91"/>
      <c r="AG276" s="125"/>
      <c r="AH276" s="125"/>
      <c r="AI276" s="125"/>
      <c r="AJ276" s="125"/>
      <c r="AK276" s="125"/>
      <c r="AL276" s="125"/>
      <c r="AM276" s="126"/>
      <c r="AN276" s="62"/>
      <c r="AO276" s="62"/>
      <c r="AP276" s="85"/>
      <c r="AX276" s="85"/>
      <c r="AY276" s="85"/>
      <c r="AZ276" s="62"/>
      <c r="BA276" s="62"/>
      <c r="BB276" s="62"/>
      <c r="BC276" s="62"/>
      <c r="BD276" s="85"/>
      <c r="BE276" s="113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8"/>
      <c r="BT276" s="88"/>
      <c r="BU276" s="86"/>
      <c r="BV276" s="81"/>
      <c r="BW276" s="81"/>
      <c r="BX276" s="89"/>
      <c r="BY276" s="89"/>
      <c r="BZ276" s="89"/>
      <c r="CA276" s="89"/>
      <c r="CB276" s="89"/>
      <c r="CC276" s="89"/>
      <c r="CD276" s="65"/>
      <c r="CL276" s="66"/>
    </row>
    <row r="277" spans="3:90" s="61" customFormat="1" x14ac:dyDescent="0.25">
      <c r="C277" s="62"/>
      <c r="D277" s="81"/>
      <c r="E277" s="82"/>
      <c r="F277" s="65"/>
      <c r="I277" s="66"/>
      <c r="J277" s="65"/>
      <c r="N277" s="65"/>
      <c r="T277" s="83"/>
      <c r="U277" s="62"/>
      <c r="V277" s="84"/>
      <c r="W277" s="84"/>
      <c r="X277" s="62"/>
      <c r="Y277" s="92"/>
      <c r="Z277" s="95"/>
      <c r="AA277" s="85"/>
      <c r="AB277" s="125"/>
      <c r="AC277" s="125"/>
      <c r="AD277" s="125"/>
      <c r="AE277" s="91"/>
      <c r="AF277" s="91"/>
      <c r="AG277" s="125"/>
      <c r="AH277" s="125"/>
      <c r="AI277" s="125"/>
      <c r="AJ277" s="125"/>
      <c r="AK277" s="125"/>
      <c r="AL277" s="125"/>
      <c r="AM277" s="126"/>
      <c r="AN277" s="62"/>
      <c r="AO277" s="62"/>
      <c r="AP277" s="85"/>
      <c r="AX277" s="85"/>
      <c r="AY277" s="85"/>
      <c r="AZ277" s="62"/>
      <c r="BA277" s="62"/>
      <c r="BB277" s="62"/>
      <c r="BC277" s="62"/>
      <c r="BD277" s="85"/>
      <c r="BE277" s="113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8"/>
      <c r="BT277" s="88"/>
      <c r="BU277" s="86"/>
      <c r="BV277" s="81"/>
      <c r="BW277" s="81"/>
      <c r="BX277" s="89"/>
      <c r="BY277" s="89"/>
      <c r="BZ277" s="89"/>
      <c r="CA277" s="89"/>
      <c r="CB277" s="89"/>
      <c r="CC277" s="89"/>
      <c r="CD277" s="65"/>
      <c r="CL277" s="66"/>
    </row>
    <row r="278" spans="3:90" s="61" customFormat="1" x14ac:dyDescent="0.25">
      <c r="C278" s="62"/>
      <c r="D278" s="81"/>
      <c r="E278" s="64">
        <v>5</v>
      </c>
      <c r="F278" s="65"/>
      <c r="I278" s="66"/>
      <c r="J278" s="65"/>
      <c r="N278" s="65"/>
      <c r="T278" s="83"/>
      <c r="U278" s="76" t="s">
        <v>63</v>
      </c>
      <c r="V278" s="73" t="s">
        <v>43</v>
      </c>
      <c r="W278" s="84"/>
      <c r="X278" s="63">
        <f>BW278</f>
        <v>18</v>
      </c>
      <c r="Y278" s="120" t="s">
        <v>50</v>
      </c>
      <c r="Z278" s="121" t="s">
        <v>233</v>
      </c>
      <c r="AA278" s="74"/>
      <c r="AB278" s="122"/>
      <c r="AC278" s="122"/>
      <c r="AD278" s="122"/>
      <c r="AE278" s="129"/>
      <c r="AF278" s="129"/>
      <c r="AG278" s="122"/>
      <c r="AH278" s="122"/>
      <c r="AI278" s="122"/>
      <c r="AJ278" s="122"/>
      <c r="AK278" s="122"/>
      <c r="AL278" s="122"/>
      <c r="AM278" s="123"/>
      <c r="AN278" s="72" t="s">
        <v>55</v>
      </c>
      <c r="AO278" s="76"/>
      <c r="AP278" s="74" t="s">
        <v>30</v>
      </c>
      <c r="AQ278" s="68"/>
      <c r="AR278" s="68"/>
      <c r="AS278" s="68"/>
      <c r="AT278" s="68"/>
      <c r="AU278" s="68"/>
      <c r="AV278" s="68"/>
      <c r="AW278" s="68"/>
      <c r="AX278" s="74"/>
      <c r="AY278" s="74"/>
      <c r="AZ278" s="76"/>
      <c r="BA278" s="76"/>
      <c r="BB278" s="76"/>
      <c r="BC278" s="76"/>
      <c r="BD278" s="74"/>
      <c r="BE278" s="78" t="s">
        <v>50</v>
      </c>
      <c r="BF278" s="68" t="s">
        <v>21</v>
      </c>
      <c r="BG278" s="68"/>
      <c r="BH278" s="68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9">
        <v>18</v>
      </c>
      <c r="BT278" s="79">
        <v>0</v>
      </c>
      <c r="BU278" s="75"/>
      <c r="BV278" s="63" t="str">
        <f t="shared" ref="BV278" si="27">IF(BW278&lt;&gt;"",IF(BW278=CB278+BZ278,"完了","未完"),"")</f>
        <v>未完</v>
      </c>
      <c r="BW278" s="63">
        <f>SUM(BS278:BT280)</f>
        <v>18</v>
      </c>
      <c r="BX278" s="80">
        <v>0</v>
      </c>
      <c r="BY278" s="80">
        <v>0</v>
      </c>
      <c r="BZ278" s="80">
        <v>0</v>
      </c>
      <c r="CA278" s="80">
        <f>BW278-(BX278+BY278+BZ278)</f>
        <v>18</v>
      </c>
      <c r="CB278" s="80">
        <v>0</v>
      </c>
      <c r="CC278" s="80">
        <v>0</v>
      </c>
      <c r="CD278" s="67"/>
      <c r="CE278" s="68"/>
      <c r="CF278" s="68"/>
      <c r="CG278" s="68"/>
      <c r="CH278" s="68"/>
      <c r="CI278" s="68"/>
      <c r="CJ278" s="68"/>
      <c r="CK278" s="68"/>
      <c r="CL278" s="69"/>
    </row>
    <row r="279" spans="3:90" s="61" customFormat="1" x14ac:dyDescent="0.25">
      <c r="C279" s="62"/>
      <c r="D279" s="81"/>
      <c r="E279" s="82"/>
      <c r="F279" s="65"/>
      <c r="I279" s="66"/>
      <c r="J279" s="65"/>
      <c r="N279" s="65"/>
      <c r="T279" s="83"/>
      <c r="U279" s="62"/>
      <c r="V279" s="84"/>
      <c r="W279" s="84"/>
      <c r="X279" s="62"/>
      <c r="Y279" s="92" t="s">
        <v>53</v>
      </c>
      <c r="Z279" s="95" t="s">
        <v>548</v>
      </c>
      <c r="AA279" s="95"/>
      <c r="AB279" s="125"/>
      <c r="AC279" s="125"/>
      <c r="AD279" s="125"/>
      <c r="AE279" s="91"/>
      <c r="AF279" s="91"/>
      <c r="AG279" s="125"/>
      <c r="AH279" s="125"/>
      <c r="AI279" s="125"/>
      <c r="AJ279" s="125"/>
      <c r="AK279" s="125"/>
      <c r="AL279" s="125"/>
      <c r="AM279" s="126"/>
      <c r="AN279" s="71"/>
      <c r="AO279" s="62"/>
      <c r="AP279" s="85" t="s">
        <v>52</v>
      </c>
      <c r="AX279" s="85"/>
      <c r="AY279" s="85"/>
      <c r="AZ279" s="62"/>
      <c r="BA279" s="62"/>
      <c r="BB279" s="62"/>
      <c r="BC279" s="62"/>
      <c r="BD279" s="85"/>
      <c r="BE279" s="113" t="s">
        <v>50</v>
      </c>
      <c r="BF279" s="61" t="s">
        <v>134</v>
      </c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8"/>
      <c r="BT279" s="88"/>
      <c r="BU279" s="86"/>
      <c r="BV279" s="81"/>
      <c r="BW279" s="81"/>
      <c r="BX279" s="89"/>
      <c r="BY279" s="89"/>
      <c r="BZ279" s="89"/>
      <c r="CA279" s="89"/>
      <c r="CB279" s="89"/>
      <c r="CC279" s="89"/>
      <c r="CD279" s="65"/>
      <c r="CL279" s="66"/>
    </row>
    <row r="280" spans="3:90" s="61" customFormat="1" x14ac:dyDescent="0.25">
      <c r="C280" s="62"/>
      <c r="D280" s="81"/>
      <c r="E280" s="82"/>
      <c r="F280" s="65"/>
      <c r="I280" s="66"/>
      <c r="J280" s="65"/>
      <c r="N280" s="65"/>
      <c r="T280" s="83"/>
      <c r="U280" s="62"/>
      <c r="V280" s="84"/>
      <c r="W280" s="84"/>
      <c r="X280" s="62"/>
      <c r="Y280" s="92"/>
      <c r="Z280" s="95" t="s">
        <v>57</v>
      </c>
      <c r="AA280" s="85" t="s">
        <v>549</v>
      </c>
      <c r="AB280" s="125"/>
      <c r="AC280" s="125"/>
      <c r="AD280" s="125"/>
      <c r="AE280" s="91"/>
      <c r="AF280" s="91"/>
      <c r="AG280" s="125"/>
      <c r="AH280" s="125"/>
      <c r="AI280" s="125"/>
      <c r="AJ280" s="125"/>
      <c r="AK280" s="125"/>
      <c r="AL280" s="125"/>
      <c r="AM280" s="126"/>
      <c r="AN280" s="71" t="s">
        <v>84</v>
      </c>
      <c r="AO280" s="62"/>
      <c r="AP280" s="85" t="s">
        <v>137</v>
      </c>
      <c r="AX280" s="85"/>
      <c r="AY280" s="85"/>
      <c r="AZ280" s="62"/>
      <c r="BA280" s="62"/>
      <c r="BB280" s="62"/>
      <c r="BC280" s="62"/>
      <c r="BD280" s="85"/>
      <c r="BE280" s="113" t="s">
        <v>50</v>
      </c>
      <c r="BF280" s="61" t="s">
        <v>133</v>
      </c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8"/>
      <c r="BT280" s="88"/>
      <c r="BU280" s="86"/>
      <c r="BV280" s="81"/>
      <c r="BW280" s="81"/>
      <c r="BX280" s="89"/>
      <c r="BY280" s="89"/>
      <c r="BZ280" s="89"/>
      <c r="CA280" s="89"/>
      <c r="CB280" s="89"/>
      <c r="CC280" s="89"/>
      <c r="CD280" s="65"/>
      <c r="CL280" s="66"/>
    </row>
    <row r="281" spans="3:90" s="61" customFormat="1" x14ac:dyDescent="0.25">
      <c r="C281" s="62"/>
      <c r="D281" s="81"/>
      <c r="E281" s="82"/>
      <c r="F281" s="65"/>
      <c r="I281" s="66"/>
      <c r="J281" s="65"/>
      <c r="N281" s="65"/>
      <c r="T281" s="83"/>
      <c r="U281" s="62"/>
      <c r="V281" s="84"/>
      <c r="W281" s="84"/>
      <c r="X281" s="62"/>
      <c r="Y281" s="92"/>
      <c r="Z281" s="95"/>
      <c r="AA281" s="85"/>
      <c r="AB281" s="125"/>
      <c r="AC281" s="125"/>
      <c r="AD281" s="125"/>
      <c r="AE281" s="91"/>
      <c r="AF281" s="91"/>
      <c r="AG281" s="125"/>
      <c r="AH281" s="125"/>
      <c r="AI281" s="125"/>
      <c r="AJ281" s="125"/>
      <c r="AK281" s="125"/>
      <c r="AL281" s="125"/>
      <c r="AM281" s="126"/>
      <c r="AN281" s="71"/>
      <c r="AO281" s="62"/>
      <c r="AP281" s="85" t="s">
        <v>52</v>
      </c>
      <c r="AX281" s="85"/>
      <c r="AY281" s="85"/>
      <c r="AZ281" s="62"/>
      <c r="BA281" s="62"/>
      <c r="BB281" s="62"/>
      <c r="BC281" s="62"/>
      <c r="BD281" s="85"/>
      <c r="BE281" s="113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8"/>
      <c r="BT281" s="88"/>
      <c r="BU281" s="86"/>
      <c r="BV281" s="81"/>
      <c r="BW281" s="81"/>
      <c r="BX281" s="89"/>
      <c r="BY281" s="89"/>
      <c r="BZ281" s="89"/>
      <c r="CA281" s="89"/>
      <c r="CB281" s="89"/>
      <c r="CC281" s="89"/>
      <c r="CD281" s="65"/>
      <c r="CL281" s="66"/>
    </row>
    <row r="282" spans="3:90" s="61" customFormat="1" x14ac:dyDescent="0.25">
      <c r="C282" s="62"/>
      <c r="D282" s="81"/>
      <c r="E282" s="82"/>
      <c r="F282" s="65"/>
      <c r="I282" s="66"/>
      <c r="J282" s="65"/>
      <c r="N282" s="65"/>
      <c r="T282" s="83"/>
      <c r="U282" s="62"/>
      <c r="V282" s="84"/>
      <c r="W282" s="84"/>
      <c r="X282" s="62"/>
      <c r="Y282" s="92"/>
      <c r="Z282" s="95"/>
      <c r="AA282" s="85"/>
      <c r="AB282" s="125"/>
      <c r="AC282" s="125"/>
      <c r="AD282" s="125"/>
      <c r="AE282" s="91"/>
      <c r="AF282" s="91"/>
      <c r="AG282" s="125"/>
      <c r="AH282" s="125"/>
      <c r="AI282" s="125"/>
      <c r="AJ282" s="125"/>
      <c r="AK282" s="125"/>
      <c r="AL282" s="125"/>
      <c r="AM282" s="126"/>
      <c r="AN282" s="62" t="s">
        <v>66</v>
      </c>
      <c r="AO282" s="62"/>
      <c r="AP282" s="85" t="s">
        <v>138</v>
      </c>
      <c r="AQ282" s="61" t="s">
        <v>359</v>
      </c>
      <c r="AT282" s="61" t="s">
        <v>419</v>
      </c>
      <c r="AX282" s="85"/>
      <c r="AY282" s="85"/>
      <c r="AZ282" s="62"/>
      <c r="BA282" s="62"/>
      <c r="BB282" s="62"/>
      <c r="BC282" s="62"/>
      <c r="BD282" s="85"/>
      <c r="BE282" s="113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8"/>
      <c r="BT282" s="88"/>
      <c r="BU282" s="86"/>
      <c r="BV282" s="81"/>
      <c r="BW282" s="81"/>
      <c r="BX282" s="89"/>
      <c r="BY282" s="89"/>
      <c r="BZ282" s="89"/>
      <c r="CA282" s="89"/>
      <c r="CB282" s="89"/>
      <c r="CC282" s="89"/>
      <c r="CD282" s="65"/>
      <c r="CL282" s="66"/>
    </row>
    <row r="283" spans="3:90" s="61" customFormat="1" x14ac:dyDescent="0.25">
      <c r="C283" s="62"/>
      <c r="D283" s="81"/>
      <c r="E283" s="82"/>
      <c r="F283" s="65"/>
      <c r="I283" s="66"/>
      <c r="J283" s="65"/>
      <c r="N283" s="65"/>
      <c r="T283" s="83"/>
      <c r="U283" s="62"/>
      <c r="V283" s="84"/>
      <c r="W283" s="84"/>
      <c r="X283" s="62"/>
      <c r="Y283" s="92"/>
      <c r="Z283" s="95"/>
      <c r="AA283" s="85"/>
      <c r="AB283" s="125"/>
      <c r="AC283" s="125"/>
      <c r="AD283" s="125"/>
      <c r="AE283" s="91"/>
      <c r="AF283" s="91"/>
      <c r="AG283" s="125"/>
      <c r="AH283" s="125"/>
      <c r="AI283" s="125"/>
      <c r="AJ283" s="125"/>
      <c r="AK283" s="125"/>
      <c r="AL283" s="125"/>
      <c r="AM283" s="126"/>
      <c r="AN283" s="62"/>
      <c r="AO283" s="62"/>
      <c r="AP283" s="85" t="s">
        <v>52</v>
      </c>
      <c r="AX283" s="85"/>
      <c r="AY283" s="85"/>
      <c r="AZ283" s="62"/>
      <c r="BA283" s="62"/>
      <c r="BB283" s="62"/>
      <c r="BC283" s="62"/>
      <c r="BD283" s="85"/>
      <c r="BE283" s="113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8"/>
      <c r="BT283" s="88"/>
      <c r="BU283" s="86"/>
      <c r="BV283" s="81"/>
      <c r="BW283" s="81"/>
      <c r="BX283" s="89"/>
      <c r="BY283" s="89"/>
      <c r="BZ283" s="89"/>
      <c r="CA283" s="89"/>
      <c r="CB283" s="89"/>
      <c r="CC283" s="89"/>
      <c r="CD283" s="65"/>
      <c r="CL283" s="66"/>
    </row>
    <row r="284" spans="3:90" s="61" customFormat="1" x14ac:dyDescent="0.25">
      <c r="C284" s="62"/>
      <c r="D284" s="81"/>
      <c r="E284" s="82"/>
      <c r="F284" s="65"/>
      <c r="I284" s="66"/>
      <c r="J284" s="65"/>
      <c r="N284" s="65"/>
      <c r="T284" s="83"/>
      <c r="U284" s="62"/>
      <c r="V284" s="84"/>
      <c r="W284" s="84"/>
      <c r="X284" s="62"/>
      <c r="Y284" s="92"/>
      <c r="Z284" s="95"/>
      <c r="AA284" s="85"/>
      <c r="AB284" s="125"/>
      <c r="AC284" s="125"/>
      <c r="AD284" s="125"/>
      <c r="AE284" s="91"/>
      <c r="AF284" s="91"/>
      <c r="AG284" s="125"/>
      <c r="AH284" s="125"/>
      <c r="AI284" s="125"/>
      <c r="AJ284" s="125"/>
      <c r="AK284" s="125"/>
      <c r="AL284" s="125"/>
      <c r="AM284" s="126"/>
      <c r="AN284" s="62" t="s">
        <v>71</v>
      </c>
      <c r="AO284" s="62"/>
      <c r="AP284" s="85" t="s">
        <v>132</v>
      </c>
      <c r="AX284" s="85"/>
      <c r="AY284" s="85"/>
      <c r="AZ284" s="62"/>
      <c r="BA284" s="62"/>
      <c r="BB284" s="62"/>
      <c r="BC284" s="62"/>
      <c r="BD284" s="85"/>
      <c r="BE284" s="113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8"/>
      <c r="BT284" s="88"/>
      <c r="BU284" s="86"/>
      <c r="BV284" s="81"/>
      <c r="BW284" s="81"/>
      <c r="BX284" s="89"/>
      <c r="BY284" s="89"/>
      <c r="BZ284" s="89"/>
      <c r="CA284" s="89"/>
      <c r="CB284" s="89"/>
      <c r="CC284" s="89"/>
      <c r="CD284" s="65"/>
      <c r="CL284" s="66"/>
    </row>
    <row r="285" spans="3:90" s="61" customFormat="1" x14ac:dyDescent="0.25">
      <c r="C285" s="62"/>
      <c r="D285" s="81"/>
      <c r="E285" s="82"/>
      <c r="F285" s="65"/>
      <c r="I285" s="66"/>
      <c r="J285" s="65"/>
      <c r="N285" s="65"/>
      <c r="T285" s="83"/>
      <c r="U285" s="62"/>
      <c r="V285" s="84"/>
      <c r="W285" s="84"/>
      <c r="X285" s="62"/>
      <c r="Y285" s="92"/>
      <c r="Z285" s="95"/>
      <c r="AA285" s="85"/>
      <c r="AB285" s="125"/>
      <c r="AC285" s="125"/>
      <c r="AD285" s="125"/>
      <c r="AE285" s="91"/>
      <c r="AF285" s="91"/>
      <c r="AG285" s="125"/>
      <c r="AH285" s="125"/>
      <c r="AI285" s="125"/>
      <c r="AJ285" s="125"/>
      <c r="AK285" s="125"/>
      <c r="AL285" s="125"/>
      <c r="AM285" s="126"/>
      <c r="AN285" s="62"/>
      <c r="AO285" s="62"/>
      <c r="AP285" s="85"/>
      <c r="AX285" s="85"/>
      <c r="AY285" s="85"/>
      <c r="AZ285" s="62"/>
      <c r="BA285" s="62"/>
      <c r="BB285" s="62"/>
      <c r="BC285" s="62"/>
      <c r="BD285" s="85"/>
      <c r="BE285" s="113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8"/>
      <c r="BT285" s="88"/>
      <c r="BU285" s="86"/>
      <c r="BV285" s="81"/>
      <c r="BW285" s="81"/>
      <c r="BX285" s="89"/>
      <c r="BY285" s="89"/>
      <c r="BZ285" s="89"/>
      <c r="CA285" s="89"/>
      <c r="CB285" s="89"/>
      <c r="CC285" s="89"/>
      <c r="CD285" s="65"/>
      <c r="CL285" s="66"/>
    </row>
    <row r="286" spans="3:90" s="61" customFormat="1" x14ac:dyDescent="0.25">
      <c r="C286" s="62"/>
      <c r="D286" s="81"/>
      <c r="E286" s="82"/>
      <c r="F286" s="65"/>
      <c r="I286" s="66"/>
      <c r="J286" s="65"/>
      <c r="N286" s="65"/>
      <c r="T286" s="83"/>
      <c r="U286" s="62"/>
      <c r="V286" s="84"/>
      <c r="W286" s="84"/>
      <c r="X286" s="62"/>
      <c r="Y286" s="92"/>
      <c r="Z286" s="95"/>
      <c r="AA286" s="85"/>
      <c r="AB286" s="125"/>
      <c r="AC286" s="125"/>
      <c r="AD286" s="125"/>
      <c r="AE286" s="91"/>
      <c r="AF286" s="91"/>
      <c r="AG286" s="125"/>
      <c r="AH286" s="125"/>
      <c r="AI286" s="125"/>
      <c r="AJ286" s="125"/>
      <c r="AK286" s="125"/>
      <c r="AL286" s="125"/>
      <c r="AM286" s="126"/>
      <c r="AN286" s="62"/>
      <c r="AO286" s="62"/>
      <c r="AP286" s="85"/>
      <c r="AX286" s="85"/>
      <c r="AY286" s="85"/>
      <c r="AZ286" s="62"/>
      <c r="BA286" s="62"/>
      <c r="BB286" s="62"/>
      <c r="BC286" s="62"/>
      <c r="BD286" s="85"/>
      <c r="BE286" s="113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8"/>
      <c r="BT286" s="88"/>
      <c r="BU286" s="86"/>
      <c r="BV286" s="81"/>
      <c r="BW286" s="81"/>
      <c r="BX286" s="89"/>
      <c r="BY286" s="89"/>
      <c r="BZ286" s="89"/>
      <c r="CA286" s="89"/>
      <c r="CB286" s="89"/>
      <c r="CC286" s="89"/>
      <c r="CD286" s="65"/>
      <c r="CL286" s="66"/>
    </row>
    <row r="287" spans="3:90" s="61" customFormat="1" x14ac:dyDescent="0.25">
      <c r="C287" s="62"/>
      <c r="D287" s="81"/>
      <c r="E287" s="64">
        <v>6</v>
      </c>
      <c r="F287" s="65"/>
      <c r="I287" s="66"/>
      <c r="J287" s="65"/>
      <c r="N287" s="65"/>
      <c r="T287" s="83"/>
      <c r="U287" s="76" t="s">
        <v>63</v>
      </c>
      <c r="V287" s="73" t="s">
        <v>43</v>
      </c>
      <c r="W287" s="84"/>
      <c r="X287" s="63">
        <f>BW287</f>
        <v>18</v>
      </c>
      <c r="Y287" s="120" t="s">
        <v>50</v>
      </c>
      <c r="Z287" s="121" t="s">
        <v>534</v>
      </c>
      <c r="AA287" s="74"/>
      <c r="AB287" s="122"/>
      <c r="AC287" s="122"/>
      <c r="AD287" s="122"/>
      <c r="AE287" s="129"/>
      <c r="AF287" s="129"/>
      <c r="AG287" s="122"/>
      <c r="AH287" s="122"/>
      <c r="AI287" s="122"/>
      <c r="AJ287" s="122"/>
      <c r="AK287" s="122"/>
      <c r="AL287" s="122"/>
      <c r="AM287" s="123"/>
      <c r="AN287" s="72" t="s">
        <v>55</v>
      </c>
      <c r="AO287" s="76"/>
      <c r="AP287" s="74" t="s">
        <v>30</v>
      </c>
      <c r="AQ287" s="68"/>
      <c r="AR287" s="68"/>
      <c r="AS287" s="68"/>
      <c r="AT287" s="68"/>
      <c r="AU287" s="68"/>
      <c r="AV287" s="68"/>
      <c r="AW287" s="68"/>
      <c r="AX287" s="74"/>
      <c r="AY287" s="74"/>
      <c r="AZ287" s="76"/>
      <c r="BA287" s="76"/>
      <c r="BB287" s="76"/>
      <c r="BC287" s="76"/>
      <c r="BD287" s="74"/>
      <c r="BE287" s="78" t="s">
        <v>50</v>
      </c>
      <c r="BF287" s="68" t="s">
        <v>21</v>
      </c>
      <c r="BG287" s="68"/>
      <c r="BH287" s="68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9">
        <v>18</v>
      </c>
      <c r="BT287" s="79">
        <v>0</v>
      </c>
      <c r="BU287" s="75"/>
      <c r="BV287" s="63" t="str">
        <f t="shared" ref="BV287" si="28">IF(BW287&lt;&gt;"",IF(BW287=CB287+BZ287,"完了","未完"),"")</f>
        <v>未完</v>
      </c>
      <c r="BW287" s="63">
        <f>SUM(BS287:BT289)</f>
        <v>18</v>
      </c>
      <c r="BX287" s="80">
        <v>0</v>
      </c>
      <c r="BY287" s="80">
        <v>0</v>
      </c>
      <c r="BZ287" s="80">
        <v>0</v>
      </c>
      <c r="CA287" s="80">
        <f>BW287-(BX287+BY287+BZ287)</f>
        <v>18</v>
      </c>
      <c r="CB287" s="80">
        <v>0</v>
      </c>
      <c r="CC287" s="80">
        <v>0</v>
      </c>
      <c r="CD287" s="67"/>
      <c r="CE287" s="68"/>
      <c r="CF287" s="68"/>
      <c r="CG287" s="68"/>
      <c r="CH287" s="68"/>
      <c r="CI287" s="68"/>
      <c r="CJ287" s="68"/>
      <c r="CK287" s="68"/>
      <c r="CL287" s="69"/>
    </row>
    <row r="288" spans="3:90" s="61" customFormat="1" x14ac:dyDescent="0.25">
      <c r="C288" s="62"/>
      <c r="D288" s="81"/>
      <c r="E288" s="82"/>
      <c r="F288" s="65"/>
      <c r="I288" s="66"/>
      <c r="J288" s="65"/>
      <c r="N288" s="65"/>
      <c r="T288" s="83"/>
      <c r="U288" s="62"/>
      <c r="V288" s="84"/>
      <c r="W288" s="84"/>
      <c r="X288" s="62"/>
      <c r="Y288" s="92" t="s">
        <v>50</v>
      </c>
      <c r="Z288" s="95" t="s">
        <v>535</v>
      </c>
      <c r="AA288" s="85"/>
      <c r="AB288" s="125"/>
      <c r="AC288" s="125"/>
      <c r="AD288" s="125"/>
      <c r="AE288" s="91"/>
      <c r="AF288" s="91"/>
      <c r="AG288" s="125"/>
      <c r="AH288" s="125"/>
      <c r="AI288" s="125"/>
      <c r="AJ288" s="125"/>
      <c r="AK288" s="125"/>
      <c r="AL288" s="125"/>
      <c r="AM288" s="126"/>
      <c r="AN288" s="71"/>
      <c r="AO288" s="62"/>
      <c r="AP288" s="85" t="s">
        <v>52</v>
      </c>
      <c r="AX288" s="85"/>
      <c r="AY288" s="85"/>
      <c r="AZ288" s="62"/>
      <c r="BA288" s="62"/>
      <c r="BB288" s="62"/>
      <c r="BC288" s="62"/>
      <c r="BD288" s="85"/>
      <c r="BE288" s="113" t="s">
        <v>50</v>
      </c>
      <c r="BF288" s="61" t="s">
        <v>134</v>
      </c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8"/>
      <c r="BT288" s="88"/>
      <c r="BU288" s="86"/>
      <c r="BV288" s="81"/>
      <c r="BW288" s="81"/>
      <c r="BX288" s="89"/>
      <c r="BY288" s="89"/>
      <c r="BZ288" s="89"/>
      <c r="CA288" s="89"/>
      <c r="CB288" s="89"/>
      <c r="CC288" s="89"/>
      <c r="CD288" s="65"/>
      <c r="CL288" s="66"/>
    </row>
    <row r="289" spans="3:90" s="61" customFormat="1" x14ac:dyDescent="0.25">
      <c r="C289" s="62"/>
      <c r="D289" s="81"/>
      <c r="E289" s="82"/>
      <c r="F289" s="65"/>
      <c r="I289" s="66"/>
      <c r="J289" s="65"/>
      <c r="N289" s="65"/>
      <c r="T289" s="83"/>
      <c r="U289" s="62"/>
      <c r="V289" s="84"/>
      <c r="W289" s="84"/>
      <c r="X289" s="62"/>
      <c r="Y289" s="92" t="s">
        <v>53</v>
      </c>
      <c r="Z289" s="95" t="s">
        <v>548</v>
      </c>
      <c r="AA289" s="95"/>
      <c r="AB289" s="125"/>
      <c r="AC289" s="125"/>
      <c r="AD289" s="125"/>
      <c r="AE289" s="91"/>
      <c r="AF289" s="91"/>
      <c r="AG289" s="125"/>
      <c r="AH289" s="125"/>
      <c r="AI289" s="125"/>
      <c r="AJ289" s="125"/>
      <c r="AK289" s="125"/>
      <c r="AL289" s="125"/>
      <c r="AM289" s="126"/>
      <c r="AN289" s="71" t="s">
        <v>84</v>
      </c>
      <c r="AO289" s="62"/>
      <c r="AP289" s="61" t="s">
        <v>135</v>
      </c>
      <c r="AQ289" s="61" t="s">
        <v>536</v>
      </c>
      <c r="AX289" s="85"/>
      <c r="AY289" s="85"/>
      <c r="AZ289" s="62"/>
      <c r="BA289" s="62"/>
      <c r="BB289" s="62"/>
      <c r="BC289" s="62"/>
      <c r="BD289" s="85"/>
      <c r="BE289" s="113" t="s">
        <v>50</v>
      </c>
      <c r="BF289" s="61" t="s">
        <v>133</v>
      </c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8"/>
      <c r="BT289" s="88"/>
      <c r="BU289" s="86"/>
      <c r="BV289" s="81"/>
      <c r="BW289" s="81"/>
      <c r="BX289" s="89"/>
      <c r="BY289" s="89"/>
      <c r="BZ289" s="89"/>
      <c r="CA289" s="89"/>
      <c r="CB289" s="89"/>
      <c r="CC289" s="89"/>
      <c r="CD289" s="65"/>
      <c r="CL289" s="66"/>
    </row>
    <row r="290" spans="3:90" s="61" customFormat="1" x14ac:dyDescent="0.25">
      <c r="C290" s="62"/>
      <c r="D290" s="81"/>
      <c r="E290" s="82"/>
      <c r="F290" s="65"/>
      <c r="I290" s="66"/>
      <c r="J290" s="65"/>
      <c r="N290" s="65"/>
      <c r="T290" s="83"/>
      <c r="U290" s="62"/>
      <c r="V290" s="84"/>
      <c r="W290" s="84"/>
      <c r="X290" s="62"/>
      <c r="Y290" s="92"/>
      <c r="Z290" s="95" t="s">
        <v>57</v>
      </c>
      <c r="AA290" s="85" t="s">
        <v>549</v>
      </c>
      <c r="AB290" s="125"/>
      <c r="AC290" s="125"/>
      <c r="AD290" s="125"/>
      <c r="AE290" s="91"/>
      <c r="AF290" s="91"/>
      <c r="AG290" s="125"/>
      <c r="AH290" s="125"/>
      <c r="AI290" s="125"/>
      <c r="AJ290" s="125"/>
      <c r="AK290" s="125"/>
      <c r="AL290" s="125"/>
      <c r="AM290" s="126"/>
      <c r="AN290" s="71"/>
      <c r="AO290" s="62"/>
      <c r="AP290" s="85" t="s">
        <v>52</v>
      </c>
      <c r="AX290" s="85"/>
      <c r="AY290" s="85"/>
      <c r="AZ290" s="62"/>
      <c r="BA290" s="62"/>
      <c r="BB290" s="62"/>
      <c r="BC290" s="62"/>
      <c r="BD290" s="85"/>
      <c r="BE290" s="113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8"/>
      <c r="BT290" s="88"/>
      <c r="BU290" s="86"/>
      <c r="BV290" s="81"/>
      <c r="BW290" s="81"/>
      <c r="BX290" s="89"/>
      <c r="BY290" s="89"/>
      <c r="BZ290" s="89"/>
      <c r="CA290" s="89"/>
      <c r="CB290" s="89"/>
      <c r="CC290" s="89"/>
      <c r="CD290" s="65"/>
      <c r="CL290" s="66"/>
    </row>
    <row r="291" spans="3:90" s="61" customFormat="1" x14ac:dyDescent="0.25">
      <c r="C291" s="62"/>
      <c r="D291" s="81"/>
      <c r="E291" s="82"/>
      <c r="F291" s="65"/>
      <c r="I291" s="66"/>
      <c r="J291" s="65"/>
      <c r="N291" s="65"/>
      <c r="T291" s="83"/>
      <c r="U291" s="62"/>
      <c r="V291" s="84"/>
      <c r="W291" s="84"/>
      <c r="X291" s="62"/>
      <c r="Y291" s="92"/>
      <c r="Z291" s="95"/>
      <c r="AA291" s="85"/>
      <c r="AB291" s="125"/>
      <c r="AC291" s="125"/>
      <c r="AD291" s="125"/>
      <c r="AE291" s="91"/>
      <c r="AF291" s="91"/>
      <c r="AG291" s="125"/>
      <c r="AH291" s="125"/>
      <c r="AI291" s="125"/>
      <c r="AJ291" s="125"/>
      <c r="AK291" s="125"/>
      <c r="AL291" s="125"/>
      <c r="AM291" s="126"/>
      <c r="AN291" s="62" t="s">
        <v>66</v>
      </c>
      <c r="AO291" s="62"/>
      <c r="AP291" s="85" t="s">
        <v>130</v>
      </c>
      <c r="AQ291" s="61" t="s">
        <v>358</v>
      </c>
      <c r="AX291" s="85"/>
      <c r="AY291" s="85"/>
      <c r="AZ291" s="62"/>
      <c r="BA291" s="62"/>
      <c r="BB291" s="62"/>
      <c r="BC291" s="62"/>
      <c r="BD291" s="85"/>
      <c r="BE291" s="113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8"/>
      <c r="BT291" s="88"/>
      <c r="BU291" s="86"/>
      <c r="BV291" s="81"/>
      <c r="BW291" s="81"/>
      <c r="BX291" s="89"/>
      <c r="BY291" s="89"/>
      <c r="BZ291" s="89"/>
      <c r="CA291" s="89"/>
      <c r="CB291" s="89"/>
      <c r="CC291" s="89"/>
      <c r="CD291" s="65"/>
      <c r="CL291" s="66"/>
    </row>
    <row r="292" spans="3:90" s="61" customFormat="1" x14ac:dyDescent="0.25">
      <c r="C292" s="62"/>
      <c r="D292" s="81"/>
      <c r="E292" s="82"/>
      <c r="F292" s="65"/>
      <c r="I292" s="66"/>
      <c r="J292" s="65"/>
      <c r="N292" s="65"/>
      <c r="T292" s="83"/>
      <c r="U292" s="62"/>
      <c r="V292" s="84"/>
      <c r="W292" s="84"/>
      <c r="X292" s="62"/>
      <c r="Y292" s="92"/>
      <c r="Z292" s="95"/>
      <c r="AA292" s="85"/>
      <c r="AB292" s="125"/>
      <c r="AC292" s="125"/>
      <c r="AD292" s="125"/>
      <c r="AE292" s="91"/>
      <c r="AF292" s="91"/>
      <c r="AG292" s="125"/>
      <c r="AH292" s="125"/>
      <c r="AI292" s="125"/>
      <c r="AJ292" s="125"/>
      <c r="AK292" s="125"/>
      <c r="AL292" s="125"/>
      <c r="AM292" s="126"/>
      <c r="AN292" s="62"/>
      <c r="AO292" s="62"/>
      <c r="AP292" s="85"/>
      <c r="AX292" s="85"/>
      <c r="AY292" s="85"/>
      <c r="AZ292" s="62"/>
      <c r="BA292" s="62"/>
      <c r="BB292" s="62"/>
      <c r="BC292" s="62"/>
      <c r="BD292" s="85"/>
      <c r="BE292" s="113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8"/>
      <c r="BT292" s="88"/>
      <c r="BU292" s="86"/>
      <c r="BV292" s="81"/>
      <c r="BW292" s="81"/>
      <c r="BX292" s="89"/>
      <c r="BY292" s="89"/>
      <c r="BZ292" s="89"/>
      <c r="CA292" s="89"/>
      <c r="CB292" s="89"/>
      <c r="CC292" s="89"/>
      <c r="CD292" s="65"/>
      <c r="CL292" s="66"/>
    </row>
    <row r="293" spans="3:90" s="61" customFormat="1" x14ac:dyDescent="0.25">
      <c r="C293" s="62"/>
      <c r="D293" s="81"/>
      <c r="E293" s="82"/>
      <c r="F293" s="65"/>
      <c r="I293" s="66"/>
      <c r="J293" s="65"/>
      <c r="N293" s="65"/>
      <c r="T293" s="83"/>
      <c r="U293" s="62"/>
      <c r="V293" s="84"/>
      <c r="W293" s="84"/>
      <c r="X293" s="62"/>
      <c r="Y293" s="92"/>
      <c r="Z293" s="95"/>
      <c r="AA293" s="85"/>
      <c r="AB293" s="125"/>
      <c r="AC293" s="125"/>
      <c r="AD293" s="125"/>
      <c r="AE293" s="91"/>
      <c r="AF293" s="91"/>
      <c r="AG293" s="125"/>
      <c r="AH293" s="125"/>
      <c r="AI293" s="125"/>
      <c r="AJ293" s="125"/>
      <c r="AK293" s="125"/>
      <c r="AL293" s="125"/>
      <c r="AM293" s="126"/>
      <c r="AN293" s="62"/>
      <c r="AO293" s="62"/>
      <c r="AP293" s="85"/>
      <c r="AX293" s="85"/>
      <c r="AY293" s="85"/>
      <c r="AZ293" s="62"/>
      <c r="BA293" s="62"/>
      <c r="BB293" s="62"/>
      <c r="BC293" s="62"/>
      <c r="BD293" s="85"/>
      <c r="BE293" s="113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8"/>
      <c r="BT293" s="88"/>
      <c r="BU293" s="86"/>
      <c r="BV293" s="81"/>
      <c r="BW293" s="81"/>
      <c r="BX293" s="89"/>
      <c r="BY293" s="89"/>
      <c r="BZ293" s="89"/>
      <c r="CA293" s="89"/>
      <c r="CB293" s="89"/>
      <c r="CC293" s="89"/>
      <c r="CD293" s="65"/>
      <c r="CL293" s="66"/>
    </row>
    <row r="294" spans="3:90" s="61" customFormat="1" x14ac:dyDescent="0.25">
      <c r="C294" s="62"/>
      <c r="D294" s="81"/>
      <c r="E294" s="64">
        <v>7</v>
      </c>
      <c r="F294" s="65"/>
      <c r="I294" s="66"/>
      <c r="J294" s="65"/>
      <c r="N294" s="65"/>
      <c r="T294" s="83"/>
      <c r="U294" s="76" t="s">
        <v>63</v>
      </c>
      <c r="V294" s="73" t="s">
        <v>43</v>
      </c>
      <c r="W294" s="84"/>
      <c r="X294" s="63">
        <f>BW294</f>
        <v>18</v>
      </c>
      <c r="Y294" s="120" t="s">
        <v>50</v>
      </c>
      <c r="Z294" s="121" t="s">
        <v>147</v>
      </c>
      <c r="AA294" s="74"/>
      <c r="AB294" s="122"/>
      <c r="AC294" s="122"/>
      <c r="AD294" s="122"/>
      <c r="AE294" s="129"/>
      <c r="AF294" s="129"/>
      <c r="AG294" s="122"/>
      <c r="AH294" s="122"/>
      <c r="AI294" s="122"/>
      <c r="AJ294" s="122"/>
      <c r="AK294" s="122"/>
      <c r="AL294" s="122"/>
      <c r="AM294" s="123"/>
      <c r="AN294" s="72" t="s">
        <v>55</v>
      </c>
      <c r="AO294" s="76"/>
      <c r="AP294" s="74" t="s">
        <v>30</v>
      </c>
      <c r="AQ294" s="68"/>
      <c r="AR294" s="68"/>
      <c r="AS294" s="68"/>
      <c r="AT294" s="68"/>
      <c r="AU294" s="68"/>
      <c r="AV294" s="68"/>
      <c r="AW294" s="68"/>
      <c r="AX294" s="74"/>
      <c r="AY294" s="74"/>
      <c r="AZ294" s="76"/>
      <c r="BA294" s="76"/>
      <c r="BB294" s="76"/>
      <c r="BC294" s="76"/>
      <c r="BD294" s="74"/>
      <c r="BE294" s="78" t="s">
        <v>50</v>
      </c>
      <c r="BF294" s="68" t="s">
        <v>21</v>
      </c>
      <c r="BG294" s="68"/>
      <c r="BH294" s="68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9">
        <v>18</v>
      </c>
      <c r="BT294" s="79">
        <v>0</v>
      </c>
      <c r="BU294" s="75"/>
      <c r="BV294" s="63" t="str">
        <f t="shared" ref="BV294" si="29">IF(BW294&lt;&gt;"",IF(BW294=CB294+BZ294,"完了","未完"),"")</f>
        <v>未完</v>
      </c>
      <c r="BW294" s="63">
        <f>SUM(BS294:BT296)</f>
        <v>18</v>
      </c>
      <c r="BX294" s="80">
        <v>0</v>
      </c>
      <c r="BY294" s="80">
        <v>0</v>
      </c>
      <c r="BZ294" s="80">
        <v>0</v>
      </c>
      <c r="CA294" s="80">
        <f>BW294-(BX294+BY294+BZ294)</f>
        <v>18</v>
      </c>
      <c r="CB294" s="80">
        <v>0</v>
      </c>
      <c r="CC294" s="80">
        <v>0</v>
      </c>
      <c r="CD294" s="67"/>
      <c r="CE294" s="68"/>
      <c r="CF294" s="68"/>
      <c r="CG294" s="68"/>
      <c r="CH294" s="68"/>
      <c r="CI294" s="68"/>
      <c r="CJ294" s="68"/>
      <c r="CK294" s="68"/>
      <c r="CL294" s="69"/>
    </row>
    <row r="295" spans="3:90" s="61" customFormat="1" x14ac:dyDescent="0.25">
      <c r="C295" s="62"/>
      <c r="D295" s="81"/>
      <c r="E295" s="82"/>
      <c r="F295" s="65"/>
      <c r="I295" s="66"/>
      <c r="J295" s="65"/>
      <c r="N295" s="65"/>
      <c r="T295" s="83"/>
      <c r="U295" s="62"/>
      <c r="V295" s="84"/>
      <c r="W295" s="84"/>
      <c r="X295" s="62"/>
      <c r="Y295" s="92" t="s">
        <v>53</v>
      </c>
      <c r="Z295" s="95" t="s">
        <v>548</v>
      </c>
      <c r="AA295" s="95"/>
      <c r="AB295" s="125"/>
      <c r="AC295" s="125"/>
      <c r="AD295" s="125"/>
      <c r="AE295" s="91"/>
      <c r="AF295" s="91"/>
      <c r="AG295" s="125"/>
      <c r="AH295" s="125"/>
      <c r="AI295" s="125"/>
      <c r="AJ295" s="125"/>
      <c r="AK295" s="125"/>
      <c r="AL295" s="125"/>
      <c r="AM295" s="126"/>
      <c r="AN295" s="71"/>
      <c r="AO295" s="62"/>
      <c r="AP295" s="85" t="s">
        <v>52</v>
      </c>
      <c r="AX295" s="85"/>
      <c r="AY295" s="85"/>
      <c r="AZ295" s="62"/>
      <c r="BA295" s="62"/>
      <c r="BB295" s="62"/>
      <c r="BC295" s="62"/>
      <c r="BD295" s="85"/>
      <c r="BE295" s="113" t="s">
        <v>50</v>
      </c>
      <c r="BF295" s="61" t="s">
        <v>134</v>
      </c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8"/>
      <c r="BT295" s="88"/>
      <c r="BU295" s="86"/>
      <c r="BV295" s="81"/>
      <c r="BW295" s="81"/>
      <c r="BX295" s="89"/>
      <c r="BY295" s="89"/>
      <c r="BZ295" s="89"/>
      <c r="CA295" s="89"/>
      <c r="CB295" s="89"/>
      <c r="CC295" s="89"/>
      <c r="CD295" s="65"/>
      <c r="CL295" s="66"/>
    </row>
    <row r="296" spans="3:90" s="61" customFormat="1" x14ac:dyDescent="0.25">
      <c r="C296" s="62"/>
      <c r="D296" s="81"/>
      <c r="E296" s="82"/>
      <c r="F296" s="65"/>
      <c r="I296" s="66"/>
      <c r="J296" s="65"/>
      <c r="N296" s="65"/>
      <c r="T296" s="83"/>
      <c r="U296" s="62"/>
      <c r="V296" s="84"/>
      <c r="W296" s="84"/>
      <c r="X296" s="62"/>
      <c r="Y296" s="92"/>
      <c r="Z296" s="95" t="s">
        <v>57</v>
      </c>
      <c r="AA296" s="85" t="s">
        <v>549</v>
      </c>
      <c r="AB296" s="125"/>
      <c r="AC296" s="125"/>
      <c r="AD296" s="125"/>
      <c r="AE296" s="91"/>
      <c r="AF296" s="91"/>
      <c r="AG296" s="125"/>
      <c r="AH296" s="125"/>
      <c r="AI296" s="125"/>
      <c r="AJ296" s="125"/>
      <c r="AK296" s="125"/>
      <c r="AL296" s="125"/>
      <c r="AM296" s="126"/>
      <c r="AN296" s="71" t="s">
        <v>84</v>
      </c>
      <c r="AO296" s="62"/>
      <c r="AP296" s="61" t="s">
        <v>135</v>
      </c>
      <c r="AX296" s="85"/>
      <c r="AY296" s="85"/>
      <c r="AZ296" s="62"/>
      <c r="BA296" s="62"/>
      <c r="BB296" s="62"/>
      <c r="BC296" s="62"/>
      <c r="BD296" s="85"/>
      <c r="BE296" s="113" t="s">
        <v>50</v>
      </c>
      <c r="BF296" s="61" t="s">
        <v>133</v>
      </c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8"/>
      <c r="BT296" s="88"/>
      <c r="BU296" s="86"/>
      <c r="BV296" s="81"/>
      <c r="BW296" s="81"/>
      <c r="BX296" s="89"/>
      <c r="BY296" s="89"/>
      <c r="BZ296" s="89"/>
      <c r="CA296" s="89"/>
      <c r="CB296" s="89"/>
      <c r="CC296" s="89"/>
      <c r="CD296" s="65"/>
      <c r="CL296" s="66"/>
    </row>
    <row r="297" spans="3:90" s="61" customFormat="1" x14ac:dyDescent="0.25">
      <c r="C297" s="62"/>
      <c r="D297" s="81"/>
      <c r="E297" s="82"/>
      <c r="F297" s="65"/>
      <c r="I297" s="66"/>
      <c r="J297" s="65"/>
      <c r="N297" s="65"/>
      <c r="T297" s="83"/>
      <c r="U297" s="62"/>
      <c r="V297" s="84"/>
      <c r="W297" s="84"/>
      <c r="X297" s="62"/>
      <c r="Y297" s="92"/>
      <c r="Z297" s="95"/>
      <c r="AA297" s="85"/>
      <c r="AB297" s="125"/>
      <c r="AC297" s="125"/>
      <c r="AD297" s="125"/>
      <c r="AE297" s="91"/>
      <c r="AF297" s="91"/>
      <c r="AG297" s="125"/>
      <c r="AH297" s="125"/>
      <c r="AI297" s="125"/>
      <c r="AJ297" s="125"/>
      <c r="AK297" s="125"/>
      <c r="AL297" s="125"/>
      <c r="AM297" s="126"/>
      <c r="AN297" s="71"/>
      <c r="AO297" s="62"/>
      <c r="AP297" s="85" t="s">
        <v>52</v>
      </c>
      <c r="AX297" s="85"/>
      <c r="AY297" s="85"/>
      <c r="AZ297" s="62"/>
      <c r="BA297" s="62"/>
      <c r="BB297" s="62"/>
      <c r="BC297" s="62"/>
      <c r="BD297" s="85"/>
      <c r="BE297" s="113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8"/>
      <c r="BT297" s="88"/>
      <c r="BU297" s="86"/>
      <c r="BV297" s="81"/>
      <c r="BW297" s="81"/>
      <c r="BX297" s="89"/>
      <c r="BY297" s="89"/>
      <c r="BZ297" s="89"/>
      <c r="CA297" s="89"/>
      <c r="CB297" s="89"/>
      <c r="CC297" s="89"/>
      <c r="CD297" s="65"/>
      <c r="CL297" s="66"/>
    </row>
    <row r="298" spans="3:90" s="61" customFormat="1" x14ac:dyDescent="0.25">
      <c r="C298" s="62"/>
      <c r="D298" s="81"/>
      <c r="E298" s="82"/>
      <c r="F298" s="65"/>
      <c r="I298" s="66"/>
      <c r="J298" s="65"/>
      <c r="N298" s="65"/>
      <c r="T298" s="83"/>
      <c r="U298" s="62"/>
      <c r="V298" s="84"/>
      <c r="W298" s="84"/>
      <c r="X298" s="62"/>
      <c r="Y298" s="92"/>
      <c r="Z298" s="95"/>
      <c r="AA298" s="85"/>
      <c r="AB298" s="125"/>
      <c r="AC298" s="125"/>
      <c r="AD298" s="125"/>
      <c r="AE298" s="91"/>
      <c r="AF298" s="91"/>
      <c r="AG298" s="125"/>
      <c r="AH298" s="125"/>
      <c r="AI298" s="125"/>
      <c r="AJ298" s="125"/>
      <c r="AK298" s="125"/>
      <c r="AL298" s="125"/>
      <c r="AM298" s="126"/>
      <c r="AN298" s="62" t="s">
        <v>66</v>
      </c>
      <c r="AO298" s="62"/>
      <c r="AP298" s="85" t="s">
        <v>131</v>
      </c>
      <c r="AQ298" s="61" t="s">
        <v>78</v>
      </c>
      <c r="AX298" s="85"/>
      <c r="AY298" s="85"/>
      <c r="AZ298" s="62"/>
      <c r="BA298" s="62"/>
      <c r="BB298" s="62"/>
      <c r="BC298" s="62"/>
      <c r="BD298" s="85"/>
      <c r="BE298" s="113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8"/>
      <c r="BT298" s="88"/>
      <c r="BU298" s="86"/>
      <c r="BV298" s="81"/>
      <c r="BW298" s="81"/>
      <c r="BX298" s="89"/>
      <c r="BY298" s="89"/>
      <c r="BZ298" s="89"/>
      <c r="CA298" s="89"/>
      <c r="CB298" s="89"/>
      <c r="CC298" s="89"/>
      <c r="CD298" s="65"/>
      <c r="CL298" s="66"/>
    </row>
    <row r="299" spans="3:90" s="61" customFormat="1" x14ac:dyDescent="0.25">
      <c r="C299" s="62"/>
      <c r="D299" s="81"/>
      <c r="E299" s="82"/>
      <c r="F299" s="65"/>
      <c r="I299" s="66"/>
      <c r="J299" s="65"/>
      <c r="N299" s="65"/>
      <c r="T299" s="83"/>
      <c r="U299" s="62"/>
      <c r="V299" s="84"/>
      <c r="W299" s="84"/>
      <c r="X299" s="62"/>
      <c r="Y299" s="92"/>
      <c r="Z299" s="95"/>
      <c r="AA299" s="85"/>
      <c r="AB299" s="125"/>
      <c r="AC299" s="125"/>
      <c r="AD299" s="125"/>
      <c r="AE299" s="91"/>
      <c r="AF299" s="91"/>
      <c r="AG299" s="125"/>
      <c r="AH299" s="125"/>
      <c r="AI299" s="125"/>
      <c r="AJ299" s="125"/>
      <c r="AK299" s="125"/>
      <c r="AL299" s="125"/>
      <c r="AM299" s="126"/>
      <c r="AN299" s="62"/>
      <c r="AO299" s="62"/>
      <c r="AP299" s="85"/>
      <c r="AX299" s="85"/>
      <c r="AY299" s="85"/>
      <c r="AZ299" s="62"/>
      <c r="BA299" s="62"/>
      <c r="BB299" s="62"/>
      <c r="BC299" s="62"/>
      <c r="BD299" s="85"/>
      <c r="BE299" s="113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8"/>
      <c r="BT299" s="88"/>
      <c r="BU299" s="86"/>
      <c r="BV299" s="81"/>
      <c r="BW299" s="81"/>
      <c r="BX299" s="89"/>
      <c r="BY299" s="89"/>
      <c r="BZ299" s="89"/>
      <c r="CA299" s="89"/>
      <c r="CB299" s="89"/>
      <c r="CC299" s="89"/>
      <c r="CD299" s="65"/>
      <c r="CL299" s="66"/>
    </row>
    <row r="300" spans="3:90" s="61" customFormat="1" x14ac:dyDescent="0.25">
      <c r="C300" s="62"/>
      <c r="D300" s="81"/>
      <c r="E300" s="82"/>
      <c r="F300" s="65"/>
      <c r="I300" s="66"/>
      <c r="J300" s="65"/>
      <c r="N300" s="65"/>
      <c r="T300" s="83"/>
      <c r="U300" s="62"/>
      <c r="V300" s="84"/>
      <c r="W300" s="84"/>
      <c r="X300" s="62"/>
      <c r="Y300" s="92"/>
      <c r="Z300" s="95"/>
      <c r="AA300" s="85"/>
      <c r="AB300" s="125"/>
      <c r="AC300" s="125"/>
      <c r="AD300" s="125"/>
      <c r="AE300" s="91"/>
      <c r="AF300" s="91"/>
      <c r="AG300" s="125"/>
      <c r="AH300" s="125"/>
      <c r="AI300" s="125"/>
      <c r="AJ300" s="125"/>
      <c r="AK300" s="125"/>
      <c r="AL300" s="125"/>
      <c r="AM300" s="126"/>
      <c r="AN300" s="62"/>
      <c r="AO300" s="62"/>
      <c r="AP300" s="85"/>
      <c r="AX300" s="85"/>
      <c r="AY300" s="85"/>
      <c r="AZ300" s="62"/>
      <c r="BA300" s="62"/>
      <c r="BB300" s="62"/>
      <c r="BC300" s="62"/>
      <c r="BD300" s="85"/>
      <c r="BE300" s="113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8"/>
      <c r="BT300" s="88"/>
      <c r="BU300" s="86"/>
      <c r="BV300" s="81"/>
      <c r="BW300" s="81"/>
      <c r="BX300" s="89"/>
      <c r="BY300" s="89"/>
      <c r="BZ300" s="89"/>
      <c r="CA300" s="89"/>
      <c r="CB300" s="89"/>
      <c r="CC300" s="89"/>
      <c r="CD300" s="65"/>
      <c r="CL300" s="66"/>
    </row>
    <row r="301" spans="3:90" s="61" customFormat="1" x14ac:dyDescent="0.25">
      <c r="C301" s="62"/>
      <c r="D301" s="81"/>
      <c r="E301" s="64">
        <v>8</v>
      </c>
      <c r="F301" s="65"/>
      <c r="I301" s="66"/>
      <c r="J301" s="65"/>
      <c r="N301" s="65"/>
      <c r="T301" s="83"/>
      <c r="U301" s="76" t="s">
        <v>63</v>
      </c>
      <c r="V301" s="73" t="s">
        <v>43</v>
      </c>
      <c r="W301" s="84"/>
      <c r="X301" s="63">
        <f>BW301</f>
        <v>18</v>
      </c>
      <c r="Y301" s="120" t="s">
        <v>50</v>
      </c>
      <c r="Z301" s="121" t="s">
        <v>143</v>
      </c>
      <c r="AA301" s="74"/>
      <c r="AB301" s="122"/>
      <c r="AC301" s="122"/>
      <c r="AD301" s="122"/>
      <c r="AE301" s="129"/>
      <c r="AF301" s="129"/>
      <c r="AG301" s="122"/>
      <c r="AH301" s="122"/>
      <c r="AI301" s="122"/>
      <c r="AJ301" s="122"/>
      <c r="AK301" s="122"/>
      <c r="AL301" s="122"/>
      <c r="AM301" s="123"/>
      <c r="AN301" s="72" t="s">
        <v>55</v>
      </c>
      <c r="AO301" s="76"/>
      <c r="AP301" s="74" t="s">
        <v>30</v>
      </c>
      <c r="AQ301" s="122"/>
      <c r="AR301" s="122"/>
      <c r="AS301" s="122"/>
      <c r="AT301" s="122"/>
      <c r="AU301" s="122"/>
      <c r="AV301" s="68"/>
      <c r="AW301" s="68"/>
      <c r="AX301" s="74"/>
      <c r="AY301" s="74"/>
      <c r="AZ301" s="76"/>
      <c r="BA301" s="76"/>
      <c r="BB301" s="76"/>
      <c r="BC301" s="76"/>
      <c r="BD301" s="74"/>
      <c r="BE301" s="78" t="s">
        <v>50</v>
      </c>
      <c r="BF301" s="68" t="s">
        <v>21</v>
      </c>
      <c r="BG301" s="68"/>
      <c r="BH301" s="68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9">
        <v>18</v>
      </c>
      <c r="BT301" s="79">
        <v>0</v>
      </c>
      <c r="BU301" s="75"/>
      <c r="BV301" s="63" t="str">
        <f t="shared" ref="BV301" si="30">IF(BW301&lt;&gt;"",IF(BW301=CB301+BZ301,"完了","未完"),"")</f>
        <v>未完</v>
      </c>
      <c r="BW301" s="63">
        <f>SUM(BS301:BT303)</f>
        <v>18</v>
      </c>
      <c r="BX301" s="80">
        <v>0</v>
      </c>
      <c r="BY301" s="80">
        <v>0</v>
      </c>
      <c r="BZ301" s="80">
        <v>0</v>
      </c>
      <c r="CA301" s="80">
        <f>BW301-(BX301+BY301+BZ301)</f>
        <v>18</v>
      </c>
      <c r="CB301" s="80">
        <v>0</v>
      </c>
      <c r="CC301" s="80">
        <v>0</v>
      </c>
      <c r="CD301" s="67"/>
      <c r="CE301" s="68"/>
      <c r="CF301" s="68"/>
      <c r="CG301" s="68"/>
      <c r="CH301" s="68"/>
      <c r="CI301" s="68"/>
      <c r="CJ301" s="68"/>
      <c r="CK301" s="68"/>
      <c r="CL301" s="69"/>
    </row>
    <row r="302" spans="3:90" s="61" customFormat="1" x14ac:dyDescent="0.25">
      <c r="C302" s="62"/>
      <c r="D302" s="81"/>
      <c r="E302" s="82"/>
      <c r="F302" s="65"/>
      <c r="I302" s="66"/>
      <c r="J302" s="65"/>
      <c r="N302" s="65"/>
      <c r="T302" s="83"/>
      <c r="U302" s="62"/>
      <c r="V302" s="84"/>
      <c r="W302" s="84"/>
      <c r="X302" s="62"/>
      <c r="Y302" s="92" t="s">
        <v>53</v>
      </c>
      <c r="Z302" s="95" t="s">
        <v>548</v>
      </c>
      <c r="AA302" s="95"/>
      <c r="AB302" s="125"/>
      <c r="AC302" s="125"/>
      <c r="AD302" s="125"/>
      <c r="AE302" s="91"/>
      <c r="AF302" s="91"/>
      <c r="AG302" s="125"/>
      <c r="AH302" s="125"/>
      <c r="AI302" s="125"/>
      <c r="AJ302" s="125"/>
      <c r="AK302" s="125"/>
      <c r="AL302" s="125"/>
      <c r="AM302" s="126"/>
      <c r="AN302" s="71"/>
      <c r="AO302" s="62"/>
      <c r="AP302" s="85" t="s">
        <v>52</v>
      </c>
      <c r="AQ302" s="125"/>
      <c r="AR302" s="125"/>
      <c r="AS302" s="125"/>
      <c r="AT302" s="125"/>
      <c r="AU302" s="125"/>
      <c r="AX302" s="85"/>
      <c r="AY302" s="85"/>
      <c r="AZ302" s="62"/>
      <c r="BA302" s="62"/>
      <c r="BB302" s="62"/>
      <c r="BC302" s="62"/>
      <c r="BD302" s="85"/>
      <c r="BE302" s="113" t="s">
        <v>50</v>
      </c>
      <c r="BF302" s="61" t="s">
        <v>134</v>
      </c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8"/>
      <c r="BT302" s="88"/>
      <c r="BU302" s="86"/>
      <c r="BV302" s="81"/>
      <c r="BW302" s="81"/>
      <c r="BX302" s="89"/>
      <c r="BY302" s="89"/>
      <c r="BZ302" s="89"/>
      <c r="CA302" s="89"/>
      <c r="CB302" s="89"/>
      <c r="CC302" s="89"/>
      <c r="CD302" s="65"/>
      <c r="CL302" s="66"/>
    </row>
    <row r="303" spans="3:90" s="61" customFormat="1" x14ac:dyDescent="0.25">
      <c r="C303" s="62"/>
      <c r="D303" s="81"/>
      <c r="E303" s="82"/>
      <c r="F303" s="65"/>
      <c r="I303" s="66"/>
      <c r="J303" s="65"/>
      <c r="N303" s="65"/>
      <c r="T303" s="83"/>
      <c r="U303" s="62"/>
      <c r="V303" s="84"/>
      <c r="W303" s="84"/>
      <c r="X303" s="62"/>
      <c r="Y303" s="92"/>
      <c r="Z303" s="95" t="s">
        <v>57</v>
      </c>
      <c r="AA303" s="85" t="s">
        <v>549</v>
      </c>
      <c r="AB303" s="125"/>
      <c r="AC303" s="125"/>
      <c r="AD303" s="125"/>
      <c r="AE303" s="91"/>
      <c r="AF303" s="91"/>
      <c r="AG303" s="125"/>
      <c r="AH303" s="125"/>
      <c r="AI303" s="125"/>
      <c r="AJ303" s="125"/>
      <c r="AK303" s="125"/>
      <c r="AL303" s="125"/>
      <c r="AM303" s="126"/>
      <c r="AN303" s="71" t="s">
        <v>84</v>
      </c>
      <c r="AO303" s="62"/>
      <c r="AP303" s="61" t="s">
        <v>135</v>
      </c>
      <c r="AQ303" s="125"/>
      <c r="AR303" s="125"/>
      <c r="AS303" s="125"/>
      <c r="AT303" s="125"/>
      <c r="AU303" s="125"/>
      <c r="AX303" s="85"/>
      <c r="AY303" s="85"/>
      <c r="AZ303" s="62"/>
      <c r="BA303" s="62"/>
      <c r="BB303" s="62"/>
      <c r="BC303" s="62"/>
      <c r="BD303" s="85"/>
      <c r="BE303" s="113" t="s">
        <v>50</v>
      </c>
      <c r="BF303" s="61" t="s">
        <v>133</v>
      </c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8"/>
      <c r="BT303" s="88"/>
      <c r="BU303" s="86"/>
      <c r="BV303" s="81"/>
      <c r="BW303" s="81"/>
      <c r="BX303" s="89"/>
      <c r="BY303" s="89"/>
      <c r="BZ303" s="89"/>
      <c r="CA303" s="89"/>
      <c r="CB303" s="89"/>
      <c r="CC303" s="89"/>
      <c r="CD303" s="65"/>
      <c r="CL303" s="66"/>
    </row>
    <row r="304" spans="3:90" s="61" customFormat="1" x14ac:dyDescent="0.25">
      <c r="C304" s="62"/>
      <c r="D304" s="81"/>
      <c r="E304" s="82"/>
      <c r="F304" s="65"/>
      <c r="I304" s="66"/>
      <c r="J304" s="65"/>
      <c r="N304" s="65"/>
      <c r="T304" s="83"/>
      <c r="U304" s="62"/>
      <c r="V304" s="84"/>
      <c r="W304" s="84"/>
      <c r="X304" s="62"/>
      <c r="Y304" s="92"/>
      <c r="Z304" s="95"/>
      <c r="AA304" s="85"/>
      <c r="AB304" s="125"/>
      <c r="AC304" s="125"/>
      <c r="AD304" s="125"/>
      <c r="AE304" s="91"/>
      <c r="AF304" s="91"/>
      <c r="AG304" s="125"/>
      <c r="AH304" s="125"/>
      <c r="AI304" s="125"/>
      <c r="AJ304" s="125"/>
      <c r="AK304" s="125"/>
      <c r="AL304" s="125"/>
      <c r="AM304" s="126"/>
      <c r="AN304" s="71"/>
      <c r="AO304" s="62"/>
      <c r="AP304" s="85" t="s">
        <v>52</v>
      </c>
      <c r="AQ304" s="125"/>
      <c r="AR304" s="125"/>
      <c r="AS304" s="125"/>
      <c r="AT304" s="125"/>
      <c r="AU304" s="125"/>
      <c r="AX304" s="85"/>
      <c r="AY304" s="85"/>
      <c r="AZ304" s="62"/>
      <c r="BA304" s="62"/>
      <c r="BB304" s="62"/>
      <c r="BC304" s="62"/>
      <c r="BD304" s="85"/>
      <c r="BE304" s="113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8"/>
      <c r="BT304" s="88"/>
      <c r="BU304" s="86"/>
      <c r="BV304" s="81"/>
      <c r="BW304" s="81"/>
      <c r="BX304" s="89"/>
      <c r="BY304" s="89"/>
      <c r="BZ304" s="89"/>
      <c r="CA304" s="89"/>
      <c r="CB304" s="89"/>
      <c r="CC304" s="89"/>
      <c r="CD304" s="65"/>
      <c r="CL304" s="66"/>
    </row>
    <row r="305" spans="3:90" s="61" customFormat="1" x14ac:dyDescent="0.25">
      <c r="C305" s="62"/>
      <c r="D305" s="81"/>
      <c r="E305" s="82"/>
      <c r="F305" s="65"/>
      <c r="I305" s="66"/>
      <c r="J305" s="65"/>
      <c r="N305" s="65"/>
      <c r="T305" s="83"/>
      <c r="U305" s="62"/>
      <c r="V305" s="84"/>
      <c r="W305" s="84"/>
      <c r="X305" s="62"/>
      <c r="Y305" s="92"/>
      <c r="Z305" s="95"/>
      <c r="AA305" s="85"/>
      <c r="AB305" s="125"/>
      <c r="AC305" s="125"/>
      <c r="AD305" s="125"/>
      <c r="AE305" s="91"/>
      <c r="AF305" s="91"/>
      <c r="AG305" s="125"/>
      <c r="AH305" s="125"/>
      <c r="AI305" s="125"/>
      <c r="AJ305" s="125"/>
      <c r="AK305" s="125"/>
      <c r="AL305" s="125"/>
      <c r="AM305" s="126"/>
      <c r="AN305" s="62" t="s">
        <v>66</v>
      </c>
      <c r="AO305" s="62"/>
      <c r="AP305" s="85" t="s">
        <v>130</v>
      </c>
      <c r="AQ305" s="61" t="s">
        <v>79</v>
      </c>
      <c r="AR305" s="125"/>
      <c r="AS305" s="125"/>
      <c r="AT305" s="125"/>
      <c r="AU305" s="125"/>
      <c r="AX305" s="85"/>
      <c r="AY305" s="85"/>
      <c r="AZ305" s="62"/>
      <c r="BA305" s="62"/>
      <c r="BB305" s="62"/>
      <c r="BC305" s="62"/>
      <c r="BD305" s="85"/>
      <c r="BE305" s="113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8"/>
      <c r="BT305" s="88"/>
      <c r="BU305" s="86"/>
      <c r="BV305" s="81"/>
      <c r="BW305" s="81"/>
      <c r="BX305" s="89"/>
      <c r="BY305" s="89"/>
      <c r="BZ305" s="89"/>
      <c r="CA305" s="89"/>
      <c r="CB305" s="89"/>
      <c r="CC305" s="89"/>
      <c r="CD305" s="65"/>
      <c r="CL305" s="66"/>
    </row>
    <row r="306" spans="3:90" s="61" customFormat="1" x14ac:dyDescent="0.25">
      <c r="C306" s="62"/>
      <c r="D306" s="81"/>
      <c r="E306" s="82"/>
      <c r="F306" s="65"/>
      <c r="I306" s="66"/>
      <c r="J306" s="65"/>
      <c r="N306" s="65"/>
      <c r="T306" s="83"/>
      <c r="U306" s="62"/>
      <c r="V306" s="84"/>
      <c r="W306" s="84"/>
      <c r="X306" s="62"/>
      <c r="Y306" s="92"/>
      <c r="Z306" s="95"/>
      <c r="AA306" s="85"/>
      <c r="AB306" s="125"/>
      <c r="AC306" s="125"/>
      <c r="AD306" s="125"/>
      <c r="AE306" s="91"/>
      <c r="AF306" s="91"/>
      <c r="AG306" s="125"/>
      <c r="AH306" s="125"/>
      <c r="AI306" s="125"/>
      <c r="AJ306" s="125"/>
      <c r="AK306" s="125"/>
      <c r="AL306" s="125"/>
      <c r="AM306" s="126"/>
      <c r="AN306" s="62"/>
      <c r="AO306" s="62"/>
      <c r="AP306" s="85" t="s">
        <v>52</v>
      </c>
      <c r="AQ306" s="125"/>
      <c r="AR306" s="125"/>
      <c r="AS306" s="125"/>
      <c r="AT306" s="125"/>
      <c r="AU306" s="125"/>
      <c r="AX306" s="85"/>
      <c r="AY306" s="85"/>
      <c r="AZ306" s="62"/>
      <c r="BA306" s="62"/>
      <c r="BB306" s="62"/>
      <c r="BC306" s="62"/>
      <c r="BD306" s="85"/>
      <c r="BE306" s="113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8"/>
      <c r="BT306" s="88"/>
      <c r="BU306" s="86"/>
      <c r="BV306" s="81"/>
      <c r="BW306" s="81"/>
      <c r="BX306" s="89"/>
      <c r="BY306" s="89"/>
      <c r="BZ306" s="89"/>
      <c r="CA306" s="89"/>
      <c r="CB306" s="89"/>
      <c r="CC306" s="89"/>
      <c r="CD306" s="65"/>
      <c r="CL306" s="66"/>
    </row>
    <row r="307" spans="3:90" s="61" customFormat="1" x14ac:dyDescent="0.25">
      <c r="C307" s="62"/>
      <c r="D307" s="81"/>
      <c r="E307" s="82"/>
      <c r="F307" s="65"/>
      <c r="I307" s="66"/>
      <c r="J307" s="65"/>
      <c r="N307" s="65"/>
      <c r="T307" s="83"/>
      <c r="U307" s="62"/>
      <c r="V307" s="84"/>
      <c r="W307" s="84"/>
      <c r="X307" s="62"/>
      <c r="Y307" s="92"/>
      <c r="Z307" s="95"/>
      <c r="AA307" s="85"/>
      <c r="AB307" s="125"/>
      <c r="AC307" s="125"/>
      <c r="AD307" s="125"/>
      <c r="AE307" s="91"/>
      <c r="AF307" s="91"/>
      <c r="AG307" s="125"/>
      <c r="AH307" s="125"/>
      <c r="AI307" s="125"/>
      <c r="AJ307" s="125"/>
      <c r="AK307" s="125"/>
      <c r="AL307" s="125"/>
      <c r="AM307" s="126"/>
      <c r="AN307" s="62" t="s">
        <v>71</v>
      </c>
      <c r="AO307" s="62"/>
      <c r="AP307" s="85" t="s">
        <v>130</v>
      </c>
      <c r="AQ307" s="125"/>
      <c r="AR307" s="125"/>
      <c r="AS307" s="125"/>
      <c r="AT307" s="125"/>
      <c r="AU307" s="125"/>
      <c r="AX307" s="85"/>
      <c r="AY307" s="85"/>
      <c r="AZ307" s="62"/>
      <c r="BA307" s="62"/>
      <c r="BB307" s="62"/>
      <c r="BC307" s="62"/>
      <c r="BD307" s="85"/>
      <c r="BE307" s="113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8"/>
      <c r="BT307" s="88"/>
      <c r="BU307" s="86"/>
      <c r="BV307" s="81"/>
      <c r="BW307" s="81"/>
      <c r="BX307" s="89"/>
      <c r="BY307" s="89"/>
      <c r="BZ307" s="89"/>
      <c r="CA307" s="89"/>
      <c r="CB307" s="89"/>
      <c r="CC307" s="89"/>
      <c r="CD307" s="65"/>
      <c r="CL307" s="66"/>
    </row>
    <row r="308" spans="3:90" s="61" customFormat="1" x14ac:dyDescent="0.25">
      <c r="C308" s="62"/>
      <c r="D308" s="81"/>
      <c r="E308" s="82"/>
      <c r="F308" s="65"/>
      <c r="I308" s="66"/>
      <c r="J308" s="65"/>
      <c r="N308" s="65"/>
      <c r="T308" s="83"/>
      <c r="U308" s="62"/>
      <c r="V308" s="84"/>
      <c r="W308" s="84"/>
      <c r="X308" s="62"/>
      <c r="Y308" s="92"/>
      <c r="Z308" s="95"/>
      <c r="AA308" s="85"/>
      <c r="AB308" s="125"/>
      <c r="AC308" s="125"/>
      <c r="AD308" s="125"/>
      <c r="AE308" s="91"/>
      <c r="AF308" s="91"/>
      <c r="AG308" s="125"/>
      <c r="AH308" s="125"/>
      <c r="AI308" s="125"/>
      <c r="AJ308" s="125"/>
      <c r="AK308" s="125"/>
      <c r="AL308" s="125"/>
      <c r="AM308" s="126"/>
      <c r="AN308" s="62"/>
      <c r="AO308" s="62"/>
      <c r="AP308" s="85"/>
      <c r="AQ308" s="125"/>
      <c r="AR308" s="125"/>
      <c r="AS308" s="125"/>
      <c r="AT308" s="125"/>
      <c r="AU308" s="125"/>
      <c r="AX308" s="85"/>
      <c r="AY308" s="85"/>
      <c r="AZ308" s="62"/>
      <c r="BA308" s="62"/>
      <c r="BB308" s="62"/>
      <c r="BC308" s="62"/>
      <c r="BD308" s="85"/>
      <c r="BE308" s="113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8"/>
      <c r="BT308" s="88"/>
      <c r="BU308" s="86"/>
      <c r="BV308" s="81"/>
      <c r="BW308" s="81"/>
      <c r="BX308" s="89"/>
      <c r="BY308" s="89"/>
      <c r="BZ308" s="89"/>
      <c r="CA308" s="89"/>
      <c r="CB308" s="89"/>
      <c r="CC308" s="89"/>
      <c r="CD308" s="65"/>
      <c r="CL308" s="66"/>
    </row>
    <row r="309" spans="3:90" s="61" customFormat="1" x14ac:dyDescent="0.25">
      <c r="C309" s="62"/>
      <c r="D309" s="81"/>
      <c r="E309" s="82"/>
      <c r="F309" s="65"/>
      <c r="I309" s="66"/>
      <c r="J309" s="65"/>
      <c r="N309" s="65"/>
      <c r="T309" s="83"/>
      <c r="U309" s="62"/>
      <c r="V309" s="84"/>
      <c r="W309" s="84"/>
      <c r="X309" s="62"/>
      <c r="Y309" s="92"/>
      <c r="Z309" s="95"/>
      <c r="AA309" s="85"/>
      <c r="AB309" s="125"/>
      <c r="AC309" s="125"/>
      <c r="AD309" s="125"/>
      <c r="AE309" s="91"/>
      <c r="AF309" s="91"/>
      <c r="AG309" s="125"/>
      <c r="AH309" s="125"/>
      <c r="AI309" s="125"/>
      <c r="AJ309" s="125"/>
      <c r="AK309" s="125"/>
      <c r="AL309" s="125"/>
      <c r="AM309" s="126"/>
      <c r="AN309" s="62"/>
      <c r="AO309" s="62"/>
      <c r="AP309" s="85"/>
      <c r="AX309" s="85"/>
      <c r="AY309" s="85"/>
      <c r="AZ309" s="62"/>
      <c r="BA309" s="62"/>
      <c r="BB309" s="62"/>
      <c r="BC309" s="62"/>
      <c r="BD309" s="85"/>
      <c r="BE309" s="113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8"/>
      <c r="BT309" s="88"/>
      <c r="BU309" s="86"/>
      <c r="BV309" s="81"/>
      <c r="BW309" s="81"/>
      <c r="BX309" s="89"/>
      <c r="BY309" s="89"/>
      <c r="BZ309" s="89"/>
      <c r="CA309" s="89"/>
      <c r="CB309" s="89"/>
      <c r="CC309" s="89"/>
      <c r="CD309" s="65"/>
      <c r="CL309" s="66"/>
    </row>
    <row r="310" spans="3:90" s="61" customFormat="1" x14ac:dyDescent="0.25">
      <c r="C310" s="62"/>
      <c r="D310" s="81"/>
      <c r="E310" s="64">
        <v>9</v>
      </c>
      <c r="F310" s="65"/>
      <c r="I310" s="66"/>
      <c r="J310" s="65"/>
      <c r="N310" s="65"/>
      <c r="T310" s="83"/>
      <c r="U310" s="76" t="s">
        <v>63</v>
      </c>
      <c r="V310" s="73" t="s">
        <v>43</v>
      </c>
      <c r="W310" s="84"/>
      <c r="X310" s="63">
        <f>BW310</f>
        <v>4</v>
      </c>
      <c r="Y310" s="120" t="s">
        <v>50</v>
      </c>
      <c r="Z310" s="121" t="s">
        <v>144</v>
      </c>
      <c r="AA310" s="74"/>
      <c r="AB310" s="122"/>
      <c r="AC310" s="122"/>
      <c r="AD310" s="122"/>
      <c r="AE310" s="129"/>
      <c r="AF310" s="129"/>
      <c r="AG310" s="122"/>
      <c r="AH310" s="122"/>
      <c r="AI310" s="122"/>
      <c r="AJ310" s="122"/>
      <c r="AK310" s="122"/>
      <c r="AL310" s="122"/>
      <c r="AM310" s="123"/>
      <c r="AN310" s="72" t="s">
        <v>55</v>
      </c>
      <c r="AO310" s="76"/>
      <c r="AP310" s="74" t="s">
        <v>145</v>
      </c>
      <c r="AQ310" s="68"/>
      <c r="AR310" s="68"/>
      <c r="AS310" s="68"/>
      <c r="AT310" s="68"/>
      <c r="AU310" s="68"/>
      <c r="AV310" s="68"/>
      <c r="AW310" s="68"/>
      <c r="AX310" s="74"/>
      <c r="AY310" s="74"/>
      <c r="AZ310" s="76"/>
      <c r="BA310" s="76"/>
      <c r="BB310" s="76"/>
      <c r="BC310" s="76"/>
      <c r="BD310" s="74"/>
      <c r="BE310" s="78" t="s">
        <v>50</v>
      </c>
      <c r="BF310" s="68" t="s">
        <v>21</v>
      </c>
      <c r="BG310" s="68"/>
      <c r="BH310" s="68"/>
      <c r="BI310" s="74"/>
      <c r="BJ310" s="74"/>
      <c r="BK310" s="74"/>
      <c r="BL310" s="74"/>
      <c r="BM310" s="74"/>
      <c r="BN310" s="74"/>
      <c r="BO310" s="74"/>
      <c r="BP310" s="74"/>
      <c r="BQ310" s="74"/>
      <c r="BR310" s="74"/>
      <c r="BS310" s="79">
        <v>4</v>
      </c>
      <c r="BT310" s="79">
        <v>0</v>
      </c>
      <c r="BU310" s="75"/>
      <c r="BV310" s="63" t="str">
        <f t="shared" ref="BV310" si="31">IF(BW310&lt;&gt;"",IF(BW310=CB310+BZ310,"完了","未完"),"")</f>
        <v>未完</v>
      </c>
      <c r="BW310" s="63">
        <f>SUM(BS310:BT312)</f>
        <v>4</v>
      </c>
      <c r="BX310" s="80">
        <v>0</v>
      </c>
      <c r="BY310" s="80">
        <v>0</v>
      </c>
      <c r="BZ310" s="80">
        <v>0</v>
      </c>
      <c r="CA310" s="80">
        <f>BW310-(BX310+BY310+BZ310)</f>
        <v>4</v>
      </c>
      <c r="CB310" s="80">
        <v>0</v>
      </c>
      <c r="CC310" s="80">
        <v>0</v>
      </c>
      <c r="CD310" s="67"/>
      <c r="CE310" s="68"/>
      <c r="CF310" s="68"/>
      <c r="CG310" s="68"/>
      <c r="CH310" s="68"/>
      <c r="CI310" s="68"/>
      <c r="CJ310" s="68"/>
      <c r="CK310" s="68"/>
      <c r="CL310" s="69"/>
    </row>
    <row r="311" spans="3:90" s="61" customFormat="1" x14ac:dyDescent="0.25">
      <c r="C311" s="62"/>
      <c r="D311" s="81"/>
      <c r="E311" s="82"/>
      <c r="F311" s="65"/>
      <c r="I311" s="66"/>
      <c r="J311" s="65"/>
      <c r="N311" s="65"/>
      <c r="T311" s="83"/>
      <c r="U311" s="62"/>
      <c r="V311" s="84"/>
      <c r="W311" s="84"/>
      <c r="X311" s="62"/>
      <c r="Y311" s="92" t="s">
        <v>53</v>
      </c>
      <c r="Z311" s="95" t="s">
        <v>548</v>
      </c>
      <c r="AA311" s="95"/>
      <c r="AB311" s="125"/>
      <c r="AC311" s="125"/>
      <c r="AD311" s="125"/>
      <c r="AE311" s="91"/>
      <c r="AF311" s="91"/>
      <c r="AG311" s="125"/>
      <c r="AH311" s="125"/>
      <c r="AI311" s="125"/>
      <c r="AJ311" s="125"/>
      <c r="AK311" s="125"/>
      <c r="AL311" s="125"/>
      <c r="AM311" s="126"/>
      <c r="AN311" s="71"/>
      <c r="AO311" s="62"/>
      <c r="AP311" s="85" t="s">
        <v>52</v>
      </c>
      <c r="AX311" s="85"/>
      <c r="AY311" s="85"/>
      <c r="AZ311" s="62"/>
      <c r="BA311" s="62"/>
      <c r="BB311" s="62"/>
      <c r="BC311" s="62"/>
      <c r="BD311" s="85"/>
      <c r="BE311" s="113" t="s">
        <v>50</v>
      </c>
      <c r="BF311" s="61" t="s">
        <v>134</v>
      </c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8"/>
      <c r="BT311" s="88"/>
      <c r="BU311" s="86"/>
      <c r="BV311" s="81"/>
      <c r="BW311" s="81"/>
      <c r="BX311" s="89"/>
      <c r="BY311" s="89"/>
      <c r="BZ311" s="89"/>
      <c r="CA311" s="89"/>
      <c r="CB311" s="89"/>
      <c r="CC311" s="89"/>
      <c r="CD311" s="65"/>
      <c r="CL311" s="66"/>
    </row>
    <row r="312" spans="3:90" s="61" customFormat="1" ht="15" x14ac:dyDescent="0.25">
      <c r="C312" s="62"/>
      <c r="D312" s="81"/>
      <c r="E312" s="82"/>
      <c r="F312" s="65"/>
      <c r="I312" s="66"/>
      <c r="J312" s="65"/>
      <c r="N312" s="65"/>
      <c r="T312" s="83"/>
      <c r="U312" s="62"/>
      <c r="V312" s="84"/>
      <c r="W312" s="84"/>
      <c r="X312" s="62"/>
      <c r="Y312" s="92"/>
      <c r="Z312" s="95" t="s">
        <v>57</v>
      </c>
      <c r="AA312" s="85" t="s">
        <v>549</v>
      </c>
      <c r="AB312" s="125"/>
      <c r="AC312" s="125"/>
      <c r="AD312" s="125"/>
      <c r="AE312" s="91"/>
      <c r="AF312" s="223"/>
      <c r="AG312" s="223"/>
      <c r="AH312" s="223"/>
      <c r="AI312" s="223"/>
      <c r="AJ312" s="223"/>
      <c r="AK312" s="223"/>
      <c r="AL312" s="223"/>
      <c r="AM312" s="223"/>
      <c r="AN312" s="71" t="s">
        <v>84</v>
      </c>
      <c r="AO312" s="62"/>
      <c r="AP312" s="85" t="s">
        <v>127</v>
      </c>
      <c r="AX312" s="85"/>
      <c r="AY312" s="85"/>
      <c r="AZ312" s="62"/>
      <c r="BA312" s="62"/>
      <c r="BB312" s="62"/>
      <c r="BC312" s="62"/>
      <c r="BD312" s="85"/>
      <c r="BE312" s="113" t="s">
        <v>50</v>
      </c>
      <c r="BF312" s="61" t="s">
        <v>133</v>
      </c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8"/>
      <c r="BT312" s="88"/>
      <c r="BU312" s="86"/>
      <c r="BV312" s="81"/>
      <c r="BW312" s="81"/>
      <c r="BX312" s="89"/>
      <c r="BY312" s="89"/>
      <c r="BZ312" s="89"/>
      <c r="CA312" s="89"/>
      <c r="CB312" s="89"/>
      <c r="CC312" s="89"/>
      <c r="CD312" s="65"/>
      <c r="CL312" s="66"/>
    </row>
    <row r="313" spans="3:90" s="61" customFormat="1" ht="15" x14ac:dyDescent="0.25">
      <c r="C313" s="62"/>
      <c r="D313" s="81"/>
      <c r="E313" s="82"/>
      <c r="F313" s="65"/>
      <c r="I313" s="66"/>
      <c r="J313" s="65"/>
      <c r="N313" s="65"/>
      <c r="T313" s="83"/>
      <c r="U313" s="62"/>
      <c r="V313" s="84"/>
      <c r="W313" s="84"/>
      <c r="X313" s="62"/>
      <c r="Y313" s="92"/>
      <c r="Z313" s="95"/>
      <c r="AA313" s="85"/>
      <c r="AB313" s="125"/>
      <c r="AC313" s="125"/>
      <c r="AD313" s="125"/>
      <c r="AE313" s="91"/>
      <c r="AF313" s="223"/>
      <c r="AG313" s="223"/>
      <c r="AH313" s="223"/>
      <c r="AI313" s="223"/>
      <c r="AJ313" s="223"/>
      <c r="AK313" s="223"/>
      <c r="AL313" s="223"/>
      <c r="AM313" s="223"/>
      <c r="AN313" s="71"/>
      <c r="AO313" s="62"/>
      <c r="AP313" s="85" t="s">
        <v>52</v>
      </c>
      <c r="AX313" s="85"/>
      <c r="AY313" s="85"/>
      <c r="AZ313" s="62"/>
      <c r="BA313" s="62"/>
      <c r="BB313" s="62"/>
      <c r="BC313" s="62"/>
      <c r="BD313" s="85"/>
      <c r="BE313" s="113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8"/>
      <c r="BT313" s="88"/>
      <c r="BU313" s="86"/>
      <c r="BV313" s="81"/>
      <c r="BW313" s="81"/>
      <c r="BX313" s="89"/>
      <c r="BY313" s="89"/>
      <c r="BZ313" s="89"/>
      <c r="CA313" s="89"/>
      <c r="CB313" s="89"/>
      <c r="CC313" s="89"/>
      <c r="CD313" s="65"/>
      <c r="CL313" s="66"/>
    </row>
    <row r="314" spans="3:90" s="61" customFormat="1" ht="15" x14ac:dyDescent="0.25">
      <c r="C314" s="62"/>
      <c r="D314" s="81"/>
      <c r="E314" s="82"/>
      <c r="F314" s="65"/>
      <c r="I314" s="66"/>
      <c r="J314" s="65"/>
      <c r="N314" s="65"/>
      <c r="T314" s="83"/>
      <c r="U314" s="62"/>
      <c r="V314" s="84"/>
      <c r="W314" s="84"/>
      <c r="X314" s="62"/>
      <c r="Y314" s="92"/>
      <c r="Z314" s="95"/>
      <c r="AA314" s="85"/>
      <c r="AB314" s="125"/>
      <c r="AC314" s="125"/>
      <c r="AD314" s="125"/>
      <c r="AE314" s="91"/>
      <c r="AF314" s="223"/>
      <c r="AG314" s="223"/>
      <c r="AH314" s="223"/>
      <c r="AI314" s="223"/>
      <c r="AJ314" s="223"/>
      <c r="AK314" s="223"/>
      <c r="AL314" s="223"/>
      <c r="AM314" s="223"/>
      <c r="AN314" s="71" t="s">
        <v>66</v>
      </c>
      <c r="AO314" s="62"/>
      <c r="AP314" s="85" t="s">
        <v>122</v>
      </c>
      <c r="AX314" s="85"/>
      <c r="AY314" s="85"/>
      <c r="AZ314" s="62"/>
      <c r="BA314" s="62"/>
      <c r="BB314" s="62"/>
      <c r="BC314" s="62"/>
      <c r="BD314" s="85"/>
      <c r="BE314" s="113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8"/>
      <c r="BT314" s="88"/>
      <c r="BU314" s="86"/>
      <c r="BV314" s="81"/>
      <c r="BW314" s="81"/>
      <c r="BX314" s="89"/>
      <c r="BY314" s="89"/>
      <c r="BZ314" s="89"/>
      <c r="CA314" s="89"/>
      <c r="CB314" s="89"/>
      <c r="CC314" s="89"/>
      <c r="CD314" s="65"/>
      <c r="CL314" s="66"/>
    </row>
    <row r="315" spans="3:90" s="61" customFormat="1" ht="15" x14ac:dyDescent="0.25">
      <c r="C315" s="62"/>
      <c r="D315" s="81"/>
      <c r="E315" s="82"/>
      <c r="F315" s="65"/>
      <c r="I315" s="66"/>
      <c r="J315" s="65"/>
      <c r="N315" s="65"/>
      <c r="T315" s="83"/>
      <c r="U315" s="62"/>
      <c r="V315" s="84"/>
      <c r="W315" s="84"/>
      <c r="X315" s="62"/>
      <c r="Y315" s="92"/>
      <c r="Z315" s="95"/>
      <c r="AA315" s="85"/>
      <c r="AB315" s="125"/>
      <c r="AC315" s="125"/>
      <c r="AD315" s="125"/>
      <c r="AE315" s="91"/>
      <c r="AF315" s="223"/>
      <c r="AG315" s="223"/>
      <c r="AH315" s="223"/>
      <c r="AI315" s="223"/>
      <c r="AJ315" s="223"/>
      <c r="AK315" s="223"/>
      <c r="AL315" s="223"/>
      <c r="AM315" s="223"/>
      <c r="AN315" s="71"/>
      <c r="AO315" s="62"/>
      <c r="AP315" s="85" t="s">
        <v>52</v>
      </c>
      <c r="AX315" s="85"/>
      <c r="AY315" s="85"/>
      <c r="AZ315" s="62"/>
      <c r="BA315" s="62"/>
      <c r="BB315" s="62"/>
      <c r="BC315" s="62"/>
      <c r="BD315" s="85"/>
      <c r="BE315" s="113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8"/>
      <c r="BT315" s="88"/>
      <c r="BU315" s="86"/>
      <c r="BV315" s="81"/>
      <c r="BW315" s="81"/>
      <c r="BX315" s="89"/>
      <c r="BY315" s="89"/>
      <c r="BZ315" s="89"/>
      <c r="CA315" s="89"/>
      <c r="CB315" s="89"/>
      <c r="CC315" s="89"/>
      <c r="CD315" s="65"/>
      <c r="CL315" s="66"/>
    </row>
    <row r="316" spans="3:90" s="61" customFormat="1" ht="15" x14ac:dyDescent="0.25">
      <c r="C316" s="62"/>
      <c r="D316" s="81"/>
      <c r="E316" s="82"/>
      <c r="F316" s="65"/>
      <c r="I316" s="66"/>
      <c r="J316" s="65"/>
      <c r="N316" s="65"/>
      <c r="T316" s="83"/>
      <c r="U316" s="62"/>
      <c r="V316" s="84"/>
      <c r="W316" s="84"/>
      <c r="X316" s="62"/>
      <c r="Y316" s="92"/>
      <c r="Z316" s="95"/>
      <c r="AA316" s="85"/>
      <c r="AB316" s="125"/>
      <c r="AC316" s="125"/>
      <c r="AD316" s="125"/>
      <c r="AE316" s="91"/>
      <c r="AF316" s="223"/>
      <c r="AG316" s="223"/>
      <c r="AH316" s="223"/>
      <c r="AI316" s="223"/>
      <c r="AJ316" s="223"/>
      <c r="AK316" s="223"/>
      <c r="AL316" s="223"/>
      <c r="AM316" s="223"/>
      <c r="AN316" s="71" t="s">
        <v>71</v>
      </c>
      <c r="AO316" s="62"/>
      <c r="AP316" s="85" t="s">
        <v>130</v>
      </c>
      <c r="AQ316" s="61" t="s">
        <v>414</v>
      </c>
      <c r="AX316" s="85"/>
      <c r="AY316" s="85"/>
      <c r="AZ316" s="62"/>
      <c r="BA316" s="62"/>
      <c r="BB316" s="62"/>
      <c r="BC316" s="62"/>
      <c r="BD316" s="85"/>
      <c r="BE316" s="113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8"/>
      <c r="BT316" s="88"/>
      <c r="BU316" s="86"/>
      <c r="BV316" s="81"/>
      <c r="BW316" s="81"/>
      <c r="BX316" s="89"/>
      <c r="BY316" s="89"/>
      <c r="BZ316" s="89"/>
      <c r="CA316" s="89"/>
      <c r="CB316" s="89"/>
      <c r="CC316" s="89"/>
      <c r="CD316" s="65"/>
      <c r="CL316" s="66"/>
    </row>
    <row r="317" spans="3:90" s="61" customFormat="1" ht="15" x14ac:dyDescent="0.25">
      <c r="C317" s="62"/>
      <c r="D317" s="81"/>
      <c r="E317" s="82"/>
      <c r="F317" s="65"/>
      <c r="I317" s="66"/>
      <c r="J317" s="65"/>
      <c r="N317" s="65"/>
      <c r="T317" s="83"/>
      <c r="U317" s="62"/>
      <c r="V317" s="84"/>
      <c r="W317" s="84"/>
      <c r="X317" s="62"/>
      <c r="Y317" s="92"/>
      <c r="Z317" s="95"/>
      <c r="AA317" s="85"/>
      <c r="AB317" s="125"/>
      <c r="AC317" s="125"/>
      <c r="AD317" s="125"/>
      <c r="AE317" s="91"/>
      <c r="AF317" s="223"/>
      <c r="AG317" s="223"/>
      <c r="AH317" s="223"/>
      <c r="AI317" s="223"/>
      <c r="AJ317" s="223"/>
      <c r="AK317" s="223"/>
      <c r="AL317" s="223"/>
      <c r="AM317" s="223"/>
      <c r="AN317" s="71"/>
      <c r="AO317" s="62"/>
      <c r="AP317" s="85"/>
      <c r="AQ317" s="61" t="s">
        <v>203</v>
      </c>
      <c r="AX317" s="85"/>
      <c r="AY317" s="85"/>
      <c r="AZ317" s="62"/>
      <c r="BA317" s="62"/>
      <c r="BB317" s="62"/>
      <c r="BC317" s="62"/>
      <c r="BD317" s="85"/>
      <c r="BE317" s="113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8"/>
      <c r="BT317" s="88"/>
      <c r="BU317" s="86"/>
      <c r="BV317" s="81"/>
      <c r="BW317" s="81"/>
      <c r="BX317" s="89"/>
      <c r="BY317" s="89"/>
      <c r="BZ317" s="89"/>
      <c r="CA317" s="89"/>
      <c r="CB317" s="89"/>
      <c r="CC317" s="89"/>
      <c r="CD317" s="65"/>
      <c r="CL317" s="66"/>
    </row>
    <row r="318" spans="3:90" s="61" customFormat="1" ht="15" x14ac:dyDescent="0.25">
      <c r="C318" s="62"/>
      <c r="D318" s="81"/>
      <c r="E318" s="82"/>
      <c r="F318" s="65"/>
      <c r="I318" s="66"/>
      <c r="J318" s="65"/>
      <c r="N318" s="65"/>
      <c r="T318" s="83"/>
      <c r="U318" s="62"/>
      <c r="V318" s="84"/>
      <c r="W318" s="84"/>
      <c r="X318" s="62"/>
      <c r="Y318" s="92"/>
      <c r="Z318" s="95"/>
      <c r="AA318" s="85"/>
      <c r="AB318" s="125"/>
      <c r="AC318" s="125"/>
      <c r="AD318" s="125"/>
      <c r="AE318" s="91"/>
      <c r="AF318" s="223"/>
      <c r="AG318" s="223"/>
      <c r="AH318" s="223"/>
      <c r="AI318" s="223"/>
      <c r="AJ318" s="223"/>
      <c r="AK318" s="223"/>
      <c r="AL318" s="223"/>
      <c r="AM318" s="223"/>
      <c r="AN318" s="71"/>
      <c r="AO318" s="62"/>
      <c r="AP318" s="85"/>
      <c r="AX318" s="85"/>
      <c r="AY318" s="85"/>
      <c r="AZ318" s="62"/>
      <c r="BA318" s="62"/>
      <c r="BB318" s="62"/>
      <c r="BC318" s="62"/>
      <c r="BD318" s="85"/>
      <c r="BE318" s="113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8"/>
      <c r="BT318" s="88"/>
      <c r="BU318" s="86"/>
      <c r="BV318" s="81"/>
      <c r="BW318" s="81"/>
      <c r="BX318" s="89"/>
      <c r="BY318" s="89"/>
      <c r="BZ318" s="89"/>
      <c r="CA318" s="89"/>
      <c r="CB318" s="89"/>
      <c r="CC318" s="89"/>
      <c r="CD318" s="65"/>
      <c r="CL318" s="66"/>
    </row>
    <row r="319" spans="3:90" s="61" customFormat="1" ht="15" x14ac:dyDescent="0.25">
      <c r="C319" s="62"/>
      <c r="D319" s="81"/>
      <c r="E319" s="82"/>
      <c r="F319" s="65"/>
      <c r="I319" s="66"/>
      <c r="J319" s="65"/>
      <c r="N319" s="65"/>
      <c r="T319" s="83"/>
      <c r="U319" s="62"/>
      <c r="V319" s="84"/>
      <c r="W319" s="84"/>
      <c r="X319" s="62"/>
      <c r="Y319" s="92"/>
      <c r="Z319" s="95"/>
      <c r="AA319" s="85"/>
      <c r="AB319" s="125"/>
      <c r="AC319" s="125"/>
      <c r="AD319" s="125"/>
      <c r="AE319" s="91"/>
      <c r="AF319" s="223"/>
      <c r="AG319" s="223"/>
      <c r="AH319" s="223"/>
      <c r="AI319" s="223"/>
      <c r="AJ319" s="223"/>
      <c r="AK319" s="223"/>
      <c r="AL319" s="223"/>
      <c r="AM319" s="223"/>
      <c r="AN319" s="103"/>
      <c r="AO319" s="62"/>
      <c r="AP319" s="85"/>
      <c r="AX319" s="85"/>
      <c r="AY319" s="85"/>
      <c r="AZ319" s="62"/>
      <c r="BA319" s="62"/>
      <c r="BB319" s="62"/>
      <c r="BC319" s="62"/>
      <c r="BD319" s="85"/>
      <c r="BE319" s="113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8"/>
      <c r="BT319" s="88"/>
      <c r="BU319" s="86"/>
      <c r="BV319" s="81"/>
      <c r="BW319" s="81"/>
      <c r="BX319" s="89"/>
      <c r="BY319" s="89"/>
      <c r="BZ319" s="89"/>
      <c r="CA319" s="89"/>
      <c r="CB319" s="89"/>
      <c r="CC319" s="89"/>
      <c r="CD319" s="65"/>
      <c r="CL319" s="66"/>
    </row>
    <row r="320" spans="3:90" s="61" customFormat="1" x14ac:dyDescent="0.25">
      <c r="C320" s="62"/>
      <c r="D320" s="63">
        <v>122</v>
      </c>
      <c r="E320" s="111">
        <v>1</v>
      </c>
      <c r="F320" s="65"/>
      <c r="I320" s="66"/>
      <c r="J320" s="65"/>
      <c r="N320" s="67" t="s">
        <v>142</v>
      </c>
      <c r="O320" s="68"/>
      <c r="P320" s="68"/>
      <c r="Q320" s="68"/>
      <c r="R320" s="68"/>
      <c r="S320" s="68"/>
      <c r="T320" s="70"/>
      <c r="U320" s="76" t="s">
        <v>63</v>
      </c>
      <c r="V320" s="73" t="s">
        <v>43</v>
      </c>
      <c r="W320" s="84"/>
      <c r="X320" s="63">
        <f>BW320</f>
        <v>12</v>
      </c>
      <c r="Y320" s="120" t="s">
        <v>50</v>
      </c>
      <c r="Z320" s="121" t="s">
        <v>147</v>
      </c>
      <c r="AA320" s="74"/>
      <c r="AB320" s="122"/>
      <c r="AC320" s="122"/>
      <c r="AD320" s="122"/>
      <c r="AE320" s="129"/>
      <c r="AF320" s="129"/>
      <c r="AG320" s="122"/>
      <c r="AH320" s="122"/>
      <c r="AI320" s="122"/>
      <c r="AJ320" s="122"/>
      <c r="AK320" s="122"/>
      <c r="AL320" s="122"/>
      <c r="AM320" s="123"/>
      <c r="AN320" s="76" t="s">
        <v>55</v>
      </c>
      <c r="AO320" s="76"/>
      <c r="AP320" s="74" t="s">
        <v>30</v>
      </c>
      <c r="AQ320" s="68"/>
      <c r="AR320" s="68"/>
      <c r="AS320" s="68"/>
      <c r="AT320" s="68"/>
      <c r="AU320" s="68"/>
      <c r="AV320" s="68"/>
      <c r="AW320" s="68"/>
      <c r="AX320" s="74"/>
      <c r="AY320" s="74"/>
      <c r="AZ320" s="76"/>
      <c r="BA320" s="76"/>
      <c r="BB320" s="76"/>
      <c r="BC320" s="76"/>
      <c r="BD320" s="74"/>
      <c r="BE320" s="78" t="s">
        <v>50</v>
      </c>
      <c r="BF320" s="68" t="s">
        <v>21</v>
      </c>
      <c r="BG320" s="68"/>
      <c r="BH320" s="68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9">
        <v>12</v>
      </c>
      <c r="BT320" s="79">
        <v>0</v>
      </c>
      <c r="BU320" s="75"/>
      <c r="BV320" s="63" t="str">
        <f t="shared" ref="BV320" si="32">IF(BW320&lt;&gt;"",IF(BW320=CB320+BZ320,"完了","未完"),"")</f>
        <v>未完</v>
      </c>
      <c r="BW320" s="63">
        <f>SUM(BS320:BT322)</f>
        <v>12</v>
      </c>
      <c r="BX320" s="80">
        <v>0</v>
      </c>
      <c r="BY320" s="80">
        <v>0</v>
      </c>
      <c r="BZ320" s="80">
        <v>0</v>
      </c>
      <c r="CA320" s="80">
        <f>BW320-(BX320+BY320+BZ320)</f>
        <v>12</v>
      </c>
      <c r="CB320" s="80">
        <v>0</v>
      </c>
      <c r="CC320" s="80">
        <v>0</v>
      </c>
      <c r="CD320" s="67"/>
      <c r="CE320" s="68"/>
      <c r="CF320" s="68"/>
      <c r="CG320" s="68"/>
      <c r="CH320" s="68"/>
      <c r="CI320" s="68"/>
      <c r="CJ320" s="68"/>
      <c r="CK320" s="68"/>
      <c r="CL320" s="69"/>
    </row>
    <row r="321" spans="3:90" s="61" customFormat="1" x14ac:dyDescent="0.25">
      <c r="C321" s="62"/>
      <c r="D321" s="81"/>
      <c r="E321" s="82"/>
      <c r="F321" s="65"/>
      <c r="I321" s="66"/>
      <c r="J321" s="65"/>
      <c r="N321" s="124" t="s">
        <v>150</v>
      </c>
      <c r="O321" s="85"/>
      <c r="P321" s="125"/>
      <c r="Q321" s="125"/>
      <c r="R321" s="125"/>
      <c r="T321" s="83"/>
      <c r="U321" s="62"/>
      <c r="V321" s="84"/>
      <c r="W321" s="84"/>
      <c r="X321" s="62"/>
      <c r="Y321" s="92" t="s">
        <v>53</v>
      </c>
      <c r="Z321" s="95" t="s">
        <v>548</v>
      </c>
      <c r="AA321" s="95"/>
      <c r="AB321" s="125"/>
      <c r="AC321" s="125"/>
      <c r="AD321" s="125"/>
      <c r="AE321" s="91"/>
      <c r="AF321" s="91"/>
      <c r="AG321" s="125"/>
      <c r="AH321" s="125"/>
      <c r="AI321" s="125"/>
      <c r="AJ321" s="125"/>
      <c r="AK321" s="125"/>
      <c r="AL321" s="125"/>
      <c r="AM321" s="126"/>
      <c r="AN321" s="62"/>
      <c r="AO321" s="62"/>
      <c r="AP321" s="85" t="s">
        <v>52</v>
      </c>
      <c r="AX321" s="85"/>
      <c r="AY321" s="85"/>
      <c r="AZ321" s="62"/>
      <c r="BA321" s="62"/>
      <c r="BB321" s="62"/>
      <c r="BC321" s="62"/>
      <c r="BD321" s="85"/>
      <c r="BE321" s="113" t="s">
        <v>50</v>
      </c>
      <c r="BF321" s="61" t="s">
        <v>134</v>
      </c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8"/>
      <c r="BT321" s="88"/>
      <c r="BU321" s="86"/>
      <c r="BV321" s="81"/>
      <c r="BW321" s="81"/>
      <c r="BX321" s="89"/>
      <c r="BY321" s="89"/>
      <c r="BZ321" s="89"/>
      <c r="CA321" s="89"/>
      <c r="CB321" s="89"/>
      <c r="CC321" s="89"/>
      <c r="CD321" s="65"/>
      <c r="CL321" s="66"/>
    </row>
    <row r="322" spans="3:90" s="61" customFormat="1" x14ac:dyDescent="0.25">
      <c r="C322" s="62"/>
      <c r="D322" s="81"/>
      <c r="E322" s="82"/>
      <c r="F322" s="65"/>
      <c r="I322" s="66"/>
      <c r="J322" s="65"/>
      <c r="N322" s="65"/>
      <c r="T322" s="83"/>
      <c r="U322" s="62"/>
      <c r="V322" s="84"/>
      <c r="W322" s="84"/>
      <c r="X322" s="62"/>
      <c r="Y322" s="92"/>
      <c r="Z322" s="95" t="s">
        <v>57</v>
      </c>
      <c r="AA322" s="85" t="s">
        <v>549</v>
      </c>
      <c r="AB322" s="125"/>
      <c r="AC322" s="125"/>
      <c r="AD322" s="125"/>
      <c r="AE322" s="91"/>
      <c r="AF322" s="91"/>
      <c r="AG322" s="125"/>
      <c r="AH322" s="125"/>
      <c r="AI322" s="125"/>
      <c r="AJ322" s="125"/>
      <c r="AK322" s="125"/>
      <c r="AL322" s="125"/>
      <c r="AM322" s="126"/>
      <c r="AN322" s="62" t="s">
        <v>65</v>
      </c>
      <c r="AO322" s="62"/>
      <c r="AP322" s="85" t="s">
        <v>135</v>
      </c>
      <c r="AX322" s="85"/>
      <c r="AY322" s="85"/>
      <c r="AZ322" s="62"/>
      <c r="BA322" s="62"/>
      <c r="BB322" s="62"/>
      <c r="BC322" s="62"/>
      <c r="BD322" s="85"/>
      <c r="BE322" s="113" t="s">
        <v>50</v>
      </c>
      <c r="BF322" s="61" t="s">
        <v>133</v>
      </c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8"/>
      <c r="BT322" s="88"/>
      <c r="BU322" s="86"/>
      <c r="BV322" s="81"/>
      <c r="BW322" s="81"/>
      <c r="BX322" s="89"/>
      <c r="BY322" s="89"/>
      <c r="BZ322" s="89"/>
      <c r="CA322" s="89"/>
      <c r="CB322" s="89"/>
      <c r="CC322" s="89"/>
      <c r="CD322" s="65"/>
      <c r="CL322" s="66"/>
    </row>
    <row r="323" spans="3:90" s="61" customFormat="1" x14ac:dyDescent="0.25">
      <c r="C323" s="62"/>
      <c r="D323" s="81"/>
      <c r="E323" s="82"/>
      <c r="F323" s="65"/>
      <c r="I323" s="66"/>
      <c r="J323" s="65"/>
      <c r="N323" s="65"/>
      <c r="T323" s="83"/>
      <c r="U323" s="62"/>
      <c r="V323" s="84"/>
      <c r="W323" s="84"/>
      <c r="X323" s="62"/>
      <c r="Y323" s="92"/>
      <c r="Z323" s="95"/>
      <c r="AA323" s="85"/>
      <c r="AB323" s="125"/>
      <c r="AC323" s="125"/>
      <c r="AD323" s="125"/>
      <c r="AE323" s="91"/>
      <c r="AF323" s="91"/>
      <c r="AG323" s="125"/>
      <c r="AH323" s="125"/>
      <c r="AI323" s="125"/>
      <c r="AJ323" s="125"/>
      <c r="AK323" s="125"/>
      <c r="AL323" s="125"/>
      <c r="AM323" s="126"/>
      <c r="AN323" s="62"/>
      <c r="AO323" s="62"/>
      <c r="AP323" s="85" t="s">
        <v>52</v>
      </c>
      <c r="AX323" s="85"/>
      <c r="AY323" s="85"/>
      <c r="AZ323" s="62"/>
      <c r="BA323" s="62"/>
      <c r="BB323" s="62"/>
      <c r="BC323" s="62"/>
      <c r="BD323" s="85"/>
      <c r="BE323" s="113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8"/>
      <c r="BT323" s="88"/>
      <c r="BU323" s="86"/>
      <c r="BV323" s="81"/>
      <c r="BW323" s="81"/>
      <c r="BX323" s="89"/>
      <c r="BY323" s="89"/>
      <c r="BZ323" s="89"/>
      <c r="CA323" s="89"/>
      <c r="CB323" s="89"/>
      <c r="CC323" s="89"/>
      <c r="CD323" s="65"/>
      <c r="CL323" s="66"/>
    </row>
    <row r="324" spans="3:90" s="61" customFormat="1" x14ac:dyDescent="0.25">
      <c r="C324" s="62"/>
      <c r="D324" s="81"/>
      <c r="E324" s="82"/>
      <c r="F324" s="65"/>
      <c r="I324" s="66"/>
      <c r="J324" s="65"/>
      <c r="N324" s="65"/>
      <c r="T324" s="83"/>
      <c r="U324" s="62"/>
      <c r="V324" s="84"/>
      <c r="W324" s="84"/>
      <c r="X324" s="62"/>
      <c r="Y324" s="92"/>
      <c r="Z324" s="95"/>
      <c r="AA324" s="85"/>
      <c r="AB324" s="125"/>
      <c r="AC324" s="125"/>
      <c r="AD324" s="125"/>
      <c r="AE324" s="91"/>
      <c r="AF324" s="91"/>
      <c r="AG324" s="125"/>
      <c r="AH324" s="125"/>
      <c r="AI324" s="125"/>
      <c r="AJ324" s="125"/>
      <c r="AK324" s="125"/>
      <c r="AL324" s="125"/>
      <c r="AM324" s="126"/>
      <c r="AN324" s="62" t="s">
        <v>66</v>
      </c>
      <c r="AO324" s="62"/>
      <c r="AP324" s="85" t="s">
        <v>131</v>
      </c>
      <c r="AQ324" s="61" t="s">
        <v>78</v>
      </c>
      <c r="AX324" s="85"/>
      <c r="AY324" s="85"/>
      <c r="AZ324" s="62"/>
      <c r="BA324" s="62"/>
      <c r="BB324" s="62"/>
      <c r="BC324" s="62"/>
      <c r="BD324" s="85"/>
      <c r="BE324" s="113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8"/>
      <c r="BT324" s="88"/>
      <c r="BU324" s="86"/>
      <c r="BV324" s="81"/>
      <c r="BW324" s="81"/>
      <c r="BX324" s="89"/>
      <c r="BY324" s="89"/>
      <c r="BZ324" s="89"/>
      <c r="CA324" s="89"/>
      <c r="CB324" s="89"/>
      <c r="CC324" s="89"/>
      <c r="CD324" s="65"/>
      <c r="CL324" s="66"/>
    </row>
    <row r="325" spans="3:90" s="61" customFormat="1" x14ac:dyDescent="0.25">
      <c r="C325" s="62"/>
      <c r="D325" s="81"/>
      <c r="E325" s="82"/>
      <c r="F325" s="65"/>
      <c r="I325" s="66"/>
      <c r="J325" s="65"/>
      <c r="N325" s="65"/>
      <c r="T325" s="83"/>
      <c r="U325" s="62"/>
      <c r="V325" s="84"/>
      <c r="W325" s="84"/>
      <c r="X325" s="62"/>
      <c r="Y325" s="92"/>
      <c r="Z325" s="95"/>
      <c r="AA325" s="85"/>
      <c r="AB325" s="125"/>
      <c r="AC325" s="125"/>
      <c r="AD325" s="125"/>
      <c r="AE325" s="91"/>
      <c r="AF325" s="91"/>
      <c r="AG325" s="125"/>
      <c r="AH325" s="125"/>
      <c r="AI325" s="125"/>
      <c r="AJ325" s="125"/>
      <c r="AK325" s="125"/>
      <c r="AL325" s="125"/>
      <c r="AM325" s="126"/>
      <c r="AN325" s="62"/>
      <c r="AO325" s="62"/>
      <c r="AP325" s="85"/>
      <c r="AX325" s="85"/>
      <c r="AY325" s="85"/>
      <c r="AZ325" s="62"/>
      <c r="BA325" s="62"/>
      <c r="BB325" s="62"/>
      <c r="BC325" s="62"/>
      <c r="BD325" s="85"/>
      <c r="BE325" s="113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8"/>
      <c r="BT325" s="88"/>
      <c r="BU325" s="86"/>
      <c r="BV325" s="81"/>
      <c r="BW325" s="81"/>
      <c r="BX325" s="89"/>
      <c r="BY325" s="89"/>
      <c r="BZ325" s="89"/>
      <c r="CA325" s="89"/>
      <c r="CB325" s="89"/>
      <c r="CC325" s="89"/>
      <c r="CD325" s="65"/>
      <c r="CL325" s="66"/>
    </row>
    <row r="326" spans="3:90" s="61" customFormat="1" x14ac:dyDescent="0.25">
      <c r="C326" s="62"/>
      <c r="D326" s="81"/>
      <c r="E326" s="82"/>
      <c r="F326" s="65"/>
      <c r="I326" s="66"/>
      <c r="J326" s="65"/>
      <c r="N326" s="65"/>
      <c r="T326" s="83"/>
      <c r="U326" s="62"/>
      <c r="V326" s="84"/>
      <c r="W326" s="84"/>
      <c r="X326" s="62"/>
      <c r="Y326" s="92"/>
      <c r="Z326" s="95"/>
      <c r="AA326" s="85"/>
      <c r="AB326" s="125"/>
      <c r="AC326" s="125"/>
      <c r="AD326" s="125"/>
      <c r="AE326" s="91"/>
      <c r="AF326" s="91"/>
      <c r="AG326" s="125"/>
      <c r="AH326" s="125"/>
      <c r="AI326" s="125"/>
      <c r="AJ326" s="125"/>
      <c r="AK326" s="125"/>
      <c r="AL326" s="125"/>
      <c r="AM326" s="126"/>
      <c r="AN326" s="62"/>
      <c r="AO326" s="62"/>
      <c r="AP326" s="85"/>
      <c r="AX326" s="85"/>
      <c r="AY326" s="85"/>
      <c r="AZ326" s="62"/>
      <c r="BA326" s="62"/>
      <c r="BB326" s="62"/>
      <c r="BC326" s="62"/>
      <c r="BD326" s="85"/>
      <c r="BE326" s="113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8"/>
      <c r="BT326" s="88"/>
      <c r="BU326" s="86"/>
      <c r="BV326" s="81"/>
      <c r="BW326" s="81"/>
      <c r="BX326" s="89"/>
      <c r="BY326" s="89"/>
      <c r="BZ326" s="89"/>
      <c r="CA326" s="89"/>
      <c r="CB326" s="89"/>
      <c r="CC326" s="89"/>
      <c r="CD326" s="65"/>
      <c r="CL326" s="66"/>
    </row>
    <row r="327" spans="3:90" s="61" customFormat="1" x14ac:dyDescent="0.25">
      <c r="C327" s="62"/>
      <c r="D327" s="63">
        <v>130</v>
      </c>
      <c r="E327" s="111">
        <v>1</v>
      </c>
      <c r="F327" s="65"/>
      <c r="I327" s="66"/>
      <c r="J327" s="65"/>
      <c r="N327" s="67" t="s">
        <v>151</v>
      </c>
      <c r="O327" s="68"/>
      <c r="P327" s="68"/>
      <c r="Q327" s="68"/>
      <c r="R327" s="68"/>
      <c r="S327" s="68"/>
      <c r="T327" s="70"/>
      <c r="U327" s="76" t="s">
        <v>63</v>
      </c>
      <c r="V327" s="73" t="s">
        <v>43</v>
      </c>
      <c r="W327" s="84"/>
      <c r="X327" s="63">
        <f>BW327</f>
        <v>2</v>
      </c>
      <c r="Y327" s="72" t="s">
        <v>50</v>
      </c>
      <c r="Z327" s="68" t="s">
        <v>460</v>
      </c>
      <c r="AA327" s="121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3"/>
      <c r="AN327" s="76" t="s">
        <v>55</v>
      </c>
      <c r="AO327" s="76"/>
      <c r="AP327" s="74" t="s">
        <v>127</v>
      </c>
      <c r="AQ327" s="68"/>
      <c r="AR327" s="68"/>
      <c r="AS327" s="68"/>
      <c r="AT327" s="68"/>
      <c r="AU327" s="68"/>
      <c r="AV327" s="68"/>
      <c r="AW327" s="68"/>
      <c r="AX327" s="74"/>
      <c r="AY327" s="74"/>
      <c r="AZ327" s="76"/>
      <c r="BA327" s="76"/>
      <c r="BB327" s="76"/>
      <c r="BC327" s="76"/>
      <c r="BD327" s="74"/>
      <c r="BE327" s="78" t="s">
        <v>50</v>
      </c>
      <c r="BF327" s="68" t="s">
        <v>469</v>
      </c>
      <c r="BG327" s="68"/>
      <c r="BH327" s="68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9">
        <v>1</v>
      </c>
      <c r="BT327" s="79">
        <v>1</v>
      </c>
      <c r="BU327" s="75"/>
      <c r="BV327" s="63" t="str">
        <f t="shared" ref="BV327" si="33">IF(BW327&lt;&gt;"",IF(BW327=CB327+BZ327,"完了","未完"),"")</f>
        <v>未完</v>
      </c>
      <c r="BW327" s="63">
        <f>SUM(BS327:BT333)</f>
        <v>2</v>
      </c>
      <c r="BX327" s="80">
        <v>0</v>
      </c>
      <c r="BY327" s="80">
        <v>0</v>
      </c>
      <c r="BZ327" s="80">
        <v>0</v>
      </c>
      <c r="CA327" s="80">
        <f>BW327-(BX327+BY327+BZ327)</f>
        <v>2</v>
      </c>
      <c r="CB327" s="80">
        <v>0</v>
      </c>
      <c r="CC327" s="80">
        <v>0</v>
      </c>
      <c r="CD327" s="67"/>
      <c r="CE327" s="68"/>
      <c r="CF327" s="68"/>
      <c r="CG327" s="68"/>
      <c r="CH327" s="68"/>
      <c r="CI327" s="68"/>
      <c r="CJ327" s="68"/>
      <c r="CK327" s="68"/>
      <c r="CL327" s="69"/>
    </row>
    <row r="328" spans="3:90" s="61" customFormat="1" x14ac:dyDescent="0.25">
      <c r="C328" s="62"/>
      <c r="D328" s="81"/>
      <c r="E328" s="82"/>
      <c r="F328" s="65"/>
      <c r="I328" s="66"/>
      <c r="J328" s="65"/>
      <c r="N328" s="65"/>
      <c r="T328" s="83"/>
      <c r="U328" s="62"/>
      <c r="V328" s="84"/>
      <c r="W328" s="84"/>
      <c r="X328" s="62"/>
      <c r="Y328" s="92"/>
      <c r="Z328" s="95"/>
      <c r="AA328" s="85"/>
      <c r="AB328" s="125"/>
      <c r="AC328" s="125"/>
      <c r="AD328" s="125"/>
      <c r="AE328" s="91"/>
      <c r="AF328" s="91"/>
      <c r="AG328" s="125"/>
      <c r="AH328" s="125"/>
      <c r="AI328" s="125"/>
      <c r="AJ328" s="125"/>
      <c r="AK328" s="125"/>
      <c r="AL328" s="125"/>
      <c r="AM328" s="126"/>
      <c r="AN328" s="62"/>
      <c r="AO328" s="62"/>
      <c r="AP328" s="85" t="s">
        <v>52</v>
      </c>
      <c r="AX328" s="85"/>
      <c r="AY328" s="85"/>
      <c r="AZ328" s="62"/>
      <c r="BA328" s="62"/>
      <c r="BB328" s="62"/>
      <c r="BC328" s="62"/>
      <c r="BD328" s="85"/>
      <c r="BE328" s="113" t="s">
        <v>50</v>
      </c>
      <c r="BF328" s="61" t="s">
        <v>463</v>
      </c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8"/>
      <c r="BT328" s="88"/>
      <c r="BU328" s="86"/>
      <c r="BV328" s="81"/>
      <c r="BW328" s="81"/>
      <c r="BX328" s="89"/>
      <c r="BY328" s="89"/>
      <c r="BZ328" s="89"/>
      <c r="CA328" s="89"/>
      <c r="CB328" s="89"/>
      <c r="CC328" s="89"/>
      <c r="CD328" s="65"/>
      <c r="CL328" s="66"/>
    </row>
    <row r="329" spans="3:90" s="61" customFormat="1" x14ac:dyDescent="0.25">
      <c r="C329" s="62"/>
      <c r="D329" s="81"/>
      <c r="E329" s="82"/>
      <c r="F329" s="65"/>
      <c r="I329" s="66"/>
      <c r="J329" s="65"/>
      <c r="N329" s="65"/>
      <c r="T329" s="83"/>
      <c r="U329" s="62"/>
      <c r="V329" s="84"/>
      <c r="W329" s="84"/>
      <c r="X329" s="62"/>
      <c r="Y329" s="92"/>
      <c r="Z329" s="95"/>
      <c r="AA329" s="85"/>
      <c r="AB329" s="125"/>
      <c r="AC329" s="125"/>
      <c r="AD329" s="125"/>
      <c r="AE329" s="91"/>
      <c r="AF329" s="91"/>
      <c r="AG329" s="125"/>
      <c r="AH329" s="125"/>
      <c r="AI329" s="125"/>
      <c r="AJ329" s="125"/>
      <c r="AK329" s="125"/>
      <c r="AL329" s="125"/>
      <c r="AM329" s="126"/>
      <c r="AN329" s="62" t="s">
        <v>65</v>
      </c>
      <c r="AO329" s="62"/>
      <c r="AP329" s="85" t="s">
        <v>135</v>
      </c>
      <c r="AQ329" s="61" t="s">
        <v>462</v>
      </c>
      <c r="AX329" s="85"/>
      <c r="AY329" s="85"/>
      <c r="AZ329" s="62"/>
      <c r="BA329" s="62"/>
      <c r="BB329" s="62"/>
      <c r="BC329" s="62"/>
      <c r="BD329" s="85"/>
      <c r="BE329" s="113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8"/>
      <c r="BT329" s="88"/>
      <c r="BU329" s="86"/>
      <c r="BV329" s="81"/>
      <c r="BW329" s="81"/>
      <c r="BX329" s="89"/>
      <c r="BY329" s="89"/>
      <c r="BZ329" s="89"/>
      <c r="CA329" s="89"/>
      <c r="CB329" s="89"/>
      <c r="CC329" s="89"/>
      <c r="CD329" s="65"/>
      <c r="CL329" s="66"/>
    </row>
    <row r="330" spans="3:90" s="61" customFormat="1" x14ac:dyDescent="0.25">
      <c r="C330" s="62"/>
      <c r="D330" s="81"/>
      <c r="E330" s="82"/>
      <c r="F330" s="65"/>
      <c r="I330" s="66"/>
      <c r="J330" s="65"/>
      <c r="N330" s="65"/>
      <c r="T330" s="83"/>
      <c r="U330" s="62"/>
      <c r="V330" s="84"/>
      <c r="W330" s="84"/>
      <c r="X330" s="62"/>
      <c r="Y330" s="92"/>
      <c r="Z330" s="95"/>
      <c r="AA330" s="85"/>
      <c r="AB330" s="125"/>
      <c r="AC330" s="125"/>
      <c r="AD330" s="125"/>
      <c r="AE330" s="91"/>
      <c r="AF330" s="91"/>
      <c r="AG330" s="125"/>
      <c r="AH330" s="125"/>
      <c r="AI330" s="125"/>
      <c r="AJ330" s="125"/>
      <c r="AK330" s="125"/>
      <c r="AL330" s="125"/>
      <c r="AM330" s="126"/>
      <c r="AN330" s="62"/>
      <c r="AO330" s="62"/>
      <c r="AP330" s="85" t="s">
        <v>52</v>
      </c>
      <c r="AQ330" s="61" t="s">
        <v>91</v>
      </c>
      <c r="AX330" s="85"/>
      <c r="AY330" s="85"/>
      <c r="AZ330" s="62"/>
      <c r="BA330" s="62"/>
      <c r="BB330" s="62"/>
      <c r="BC330" s="62"/>
      <c r="BD330" s="85"/>
      <c r="BE330" s="113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8"/>
      <c r="BT330" s="88"/>
      <c r="BU330" s="86"/>
      <c r="BV330" s="81"/>
      <c r="BW330" s="81"/>
      <c r="BX330" s="89"/>
      <c r="BY330" s="89"/>
      <c r="BZ330" s="89"/>
      <c r="CA330" s="89"/>
      <c r="CB330" s="89"/>
      <c r="CC330" s="89"/>
      <c r="CD330" s="65"/>
      <c r="CL330" s="66"/>
    </row>
    <row r="331" spans="3:90" s="61" customFormat="1" x14ac:dyDescent="0.25">
      <c r="C331" s="62"/>
      <c r="D331" s="81"/>
      <c r="E331" s="82"/>
      <c r="F331" s="65"/>
      <c r="I331" s="66"/>
      <c r="J331" s="65"/>
      <c r="N331" s="65"/>
      <c r="T331" s="83"/>
      <c r="U331" s="62"/>
      <c r="V331" s="84"/>
      <c r="W331" s="84"/>
      <c r="X331" s="62"/>
      <c r="Y331" s="92"/>
      <c r="Z331" s="95"/>
      <c r="AA331" s="85"/>
      <c r="AB331" s="125"/>
      <c r="AC331" s="125"/>
      <c r="AD331" s="125"/>
      <c r="AE331" s="91"/>
      <c r="AF331" s="91"/>
      <c r="AG331" s="125"/>
      <c r="AH331" s="125"/>
      <c r="AI331" s="125"/>
      <c r="AJ331" s="125"/>
      <c r="AK331" s="125"/>
      <c r="AL331" s="125"/>
      <c r="AM331" s="126"/>
      <c r="AN331" s="62" t="s">
        <v>66</v>
      </c>
      <c r="AO331" s="62"/>
      <c r="AP331" s="85" t="s">
        <v>130</v>
      </c>
      <c r="AX331" s="85"/>
      <c r="AY331" s="85"/>
      <c r="AZ331" s="62"/>
      <c r="BA331" s="62"/>
      <c r="BB331" s="62"/>
      <c r="BC331" s="62"/>
      <c r="BD331" s="85"/>
      <c r="BE331" s="113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8"/>
      <c r="BT331" s="88"/>
      <c r="BU331" s="86"/>
      <c r="BV331" s="81"/>
      <c r="BW331" s="81"/>
      <c r="BX331" s="89"/>
      <c r="BY331" s="89"/>
      <c r="BZ331" s="89"/>
      <c r="CA331" s="89"/>
      <c r="CB331" s="89"/>
      <c r="CC331" s="89"/>
      <c r="CD331" s="65"/>
      <c r="CL331" s="66"/>
    </row>
    <row r="332" spans="3:90" s="61" customFormat="1" x14ac:dyDescent="0.25">
      <c r="C332" s="62"/>
      <c r="D332" s="81"/>
      <c r="E332" s="82"/>
      <c r="F332" s="65"/>
      <c r="I332" s="66"/>
      <c r="J332" s="65"/>
      <c r="N332" s="65"/>
      <c r="T332" s="83"/>
      <c r="U332" s="62"/>
      <c r="V332" s="84"/>
      <c r="W332" s="84"/>
      <c r="X332" s="62"/>
      <c r="Y332" s="92"/>
      <c r="Z332" s="95"/>
      <c r="AA332" s="85"/>
      <c r="AB332" s="125"/>
      <c r="AC332" s="125"/>
      <c r="AD332" s="125"/>
      <c r="AE332" s="91"/>
      <c r="AF332" s="91"/>
      <c r="AG332" s="125"/>
      <c r="AH332" s="125"/>
      <c r="AI332" s="125"/>
      <c r="AJ332" s="125"/>
      <c r="AK332" s="125"/>
      <c r="AL332" s="125"/>
      <c r="AM332" s="126"/>
      <c r="AN332" s="62"/>
      <c r="AO332" s="62"/>
      <c r="AP332" s="85"/>
      <c r="AX332" s="85"/>
      <c r="AY332" s="85"/>
      <c r="AZ332" s="62"/>
      <c r="BA332" s="62"/>
      <c r="BB332" s="62"/>
      <c r="BC332" s="62"/>
      <c r="BD332" s="85"/>
      <c r="BE332" s="113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8"/>
      <c r="BT332" s="88"/>
      <c r="BU332" s="86"/>
      <c r="BV332" s="81"/>
      <c r="BW332" s="81"/>
      <c r="BX332" s="89"/>
      <c r="BY332" s="89"/>
      <c r="BZ332" s="89"/>
      <c r="CA332" s="89"/>
      <c r="CB332" s="89"/>
      <c r="CC332" s="89"/>
      <c r="CD332" s="65"/>
      <c r="CL332" s="66"/>
    </row>
    <row r="333" spans="3:90" s="61" customFormat="1" x14ac:dyDescent="0.25">
      <c r="C333" s="62"/>
      <c r="D333" s="81"/>
      <c r="E333" s="82"/>
      <c r="F333" s="65"/>
      <c r="I333" s="66"/>
      <c r="J333" s="65"/>
      <c r="N333" s="65"/>
      <c r="T333" s="83"/>
      <c r="U333" s="62"/>
      <c r="V333" s="84"/>
      <c r="W333" s="84"/>
      <c r="X333" s="62"/>
      <c r="Y333" s="92"/>
      <c r="Z333" s="95"/>
      <c r="AA333" s="85"/>
      <c r="AB333" s="125"/>
      <c r="AC333" s="125"/>
      <c r="AD333" s="125"/>
      <c r="AE333" s="91"/>
      <c r="AF333" s="91"/>
      <c r="AG333" s="125"/>
      <c r="AH333" s="125"/>
      <c r="AI333" s="125"/>
      <c r="AJ333" s="125"/>
      <c r="AK333" s="125"/>
      <c r="AL333" s="125"/>
      <c r="AM333" s="126"/>
      <c r="AN333" s="62"/>
      <c r="AO333" s="62"/>
      <c r="AP333" s="85"/>
      <c r="AX333" s="85"/>
      <c r="AY333" s="85"/>
      <c r="AZ333" s="62"/>
      <c r="BA333" s="62"/>
      <c r="BB333" s="62"/>
      <c r="BC333" s="62"/>
      <c r="BD333" s="85"/>
      <c r="BE333" s="113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8"/>
      <c r="BT333" s="88"/>
      <c r="BU333" s="86"/>
      <c r="BV333" s="81"/>
      <c r="BW333" s="81"/>
      <c r="BX333" s="89"/>
      <c r="BY333" s="89"/>
      <c r="BZ333" s="89"/>
      <c r="CA333" s="89"/>
      <c r="CB333" s="89"/>
      <c r="CC333" s="89"/>
      <c r="CD333" s="65"/>
      <c r="CL333" s="66"/>
    </row>
    <row r="334" spans="3:90" s="61" customFormat="1" x14ac:dyDescent="0.25">
      <c r="C334" s="62"/>
      <c r="D334" s="81"/>
      <c r="E334" s="64">
        <v>2</v>
      </c>
      <c r="F334" s="65"/>
      <c r="I334" s="66"/>
      <c r="J334" s="65"/>
      <c r="N334" s="65"/>
      <c r="T334" s="83"/>
      <c r="U334" s="76" t="s">
        <v>63</v>
      </c>
      <c r="V334" s="73" t="s">
        <v>43</v>
      </c>
      <c r="W334" s="84"/>
      <c r="X334" s="63">
        <f>BW334</f>
        <v>2</v>
      </c>
      <c r="Y334" s="120" t="s">
        <v>50</v>
      </c>
      <c r="Z334" s="121" t="s">
        <v>461</v>
      </c>
      <c r="AA334" s="74"/>
      <c r="AB334" s="122"/>
      <c r="AC334" s="122"/>
      <c r="AD334" s="122"/>
      <c r="AE334" s="129"/>
      <c r="AF334" s="129"/>
      <c r="AG334" s="122"/>
      <c r="AH334" s="122"/>
      <c r="AI334" s="122"/>
      <c r="AJ334" s="122"/>
      <c r="AK334" s="122"/>
      <c r="AL334" s="122"/>
      <c r="AM334" s="123"/>
      <c r="AN334" s="76" t="s">
        <v>55</v>
      </c>
      <c r="AO334" s="76"/>
      <c r="AP334" s="74" t="s">
        <v>30</v>
      </c>
      <c r="AQ334" s="68"/>
      <c r="AR334" s="68"/>
      <c r="AS334" s="68"/>
      <c r="AT334" s="68"/>
      <c r="AU334" s="68"/>
      <c r="AV334" s="68"/>
      <c r="AW334" s="68"/>
      <c r="AX334" s="74"/>
      <c r="AY334" s="74"/>
      <c r="AZ334" s="76"/>
      <c r="BA334" s="76"/>
      <c r="BB334" s="76"/>
      <c r="BC334" s="76"/>
      <c r="BD334" s="74"/>
      <c r="BE334" s="78" t="s">
        <v>50</v>
      </c>
      <c r="BF334" s="68" t="s">
        <v>469</v>
      </c>
      <c r="BG334" s="68"/>
      <c r="BH334" s="68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9">
        <v>1</v>
      </c>
      <c r="BT334" s="79">
        <v>1</v>
      </c>
      <c r="BU334" s="75"/>
      <c r="BV334" s="63" t="str">
        <f t="shared" ref="BV334" si="34">IF(BW334&lt;&gt;"",IF(BW334=CB334+BZ334,"完了","未完"),"")</f>
        <v>未完</v>
      </c>
      <c r="BW334" s="63">
        <f>SUM(BS334:BT341)</f>
        <v>2</v>
      </c>
      <c r="BX334" s="80">
        <v>0</v>
      </c>
      <c r="BY334" s="80">
        <v>0</v>
      </c>
      <c r="BZ334" s="80">
        <v>0</v>
      </c>
      <c r="CA334" s="80">
        <f>BW334-(BX334+BY334+BZ334)</f>
        <v>2</v>
      </c>
      <c r="CB334" s="80">
        <v>0</v>
      </c>
      <c r="CC334" s="80">
        <v>0</v>
      </c>
      <c r="CD334" s="67"/>
      <c r="CE334" s="68"/>
      <c r="CF334" s="68"/>
      <c r="CG334" s="68"/>
      <c r="CH334" s="68"/>
      <c r="CI334" s="68"/>
      <c r="CJ334" s="68"/>
      <c r="CK334" s="68"/>
      <c r="CL334" s="69"/>
    </row>
    <row r="335" spans="3:90" s="61" customFormat="1" x14ac:dyDescent="0.25">
      <c r="C335" s="62"/>
      <c r="D335" s="81"/>
      <c r="E335" s="82"/>
      <c r="F335" s="65"/>
      <c r="I335" s="66"/>
      <c r="J335" s="65"/>
      <c r="N335" s="65"/>
      <c r="T335" s="83"/>
      <c r="U335" s="62"/>
      <c r="V335" s="84"/>
      <c r="W335" s="84"/>
      <c r="X335" s="62"/>
      <c r="Y335" s="92"/>
      <c r="Z335" s="95"/>
      <c r="AA335" s="85"/>
      <c r="AB335" s="125"/>
      <c r="AC335" s="125"/>
      <c r="AD335" s="125"/>
      <c r="AE335" s="91"/>
      <c r="AF335" s="91"/>
      <c r="AG335" s="125"/>
      <c r="AH335" s="125"/>
      <c r="AI335" s="125"/>
      <c r="AJ335" s="125"/>
      <c r="AK335" s="125"/>
      <c r="AL335" s="125"/>
      <c r="AM335" s="126"/>
      <c r="AN335" s="62"/>
      <c r="AO335" s="62"/>
      <c r="AP335" s="85" t="s">
        <v>52</v>
      </c>
      <c r="AX335" s="85"/>
      <c r="AY335" s="85"/>
      <c r="AZ335" s="62"/>
      <c r="BA335" s="62"/>
      <c r="BB335" s="62"/>
      <c r="BC335" s="62"/>
      <c r="BD335" s="85"/>
      <c r="BE335" s="113" t="s">
        <v>50</v>
      </c>
      <c r="BF335" s="61" t="s">
        <v>515</v>
      </c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8"/>
      <c r="BT335" s="88"/>
      <c r="BU335" s="86"/>
      <c r="BV335" s="81"/>
      <c r="BW335" s="81"/>
      <c r="BX335" s="89"/>
      <c r="BY335" s="89"/>
      <c r="BZ335" s="89"/>
      <c r="CA335" s="89"/>
      <c r="CB335" s="89"/>
      <c r="CC335" s="89"/>
      <c r="CD335" s="65"/>
      <c r="CL335" s="66"/>
    </row>
    <row r="336" spans="3:90" s="61" customFormat="1" x14ac:dyDescent="0.25">
      <c r="C336" s="62"/>
      <c r="D336" s="81"/>
      <c r="E336" s="82"/>
      <c r="F336" s="65"/>
      <c r="I336" s="66"/>
      <c r="J336" s="65"/>
      <c r="N336" s="65"/>
      <c r="T336" s="83"/>
      <c r="U336" s="62"/>
      <c r="V336" s="84"/>
      <c r="W336" s="84"/>
      <c r="X336" s="62"/>
      <c r="Y336" s="92"/>
      <c r="Z336" s="95"/>
      <c r="AA336" s="85"/>
      <c r="AB336" s="125"/>
      <c r="AC336" s="125"/>
      <c r="AD336" s="125"/>
      <c r="AE336" s="91"/>
      <c r="AF336" s="91"/>
      <c r="AG336" s="125"/>
      <c r="AH336" s="125"/>
      <c r="AI336" s="125"/>
      <c r="AJ336" s="125"/>
      <c r="AK336" s="125"/>
      <c r="AL336" s="125"/>
      <c r="AM336" s="126"/>
      <c r="AN336" s="62" t="s">
        <v>65</v>
      </c>
      <c r="AO336" s="62"/>
      <c r="AP336" s="85" t="s">
        <v>135</v>
      </c>
      <c r="AQ336" s="61" t="s">
        <v>464</v>
      </c>
      <c r="AX336" s="85"/>
      <c r="AY336" s="85"/>
      <c r="AZ336" s="62"/>
      <c r="BA336" s="62"/>
      <c r="BB336" s="62"/>
      <c r="BC336" s="62"/>
      <c r="BD336" s="85"/>
      <c r="BE336" s="113"/>
      <c r="BF336" s="61" t="s">
        <v>547</v>
      </c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8"/>
      <c r="BT336" s="88"/>
      <c r="BU336" s="86"/>
      <c r="BV336" s="81"/>
      <c r="BW336" s="81"/>
      <c r="BX336" s="89"/>
      <c r="BY336" s="89"/>
      <c r="BZ336" s="89"/>
      <c r="CA336" s="89"/>
      <c r="CB336" s="89"/>
      <c r="CC336" s="89"/>
      <c r="CD336" s="65"/>
      <c r="CL336" s="66"/>
    </row>
    <row r="337" spans="3:90" s="61" customFormat="1" x14ac:dyDescent="0.25">
      <c r="C337" s="62"/>
      <c r="D337" s="81"/>
      <c r="E337" s="82"/>
      <c r="F337" s="65"/>
      <c r="I337" s="66"/>
      <c r="J337" s="65"/>
      <c r="N337" s="65"/>
      <c r="T337" s="83"/>
      <c r="U337" s="62"/>
      <c r="V337" s="84"/>
      <c r="W337" s="84"/>
      <c r="X337" s="62"/>
      <c r="Y337" s="92"/>
      <c r="Z337" s="94"/>
      <c r="AA337" s="85"/>
      <c r="AB337" s="125"/>
      <c r="AC337" s="125"/>
      <c r="AD337" s="125"/>
      <c r="AE337" s="91"/>
      <c r="AF337" s="91"/>
      <c r="AG337" s="125"/>
      <c r="AH337" s="125"/>
      <c r="AI337" s="125"/>
      <c r="AJ337" s="125"/>
      <c r="AK337" s="125"/>
      <c r="AL337" s="125"/>
      <c r="AM337" s="126"/>
      <c r="AN337" s="62"/>
      <c r="AO337" s="62"/>
      <c r="AP337" s="85"/>
      <c r="AX337" s="85"/>
      <c r="AY337" s="85"/>
      <c r="AZ337" s="62"/>
      <c r="BA337" s="62"/>
      <c r="BB337" s="62"/>
      <c r="BC337" s="62"/>
      <c r="BD337" s="85"/>
      <c r="BE337" s="113" t="s">
        <v>50</v>
      </c>
      <c r="BF337" s="61" t="s">
        <v>465</v>
      </c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8"/>
      <c r="BT337" s="88"/>
      <c r="BU337" s="86"/>
      <c r="BV337" s="81"/>
      <c r="BW337" s="81"/>
      <c r="BX337" s="89"/>
      <c r="BY337" s="89"/>
      <c r="BZ337" s="89"/>
      <c r="CA337" s="89"/>
      <c r="CB337" s="89"/>
      <c r="CC337" s="89"/>
      <c r="CD337" s="65"/>
      <c r="CL337" s="66"/>
    </row>
    <row r="338" spans="3:90" s="61" customFormat="1" x14ac:dyDescent="0.25">
      <c r="C338" s="62"/>
      <c r="D338" s="81"/>
      <c r="E338" s="82"/>
      <c r="F338" s="65"/>
      <c r="I338" s="66"/>
      <c r="J338" s="65"/>
      <c r="N338" s="65"/>
      <c r="T338" s="83"/>
      <c r="U338" s="71"/>
      <c r="V338" s="84"/>
      <c r="W338" s="84"/>
      <c r="X338" s="62"/>
      <c r="Y338" s="92"/>
      <c r="Z338" s="94"/>
      <c r="AA338" s="85"/>
      <c r="AB338" s="125"/>
      <c r="AC338" s="125"/>
      <c r="AD338" s="125"/>
      <c r="AE338" s="91"/>
      <c r="AF338" s="91"/>
      <c r="AG338" s="125"/>
      <c r="AH338" s="125"/>
      <c r="AI338" s="125"/>
      <c r="AJ338" s="125"/>
      <c r="AK338" s="125"/>
      <c r="AL338" s="125"/>
      <c r="AM338" s="126"/>
      <c r="AN338" s="62"/>
      <c r="AO338" s="62"/>
      <c r="AP338" s="85"/>
      <c r="AX338" s="85"/>
      <c r="AY338" s="85"/>
      <c r="AZ338" s="62"/>
      <c r="BA338" s="62"/>
      <c r="BB338" s="62"/>
      <c r="BC338" s="62"/>
      <c r="BD338" s="85"/>
      <c r="BE338" s="113"/>
      <c r="BF338" s="62" t="s">
        <v>50</v>
      </c>
      <c r="BG338" s="85" t="s">
        <v>466</v>
      </c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8"/>
      <c r="BT338" s="88"/>
      <c r="BU338" s="86"/>
      <c r="BV338" s="81"/>
      <c r="BW338" s="81"/>
      <c r="BX338" s="89"/>
      <c r="BY338" s="89"/>
      <c r="BZ338" s="89"/>
      <c r="CA338" s="89"/>
      <c r="CB338" s="89"/>
      <c r="CC338" s="89"/>
      <c r="CD338" s="65"/>
      <c r="CL338" s="66"/>
    </row>
    <row r="339" spans="3:90" s="61" customFormat="1" x14ac:dyDescent="0.25">
      <c r="C339" s="62"/>
      <c r="D339" s="81"/>
      <c r="E339" s="82"/>
      <c r="F339" s="65"/>
      <c r="I339" s="66"/>
      <c r="J339" s="65"/>
      <c r="N339" s="65"/>
      <c r="T339" s="83"/>
      <c r="U339" s="71"/>
      <c r="V339" s="84"/>
      <c r="W339" s="84"/>
      <c r="X339" s="62"/>
      <c r="Y339" s="92"/>
      <c r="Z339" s="95"/>
      <c r="AB339" s="125"/>
      <c r="AC339" s="125"/>
      <c r="AD339" s="125"/>
      <c r="AE339" s="91"/>
      <c r="AF339" s="91"/>
      <c r="AG339" s="125"/>
      <c r="AH339" s="125"/>
      <c r="AI339" s="125"/>
      <c r="AJ339" s="125"/>
      <c r="AK339" s="125"/>
      <c r="AL339" s="125"/>
      <c r="AM339" s="126"/>
      <c r="AN339" s="62"/>
      <c r="AO339" s="62"/>
      <c r="AP339" s="85"/>
      <c r="AX339" s="85"/>
      <c r="AY339" s="85"/>
      <c r="AZ339" s="62"/>
      <c r="BA339" s="62"/>
      <c r="BB339" s="62"/>
      <c r="BC339" s="62"/>
      <c r="BD339" s="85"/>
      <c r="BE339" s="113"/>
      <c r="BF339" s="62" t="s">
        <v>50</v>
      </c>
      <c r="BG339" s="85" t="s">
        <v>467</v>
      </c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8"/>
      <c r="BT339" s="88"/>
      <c r="BU339" s="86"/>
      <c r="BV339" s="81"/>
      <c r="BW339" s="81"/>
      <c r="BX339" s="89"/>
      <c r="BY339" s="89"/>
      <c r="BZ339" s="89"/>
      <c r="CA339" s="89"/>
      <c r="CB339" s="89"/>
      <c r="CC339" s="89"/>
      <c r="CD339" s="65"/>
      <c r="CL339" s="66"/>
    </row>
    <row r="340" spans="3:90" s="61" customFormat="1" x14ac:dyDescent="0.25">
      <c r="C340" s="62"/>
      <c r="D340" s="81"/>
      <c r="E340" s="82"/>
      <c r="F340" s="65"/>
      <c r="I340" s="66"/>
      <c r="J340" s="65"/>
      <c r="N340" s="65"/>
      <c r="T340" s="83"/>
      <c r="U340" s="62"/>
      <c r="V340" s="84"/>
      <c r="W340" s="84"/>
      <c r="X340" s="62"/>
      <c r="Y340" s="92"/>
      <c r="Z340" s="95"/>
      <c r="AB340" s="125"/>
      <c r="AC340" s="125"/>
      <c r="AD340" s="125"/>
      <c r="AE340" s="91"/>
      <c r="AF340" s="91"/>
      <c r="AG340" s="125"/>
      <c r="AH340" s="125"/>
      <c r="AI340" s="125"/>
      <c r="AJ340" s="125"/>
      <c r="AK340" s="125"/>
      <c r="AL340" s="125"/>
      <c r="AM340" s="126"/>
      <c r="AN340" s="62"/>
      <c r="AO340" s="62"/>
      <c r="AP340" s="85"/>
      <c r="AX340" s="85"/>
      <c r="AY340" s="85"/>
      <c r="AZ340" s="62"/>
      <c r="BA340" s="62"/>
      <c r="BB340" s="62"/>
      <c r="BC340" s="62"/>
      <c r="BD340" s="85"/>
      <c r="BE340" s="87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8"/>
      <c r="BT340" s="88"/>
      <c r="BU340" s="86"/>
      <c r="BV340" s="81"/>
      <c r="BW340" s="81"/>
      <c r="BX340" s="89"/>
      <c r="BY340" s="89"/>
      <c r="BZ340" s="89"/>
      <c r="CA340" s="89"/>
      <c r="CB340" s="89"/>
      <c r="CC340" s="89"/>
      <c r="CD340" s="65"/>
      <c r="CL340" s="66"/>
    </row>
    <row r="341" spans="3:90" s="61" customFormat="1" x14ac:dyDescent="0.25">
      <c r="C341" s="62"/>
      <c r="D341" s="81"/>
      <c r="E341" s="82"/>
      <c r="F341" s="65"/>
      <c r="I341" s="66"/>
      <c r="J341" s="65"/>
      <c r="N341" s="65"/>
      <c r="T341" s="83"/>
      <c r="U341" s="62"/>
      <c r="V341" s="84"/>
      <c r="W341" s="84"/>
      <c r="X341" s="62"/>
      <c r="Y341" s="92"/>
      <c r="Z341" s="95"/>
      <c r="AA341" s="85"/>
      <c r="AB341" s="125"/>
      <c r="AC341" s="125"/>
      <c r="AD341" s="125"/>
      <c r="AE341" s="91"/>
      <c r="AF341" s="91"/>
      <c r="AG341" s="125"/>
      <c r="AH341" s="125"/>
      <c r="AI341" s="125"/>
      <c r="AJ341" s="125"/>
      <c r="AK341" s="125"/>
      <c r="AL341" s="125"/>
      <c r="AM341" s="126"/>
      <c r="AN341" s="62"/>
      <c r="AO341" s="62"/>
      <c r="AP341" s="85"/>
      <c r="AX341" s="85"/>
      <c r="AY341" s="85"/>
      <c r="AZ341" s="62"/>
      <c r="BA341" s="62"/>
      <c r="BB341" s="62"/>
      <c r="BC341" s="62"/>
      <c r="BD341" s="85"/>
      <c r="BE341" s="113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8"/>
      <c r="BT341" s="88"/>
      <c r="BU341" s="86"/>
      <c r="BV341" s="81"/>
      <c r="BW341" s="81"/>
      <c r="BX341" s="89"/>
      <c r="BY341" s="89"/>
      <c r="BZ341" s="89"/>
      <c r="CA341" s="89"/>
      <c r="CB341" s="89"/>
      <c r="CC341" s="89"/>
      <c r="CD341" s="65"/>
      <c r="CL341" s="66"/>
    </row>
    <row r="342" spans="3:90" s="61" customFormat="1" x14ac:dyDescent="0.25">
      <c r="C342" s="62"/>
      <c r="D342" s="81"/>
      <c r="E342" s="64">
        <v>3</v>
      </c>
      <c r="F342" s="65"/>
      <c r="I342" s="66"/>
      <c r="J342" s="65"/>
      <c r="N342" s="65"/>
      <c r="T342" s="83"/>
      <c r="U342" s="76" t="s">
        <v>63</v>
      </c>
      <c r="V342" s="73" t="s">
        <v>43</v>
      </c>
      <c r="W342" s="84"/>
      <c r="X342" s="63">
        <f>BW342</f>
        <v>2</v>
      </c>
      <c r="Y342" s="120" t="s">
        <v>50</v>
      </c>
      <c r="Z342" s="121" t="s">
        <v>468</v>
      </c>
      <c r="AA342" s="74"/>
      <c r="AB342" s="122"/>
      <c r="AC342" s="122"/>
      <c r="AD342" s="122"/>
      <c r="AE342" s="129"/>
      <c r="AF342" s="129"/>
      <c r="AG342" s="122"/>
      <c r="AH342" s="122"/>
      <c r="AI342" s="122"/>
      <c r="AJ342" s="122"/>
      <c r="AK342" s="122"/>
      <c r="AL342" s="122"/>
      <c r="AM342" s="123"/>
      <c r="AN342" s="76" t="s">
        <v>55</v>
      </c>
      <c r="AO342" s="76"/>
      <c r="AP342" s="74" t="s">
        <v>30</v>
      </c>
      <c r="AQ342" s="68"/>
      <c r="AR342" s="68"/>
      <c r="AS342" s="68"/>
      <c r="AT342" s="68"/>
      <c r="AU342" s="68"/>
      <c r="AV342" s="68"/>
      <c r="AW342" s="68"/>
      <c r="AX342" s="74"/>
      <c r="AY342" s="74"/>
      <c r="AZ342" s="76"/>
      <c r="BA342" s="76"/>
      <c r="BB342" s="76"/>
      <c r="BC342" s="76"/>
      <c r="BD342" s="74"/>
      <c r="BE342" s="78" t="s">
        <v>50</v>
      </c>
      <c r="BF342" s="68" t="s">
        <v>469</v>
      </c>
      <c r="BG342" s="68"/>
      <c r="BH342" s="68"/>
      <c r="BI342" s="74"/>
      <c r="BJ342" s="74"/>
      <c r="BK342" s="74"/>
      <c r="BL342" s="74"/>
      <c r="BM342" s="74"/>
      <c r="BN342" s="74"/>
      <c r="BO342" s="74"/>
      <c r="BP342" s="74"/>
      <c r="BQ342" s="74"/>
      <c r="BR342" s="74"/>
      <c r="BS342" s="79">
        <v>1</v>
      </c>
      <c r="BT342" s="79">
        <v>1</v>
      </c>
      <c r="BU342" s="75"/>
      <c r="BV342" s="63" t="str">
        <f t="shared" ref="BV342" si="35">IF(BW342&lt;&gt;"",IF(BW342=CB342+BZ342,"完了","未完"),"")</f>
        <v>未完</v>
      </c>
      <c r="BW342" s="63">
        <f>SUM(BS342:BT344)</f>
        <v>2</v>
      </c>
      <c r="BX342" s="80">
        <v>0</v>
      </c>
      <c r="BY342" s="80">
        <v>0</v>
      </c>
      <c r="BZ342" s="80">
        <v>0</v>
      </c>
      <c r="CA342" s="80">
        <f>BW342-(BX342+BY342+BZ342)</f>
        <v>2</v>
      </c>
      <c r="CB342" s="80">
        <v>0</v>
      </c>
      <c r="CC342" s="80">
        <v>0</v>
      </c>
      <c r="CD342" s="67"/>
      <c r="CE342" s="68"/>
      <c r="CF342" s="68"/>
      <c r="CG342" s="68"/>
      <c r="CH342" s="68"/>
      <c r="CI342" s="68"/>
      <c r="CJ342" s="68"/>
      <c r="CK342" s="68"/>
      <c r="CL342" s="69"/>
    </row>
    <row r="343" spans="3:90" s="61" customFormat="1" x14ac:dyDescent="0.25">
      <c r="C343" s="62"/>
      <c r="D343" s="81"/>
      <c r="E343" s="82"/>
      <c r="F343" s="65"/>
      <c r="I343" s="66"/>
      <c r="J343" s="65"/>
      <c r="N343" s="65"/>
      <c r="T343" s="83"/>
      <c r="U343" s="71"/>
      <c r="V343" s="84"/>
      <c r="W343" s="84"/>
      <c r="X343" s="62"/>
      <c r="Y343" s="92"/>
      <c r="Z343" s="95"/>
      <c r="AA343" s="85"/>
      <c r="AB343" s="125"/>
      <c r="AC343" s="125"/>
      <c r="AD343" s="125"/>
      <c r="AE343" s="91"/>
      <c r="AF343" s="91"/>
      <c r="AG343" s="125"/>
      <c r="AH343" s="125"/>
      <c r="AI343" s="125"/>
      <c r="AJ343" s="125"/>
      <c r="AK343" s="125"/>
      <c r="AL343" s="125"/>
      <c r="AM343" s="126"/>
      <c r="AN343" s="62"/>
      <c r="AO343" s="62"/>
      <c r="AP343" s="85" t="s">
        <v>52</v>
      </c>
      <c r="AX343" s="85"/>
      <c r="AY343" s="85"/>
      <c r="AZ343" s="62"/>
      <c r="BA343" s="62"/>
      <c r="BB343" s="62"/>
      <c r="BC343" s="62"/>
      <c r="BD343" s="85"/>
      <c r="BE343" s="113" t="s">
        <v>50</v>
      </c>
      <c r="BF343" s="61" t="s">
        <v>463</v>
      </c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8"/>
      <c r="BT343" s="88"/>
      <c r="BU343" s="86"/>
      <c r="BV343" s="81"/>
      <c r="BW343" s="81"/>
      <c r="BX343" s="89"/>
      <c r="BY343" s="89"/>
      <c r="BZ343" s="89"/>
      <c r="CA343" s="89"/>
      <c r="CB343" s="89"/>
      <c r="CC343" s="89"/>
      <c r="CD343" s="65"/>
      <c r="CL343" s="66"/>
    </row>
    <row r="344" spans="3:90" s="61" customFormat="1" x14ac:dyDescent="0.25">
      <c r="C344" s="62"/>
      <c r="D344" s="81"/>
      <c r="E344" s="82"/>
      <c r="F344" s="65"/>
      <c r="I344" s="66"/>
      <c r="J344" s="65"/>
      <c r="N344" s="65"/>
      <c r="T344" s="83"/>
      <c r="U344" s="62"/>
      <c r="V344" s="84"/>
      <c r="W344" s="84"/>
      <c r="X344" s="62"/>
      <c r="Y344" s="92"/>
      <c r="Z344" s="95"/>
      <c r="AA344" s="85"/>
      <c r="AB344" s="125"/>
      <c r="AC344" s="125"/>
      <c r="AD344" s="125"/>
      <c r="AE344" s="91"/>
      <c r="AF344" s="91"/>
      <c r="AG344" s="125"/>
      <c r="AH344" s="125"/>
      <c r="AI344" s="125"/>
      <c r="AJ344" s="125"/>
      <c r="AK344" s="125"/>
      <c r="AL344" s="125"/>
      <c r="AM344" s="126"/>
      <c r="AN344" s="62" t="s">
        <v>65</v>
      </c>
      <c r="AO344" s="62"/>
      <c r="AP344" s="85" t="s">
        <v>123</v>
      </c>
      <c r="AQ344" s="61" t="s">
        <v>512</v>
      </c>
      <c r="AX344" s="85"/>
      <c r="AY344" s="85"/>
      <c r="AZ344" s="62"/>
      <c r="BA344" s="62"/>
      <c r="BB344" s="62"/>
      <c r="BC344" s="62"/>
      <c r="BD344" s="85"/>
      <c r="BE344" s="113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8"/>
      <c r="BT344" s="88"/>
      <c r="BU344" s="86"/>
      <c r="BV344" s="81"/>
      <c r="BW344" s="81"/>
      <c r="BX344" s="89"/>
      <c r="BY344" s="89"/>
      <c r="BZ344" s="89"/>
      <c r="CA344" s="89"/>
      <c r="CB344" s="89"/>
      <c r="CC344" s="89"/>
      <c r="CD344" s="65"/>
      <c r="CL344" s="66"/>
    </row>
    <row r="345" spans="3:90" s="61" customFormat="1" x14ac:dyDescent="0.25">
      <c r="C345" s="62"/>
      <c r="D345" s="81"/>
      <c r="E345" s="82"/>
      <c r="F345" s="65"/>
      <c r="I345" s="66"/>
      <c r="J345" s="65"/>
      <c r="N345" s="65"/>
      <c r="T345" s="83"/>
      <c r="U345" s="62"/>
      <c r="V345" s="84"/>
      <c r="W345" s="84"/>
      <c r="X345" s="62"/>
      <c r="Y345" s="92"/>
      <c r="Z345" s="95"/>
      <c r="AA345" s="85"/>
      <c r="AB345" s="125"/>
      <c r="AC345" s="125"/>
      <c r="AD345" s="125"/>
      <c r="AE345" s="91"/>
      <c r="AF345" s="91"/>
      <c r="AG345" s="125"/>
      <c r="AH345" s="125"/>
      <c r="AI345" s="125"/>
      <c r="AJ345" s="125"/>
      <c r="AK345" s="125"/>
      <c r="AL345" s="125"/>
      <c r="AM345" s="126"/>
      <c r="AN345" s="62"/>
      <c r="AO345" s="62"/>
      <c r="AP345" s="85" t="s">
        <v>52</v>
      </c>
      <c r="AX345" s="85"/>
      <c r="AY345" s="85"/>
      <c r="AZ345" s="62"/>
      <c r="BA345" s="62"/>
      <c r="BB345" s="62"/>
      <c r="BC345" s="62"/>
      <c r="BD345" s="85"/>
      <c r="BE345" s="113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8"/>
      <c r="BT345" s="88"/>
      <c r="BU345" s="86"/>
      <c r="BV345" s="81"/>
      <c r="BW345" s="81"/>
      <c r="BX345" s="89"/>
      <c r="BY345" s="89"/>
      <c r="BZ345" s="89"/>
      <c r="CA345" s="89"/>
      <c r="CB345" s="89"/>
      <c r="CC345" s="89"/>
      <c r="CD345" s="65"/>
      <c r="CL345" s="66"/>
    </row>
    <row r="346" spans="3:90" s="61" customFormat="1" x14ac:dyDescent="0.25">
      <c r="C346" s="62"/>
      <c r="D346" s="81"/>
      <c r="E346" s="82"/>
      <c r="F346" s="65"/>
      <c r="I346" s="66"/>
      <c r="J346" s="65"/>
      <c r="N346" s="65"/>
      <c r="T346" s="83"/>
      <c r="U346" s="62"/>
      <c r="V346" s="84"/>
      <c r="W346" s="84"/>
      <c r="X346" s="62"/>
      <c r="Y346" s="92"/>
      <c r="Z346" s="95"/>
      <c r="AA346" s="85"/>
      <c r="AB346" s="125"/>
      <c r="AC346" s="125"/>
      <c r="AD346" s="125"/>
      <c r="AE346" s="91"/>
      <c r="AF346" s="91"/>
      <c r="AG346" s="125"/>
      <c r="AH346" s="125"/>
      <c r="AI346" s="125"/>
      <c r="AJ346" s="125"/>
      <c r="AK346" s="125"/>
      <c r="AL346" s="125"/>
      <c r="AM346" s="126"/>
      <c r="AN346" s="62" t="s">
        <v>66</v>
      </c>
      <c r="AO346" s="62"/>
      <c r="AP346" s="85" t="s">
        <v>130</v>
      </c>
      <c r="AX346" s="85"/>
      <c r="AY346" s="85"/>
      <c r="AZ346" s="62"/>
      <c r="BA346" s="62"/>
      <c r="BB346" s="62"/>
      <c r="BC346" s="62"/>
      <c r="BD346" s="85"/>
      <c r="BE346" s="113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8"/>
      <c r="BT346" s="88"/>
      <c r="BU346" s="86"/>
      <c r="BV346" s="81"/>
      <c r="BW346" s="81"/>
      <c r="BX346" s="89"/>
      <c r="BY346" s="89"/>
      <c r="BZ346" s="89"/>
      <c r="CA346" s="89"/>
      <c r="CB346" s="89"/>
      <c r="CC346" s="89"/>
      <c r="CD346" s="65"/>
      <c r="CL346" s="66"/>
    </row>
    <row r="347" spans="3:90" s="61" customFormat="1" x14ac:dyDescent="0.25">
      <c r="C347" s="62"/>
      <c r="D347" s="81"/>
      <c r="E347" s="82"/>
      <c r="F347" s="65"/>
      <c r="I347" s="66"/>
      <c r="J347" s="65"/>
      <c r="N347" s="65"/>
      <c r="T347" s="83"/>
      <c r="U347" s="62"/>
      <c r="V347" s="84"/>
      <c r="W347" s="84"/>
      <c r="X347" s="62"/>
      <c r="Y347" s="92"/>
      <c r="Z347" s="95"/>
      <c r="AA347" s="85"/>
      <c r="AB347" s="125"/>
      <c r="AC347" s="125"/>
      <c r="AD347" s="125"/>
      <c r="AE347" s="91"/>
      <c r="AF347" s="91"/>
      <c r="AG347" s="125"/>
      <c r="AH347" s="125"/>
      <c r="AI347" s="125"/>
      <c r="AJ347" s="125"/>
      <c r="AK347" s="125"/>
      <c r="AL347" s="125"/>
      <c r="AM347" s="126"/>
      <c r="AN347" s="62"/>
      <c r="AO347" s="62"/>
      <c r="AP347" s="85" t="s">
        <v>52</v>
      </c>
      <c r="AX347" s="85"/>
      <c r="AY347" s="85"/>
      <c r="AZ347" s="62"/>
      <c r="BA347" s="62"/>
      <c r="BB347" s="62"/>
      <c r="BC347" s="62"/>
      <c r="BD347" s="85"/>
      <c r="BE347" s="113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8"/>
      <c r="BT347" s="88"/>
      <c r="BU347" s="86"/>
      <c r="BV347" s="81"/>
      <c r="BW347" s="81"/>
      <c r="BX347" s="89"/>
      <c r="BY347" s="89"/>
      <c r="BZ347" s="89"/>
      <c r="CA347" s="89"/>
      <c r="CB347" s="89"/>
      <c r="CC347" s="89"/>
      <c r="CD347" s="65"/>
      <c r="CL347" s="66"/>
    </row>
    <row r="348" spans="3:90" s="61" customFormat="1" x14ac:dyDescent="0.25">
      <c r="C348" s="62"/>
      <c r="D348" s="81"/>
      <c r="E348" s="82"/>
      <c r="F348" s="65"/>
      <c r="I348" s="66"/>
      <c r="J348" s="65"/>
      <c r="N348" s="65"/>
      <c r="T348" s="83"/>
      <c r="U348" s="62"/>
      <c r="V348" s="84"/>
      <c r="W348" s="84"/>
      <c r="X348" s="62"/>
      <c r="Y348" s="92"/>
      <c r="Z348" s="95"/>
      <c r="AA348" s="85"/>
      <c r="AB348" s="125"/>
      <c r="AC348" s="125"/>
      <c r="AD348" s="125"/>
      <c r="AE348" s="91"/>
      <c r="AF348" s="91"/>
      <c r="AG348" s="125"/>
      <c r="AH348" s="125"/>
      <c r="AI348" s="125"/>
      <c r="AJ348" s="125"/>
      <c r="AK348" s="125"/>
      <c r="AL348" s="125"/>
      <c r="AM348" s="126"/>
      <c r="AN348" s="71" t="s">
        <v>71</v>
      </c>
      <c r="AO348" s="62"/>
      <c r="AP348" s="85" t="s">
        <v>123</v>
      </c>
      <c r="AQ348" s="61" t="s">
        <v>513</v>
      </c>
      <c r="AX348" s="85"/>
      <c r="AY348" s="85"/>
      <c r="AZ348" s="62"/>
      <c r="BA348" s="62"/>
      <c r="BB348" s="62"/>
      <c r="BC348" s="62"/>
      <c r="BD348" s="85"/>
      <c r="BE348" s="113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8"/>
      <c r="BT348" s="88"/>
      <c r="BU348" s="86"/>
      <c r="BV348" s="81"/>
      <c r="BW348" s="81"/>
      <c r="BX348" s="89"/>
      <c r="BY348" s="89"/>
      <c r="BZ348" s="89"/>
      <c r="CA348" s="89"/>
      <c r="CB348" s="89"/>
      <c r="CC348" s="89"/>
      <c r="CD348" s="65"/>
      <c r="CL348" s="66"/>
    </row>
    <row r="349" spans="3:90" s="61" customFormat="1" x14ac:dyDescent="0.25">
      <c r="C349" s="62"/>
      <c r="D349" s="81"/>
      <c r="E349" s="82"/>
      <c r="F349" s="65"/>
      <c r="I349" s="66"/>
      <c r="J349" s="65"/>
      <c r="N349" s="65"/>
      <c r="T349" s="83"/>
      <c r="U349" s="62"/>
      <c r="V349" s="84"/>
      <c r="W349" s="84"/>
      <c r="X349" s="62"/>
      <c r="Y349" s="92"/>
      <c r="Z349" s="95"/>
      <c r="AA349" s="85"/>
      <c r="AB349" s="125"/>
      <c r="AC349" s="125"/>
      <c r="AD349" s="125"/>
      <c r="AE349" s="91"/>
      <c r="AF349" s="91"/>
      <c r="AG349" s="125"/>
      <c r="AH349" s="125"/>
      <c r="AI349" s="125"/>
      <c r="AJ349" s="125"/>
      <c r="AK349" s="125"/>
      <c r="AL349" s="125"/>
      <c r="AM349" s="126"/>
      <c r="AN349" s="62"/>
      <c r="AO349" s="62"/>
      <c r="AP349" s="85" t="s">
        <v>52</v>
      </c>
      <c r="AX349" s="85"/>
      <c r="AY349" s="85"/>
      <c r="AZ349" s="62"/>
      <c r="BA349" s="62"/>
      <c r="BB349" s="62"/>
      <c r="BC349" s="62"/>
      <c r="BD349" s="85"/>
      <c r="BE349" s="113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8"/>
      <c r="BT349" s="88"/>
      <c r="BU349" s="86"/>
      <c r="BV349" s="81"/>
      <c r="BW349" s="81"/>
      <c r="BX349" s="89"/>
      <c r="BY349" s="89"/>
      <c r="BZ349" s="89"/>
      <c r="CA349" s="89"/>
      <c r="CB349" s="89"/>
      <c r="CC349" s="89"/>
      <c r="CD349" s="65"/>
      <c r="CL349" s="66"/>
    </row>
    <row r="350" spans="3:90" s="61" customFormat="1" x14ac:dyDescent="0.25">
      <c r="C350" s="62"/>
      <c r="D350" s="81"/>
      <c r="E350" s="82"/>
      <c r="F350" s="65"/>
      <c r="I350" s="66"/>
      <c r="J350" s="65"/>
      <c r="N350" s="65"/>
      <c r="T350" s="83"/>
      <c r="U350" s="62"/>
      <c r="V350" s="84"/>
      <c r="W350" s="84"/>
      <c r="X350" s="62"/>
      <c r="Y350" s="92"/>
      <c r="Z350" s="95"/>
      <c r="AA350" s="85"/>
      <c r="AB350" s="125"/>
      <c r="AC350" s="125"/>
      <c r="AD350" s="125"/>
      <c r="AE350" s="91"/>
      <c r="AF350" s="91"/>
      <c r="AG350" s="125"/>
      <c r="AH350" s="125"/>
      <c r="AI350" s="125"/>
      <c r="AJ350" s="125"/>
      <c r="AK350" s="125"/>
      <c r="AL350" s="125"/>
      <c r="AM350" s="126"/>
      <c r="AN350" s="62" t="s">
        <v>72</v>
      </c>
      <c r="AO350" s="62"/>
      <c r="AP350" s="85" t="s">
        <v>138</v>
      </c>
      <c r="AX350" s="85"/>
      <c r="AY350" s="85"/>
      <c r="AZ350" s="62"/>
      <c r="BA350" s="62"/>
      <c r="BB350" s="62"/>
      <c r="BC350" s="62"/>
      <c r="BD350" s="85"/>
      <c r="BE350" s="113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8"/>
      <c r="BT350" s="88"/>
      <c r="BU350" s="86"/>
      <c r="BV350" s="81"/>
      <c r="BW350" s="81"/>
      <c r="BX350" s="89"/>
      <c r="BY350" s="89"/>
      <c r="BZ350" s="89"/>
      <c r="CA350" s="89"/>
      <c r="CB350" s="89"/>
      <c r="CC350" s="89"/>
      <c r="CD350" s="65"/>
      <c r="CL350" s="66"/>
    </row>
    <row r="351" spans="3:90" s="61" customFormat="1" x14ac:dyDescent="0.25">
      <c r="C351" s="62"/>
      <c r="D351" s="81"/>
      <c r="E351" s="82"/>
      <c r="F351" s="65"/>
      <c r="I351" s="66"/>
      <c r="J351" s="65"/>
      <c r="N351" s="65"/>
      <c r="T351" s="83"/>
      <c r="U351" s="62"/>
      <c r="V351" s="84"/>
      <c r="W351" s="84"/>
      <c r="X351" s="62"/>
      <c r="Y351" s="92"/>
      <c r="Z351" s="95"/>
      <c r="AA351" s="85"/>
      <c r="AB351" s="125"/>
      <c r="AC351" s="125"/>
      <c r="AD351" s="125"/>
      <c r="AE351" s="91"/>
      <c r="AF351" s="91"/>
      <c r="AG351" s="125"/>
      <c r="AH351" s="125"/>
      <c r="AI351" s="125"/>
      <c r="AJ351" s="125"/>
      <c r="AK351" s="125"/>
      <c r="AL351" s="125"/>
      <c r="AM351" s="126"/>
      <c r="AN351" s="62"/>
      <c r="AO351" s="62"/>
      <c r="AP351" s="85"/>
      <c r="AX351" s="85"/>
      <c r="AY351" s="85"/>
      <c r="AZ351" s="62"/>
      <c r="BA351" s="62"/>
      <c r="BB351" s="62"/>
      <c r="BC351" s="62"/>
      <c r="BD351" s="85"/>
      <c r="BE351" s="113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8"/>
      <c r="BT351" s="88"/>
      <c r="BU351" s="86"/>
      <c r="BV351" s="81"/>
      <c r="BW351" s="81"/>
      <c r="BX351" s="89"/>
      <c r="BY351" s="89"/>
      <c r="BZ351" s="89"/>
      <c r="CA351" s="89"/>
      <c r="CB351" s="89"/>
      <c r="CC351" s="89"/>
      <c r="CD351" s="65"/>
      <c r="CL351" s="66"/>
    </row>
    <row r="352" spans="3:90" s="61" customFormat="1" x14ac:dyDescent="0.25">
      <c r="C352" s="71"/>
      <c r="D352" s="81"/>
      <c r="E352" s="82"/>
      <c r="F352" s="65"/>
      <c r="I352" s="66"/>
      <c r="J352" s="65"/>
      <c r="N352" s="65"/>
      <c r="T352" s="66"/>
      <c r="U352" s="62"/>
      <c r="V352" s="84"/>
      <c r="W352" s="84"/>
      <c r="X352" s="62"/>
      <c r="Y352" s="65"/>
      <c r="AE352" s="93"/>
      <c r="AF352" s="93"/>
      <c r="AM352" s="66"/>
      <c r="AN352" s="92"/>
      <c r="AO352" s="62"/>
      <c r="AZ352" s="62"/>
      <c r="BA352" s="62"/>
      <c r="BB352" s="62"/>
      <c r="BC352" s="62"/>
      <c r="BE352" s="137"/>
      <c r="BS352" s="114"/>
      <c r="BT352" s="114"/>
      <c r="BU352" s="66"/>
      <c r="BV352" s="81"/>
      <c r="BW352" s="90"/>
      <c r="BX352" s="90"/>
      <c r="BY352" s="90"/>
      <c r="BZ352" s="90"/>
      <c r="CA352" s="90"/>
      <c r="CB352" s="90"/>
      <c r="CC352" s="90"/>
      <c r="CD352" s="65"/>
      <c r="CL352" s="66"/>
    </row>
    <row r="353" spans="3:90" s="61" customFormat="1" x14ac:dyDescent="0.25">
      <c r="C353" s="71"/>
      <c r="D353" s="63">
        <v>140</v>
      </c>
      <c r="E353" s="111">
        <v>1</v>
      </c>
      <c r="F353" s="65"/>
      <c r="I353" s="66"/>
      <c r="J353" s="65"/>
      <c r="N353" s="67" t="s">
        <v>23</v>
      </c>
      <c r="O353" s="68"/>
      <c r="P353" s="68"/>
      <c r="Q353" s="68"/>
      <c r="R353" s="68"/>
      <c r="S353" s="68"/>
      <c r="T353" s="70"/>
      <c r="U353" s="76" t="s">
        <v>63</v>
      </c>
      <c r="V353" s="73" t="s">
        <v>43</v>
      </c>
      <c r="W353" s="73"/>
      <c r="X353" s="63">
        <f>BW353</f>
        <v>1</v>
      </c>
      <c r="Y353" s="120" t="s">
        <v>50</v>
      </c>
      <c r="Z353" s="121" t="s">
        <v>472</v>
      </c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30"/>
      <c r="AN353" s="76" t="s">
        <v>55</v>
      </c>
      <c r="AO353" s="76"/>
      <c r="AP353" s="122" t="s">
        <v>514</v>
      </c>
      <c r="AQ353" s="77"/>
      <c r="AR353" s="68"/>
      <c r="AS353" s="68"/>
      <c r="AT353" s="68"/>
      <c r="AU353" s="68"/>
      <c r="AV353" s="68"/>
      <c r="AW353" s="68"/>
      <c r="AX353" s="68"/>
      <c r="AY353" s="68"/>
      <c r="AZ353" s="76"/>
      <c r="BA353" s="76"/>
      <c r="BB353" s="76"/>
      <c r="BC353" s="76"/>
      <c r="BD353" s="68"/>
      <c r="BE353" s="78" t="s">
        <v>50</v>
      </c>
      <c r="BF353" s="68" t="s">
        <v>21</v>
      </c>
      <c r="BG353" s="68"/>
      <c r="BH353" s="68"/>
      <c r="BI353" s="74"/>
      <c r="BJ353" s="74"/>
      <c r="BK353" s="74"/>
      <c r="BL353" s="68"/>
      <c r="BM353" s="68"/>
      <c r="BN353" s="68"/>
      <c r="BO353" s="68"/>
      <c r="BP353" s="68"/>
      <c r="BQ353" s="68"/>
      <c r="BR353" s="68"/>
      <c r="BS353" s="112">
        <v>1</v>
      </c>
      <c r="BT353" s="112">
        <v>0</v>
      </c>
      <c r="BU353" s="69"/>
      <c r="BV353" s="63" t="str">
        <f t="shared" si="16"/>
        <v>未完</v>
      </c>
      <c r="BW353" s="63">
        <f>SUM(BS353:BT361)</f>
        <v>1</v>
      </c>
      <c r="BX353" s="80">
        <v>0</v>
      </c>
      <c r="BY353" s="80">
        <v>0</v>
      </c>
      <c r="BZ353" s="80">
        <v>0</v>
      </c>
      <c r="CA353" s="80">
        <f>BW353-(BX353+BY353+BZ353)</f>
        <v>1</v>
      </c>
      <c r="CB353" s="80">
        <v>0</v>
      </c>
      <c r="CC353" s="80">
        <v>0</v>
      </c>
      <c r="CD353" s="67"/>
      <c r="CE353" s="68"/>
      <c r="CF353" s="68"/>
      <c r="CG353" s="68"/>
      <c r="CH353" s="68"/>
      <c r="CI353" s="68"/>
      <c r="CJ353" s="68"/>
      <c r="CK353" s="68"/>
      <c r="CL353" s="69"/>
    </row>
    <row r="354" spans="3:90" s="61" customFormat="1" x14ac:dyDescent="0.25">
      <c r="C354" s="71"/>
      <c r="D354" s="81"/>
      <c r="E354" s="82"/>
      <c r="F354" s="224"/>
      <c r="G354" s="225"/>
      <c r="H354" s="225"/>
      <c r="I354" s="226"/>
      <c r="J354" s="65"/>
      <c r="N354" s="65"/>
      <c r="T354" s="83"/>
      <c r="U354" s="62"/>
      <c r="V354" s="84"/>
      <c r="W354" s="84"/>
      <c r="X354" s="62"/>
      <c r="Y354" s="124"/>
      <c r="Z354" s="125" t="s">
        <v>56</v>
      </c>
      <c r="AA354" s="125" t="s">
        <v>490</v>
      </c>
      <c r="AB354" s="125"/>
      <c r="AC354" s="125"/>
      <c r="AD354" s="95"/>
      <c r="AE354" s="95"/>
      <c r="AF354" s="95"/>
      <c r="AG354" s="95"/>
      <c r="AH354" s="95"/>
      <c r="AI354" s="95"/>
      <c r="AJ354" s="95"/>
      <c r="AK354" s="95"/>
      <c r="AL354" s="95"/>
      <c r="AM354" s="131"/>
      <c r="AN354" s="62"/>
      <c r="AO354" s="62"/>
      <c r="AP354" s="85" t="s">
        <v>52</v>
      </c>
      <c r="AZ354" s="62"/>
      <c r="BA354" s="62"/>
      <c r="BB354" s="62"/>
      <c r="BC354" s="62"/>
      <c r="BE354" s="113" t="s">
        <v>50</v>
      </c>
      <c r="BF354" s="61" t="s">
        <v>506</v>
      </c>
      <c r="BS354" s="114"/>
      <c r="BT354" s="114"/>
      <c r="BU354" s="66"/>
      <c r="BV354" s="81"/>
      <c r="BW354" s="90"/>
      <c r="BX354" s="90"/>
      <c r="BY354" s="90"/>
      <c r="BZ354" s="90"/>
      <c r="CA354" s="90"/>
      <c r="CB354" s="90"/>
      <c r="CC354" s="90"/>
      <c r="CD354" s="65"/>
      <c r="CE354" s="93"/>
      <c r="CL354" s="66"/>
    </row>
    <row r="355" spans="3:90" s="61" customFormat="1" x14ac:dyDescent="0.25">
      <c r="C355" s="71"/>
      <c r="D355" s="81"/>
      <c r="E355" s="82"/>
      <c r="F355" s="224"/>
      <c r="G355" s="225"/>
      <c r="H355" s="225"/>
      <c r="I355" s="226"/>
      <c r="J355" s="65"/>
      <c r="N355" s="65"/>
      <c r="T355" s="66"/>
      <c r="U355" s="62"/>
      <c r="V355" s="84"/>
      <c r="W355" s="84"/>
      <c r="X355" s="62"/>
      <c r="Y355" s="92"/>
      <c r="Z355" s="85"/>
      <c r="AA355" s="8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  <c r="AM355" s="126"/>
      <c r="AN355" s="62" t="s">
        <v>65</v>
      </c>
      <c r="AO355" s="62"/>
      <c r="AP355" s="85" t="s">
        <v>30</v>
      </c>
      <c r="AQ355" s="61" t="s">
        <v>476</v>
      </c>
      <c r="AZ355" s="62"/>
      <c r="BA355" s="62"/>
      <c r="BB355" s="62"/>
      <c r="BC355" s="62"/>
      <c r="BE355" s="113"/>
      <c r="BF355" s="61" t="s">
        <v>473</v>
      </c>
      <c r="BS355" s="114"/>
      <c r="BT355" s="114"/>
      <c r="BU355" s="66"/>
      <c r="BV355" s="81" t="str">
        <f t="shared" ref="BV355:BV357" si="36">IF(BW355&lt;&gt;"",IF(BW355=CB355+BZ355,"完了","未完"),"")</f>
        <v/>
      </c>
      <c r="BW355" s="90"/>
      <c r="BX355" s="90"/>
      <c r="BY355" s="90"/>
      <c r="BZ355" s="90"/>
      <c r="CA355" s="90"/>
      <c r="CB355" s="90"/>
      <c r="CC355" s="90"/>
      <c r="CD355" s="65"/>
      <c r="CL355" s="66"/>
    </row>
    <row r="356" spans="3:90" s="61" customFormat="1" x14ac:dyDescent="0.25">
      <c r="C356" s="71"/>
      <c r="D356" s="81"/>
      <c r="E356" s="82"/>
      <c r="F356" s="224"/>
      <c r="G356" s="225"/>
      <c r="H356" s="225"/>
      <c r="I356" s="226"/>
      <c r="J356" s="65"/>
      <c r="N356" s="65"/>
      <c r="T356" s="66"/>
      <c r="U356" s="62"/>
      <c r="V356" s="84"/>
      <c r="W356" s="84"/>
      <c r="X356" s="62"/>
      <c r="Y356" s="124"/>
      <c r="Z356" s="85"/>
      <c r="AA356" s="8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6"/>
      <c r="AN356" s="71"/>
      <c r="AO356" s="62"/>
      <c r="AP356" s="85" t="s">
        <v>52</v>
      </c>
      <c r="AZ356" s="62"/>
      <c r="BA356" s="62"/>
      <c r="BB356" s="62"/>
      <c r="BC356" s="62"/>
      <c r="BE356" s="113"/>
      <c r="BF356" s="61" t="s">
        <v>474</v>
      </c>
      <c r="BS356" s="99"/>
      <c r="BT356" s="99"/>
      <c r="BU356" s="66"/>
      <c r="BV356" s="81" t="str">
        <f t="shared" si="36"/>
        <v/>
      </c>
      <c r="BW356" s="90"/>
      <c r="BX356" s="90"/>
      <c r="BY356" s="90"/>
      <c r="BZ356" s="90"/>
      <c r="CA356" s="90"/>
      <c r="CB356" s="90"/>
      <c r="CC356" s="90"/>
      <c r="CD356" s="65"/>
      <c r="CL356" s="66"/>
    </row>
    <row r="357" spans="3:90" s="61" customFormat="1" x14ac:dyDescent="0.25">
      <c r="C357" s="71"/>
      <c r="D357" s="81"/>
      <c r="E357" s="82"/>
      <c r="F357" s="224"/>
      <c r="G357" s="225"/>
      <c r="H357" s="225"/>
      <c r="I357" s="226"/>
      <c r="J357" s="65"/>
      <c r="N357" s="65"/>
      <c r="T357" s="66"/>
      <c r="U357" s="62"/>
      <c r="V357" s="84"/>
      <c r="W357" s="84"/>
      <c r="X357" s="62"/>
      <c r="Y357" s="124"/>
      <c r="Z357" s="125"/>
      <c r="AA357" s="9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6"/>
      <c r="AN357" s="62" t="s">
        <v>66</v>
      </c>
      <c r="AO357" s="94"/>
      <c r="AP357" s="61" t="s">
        <v>124</v>
      </c>
      <c r="AZ357" s="62"/>
      <c r="BA357" s="62"/>
      <c r="BB357" s="62"/>
      <c r="BC357" s="62"/>
      <c r="BE357" s="113"/>
      <c r="BF357" s="61" t="s">
        <v>475</v>
      </c>
      <c r="BS357" s="99"/>
      <c r="BT357" s="99"/>
      <c r="BU357" s="66"/>
      <c r="BV357" s="81" t="str">
        <f t="shared" si="36"/>
        <v/>
      </c>
      <c r="BW357" s="90"/>
      <c r="BX357" s="90"/>
      <c r="BY357" s="90"/>
      <c r="BZ357" s="90"/>
      <c r="CA357" s="90"/>
      <c r="CB357" s="90"/>
      <c r="CC357" s="90"/>
      <c r="CD357" s="65"/>
      <c r="CL357" s="66"/>
    </row>
    <row r="358" spans="3:90" s="61" customFormat="1" x14ac:dyDescent="0.25">
      <c r="C358" s="71"/>
      <c r="D358" s="81"/>
      <c r="E358" s="82"/>
      <c r="F358" s="224"/>
      <c r="G358" s="225"/>
      <c r="H358" s="225"/>
      <c r="I358" s="226"/>
      <c r="J358" s="65"/>
      <c r="N358" s="65"/>
      <c r="T358" s="66"/>
      <c r="U358" s="62"/>
      <c r="V358" s="84"/>
      <c r="W358" s="84"/>
      <c r="X358" s="62"/>
      <c r="Y358" s="124"/>
      <c r="Z358" s="91"/>
      <c r="AA358" s="9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  <c r="AM358" s="126"/>
      <c r="AN358" s="94"/>
      <c r="AO358" s="62"/>
      <c r="AP358" s="85"/>
      <c r="AZ358" s="62"/>
      <c r="BA358" s="62"/>
      <c r="BB358" s="62"/>
      <c r="BC358" s="62"/>
      <c r="BE358" s="113" t="s">
        <v>50</v>
      </c>
      <c r="BF358" s="61" t="s">
        <v>515</v>
      </c>
      <c r="BS358" s="114"/>
      <c r="BT358" s="114"/>
      <c r="BU358" s="66"/>
      <c r="BV358" s="81"/>
      <c r="BW358" s="90"/>
      <c r="BX358" s="90"/>
      <c r="BY358" s="90"/>
      <c r="BZ358" s="90"/>
      <c r="CA358" s="90"/>
      <c r="CB358" s="90"/>
      <c r="CC358" s="90"/>
      <c r="CD358" s="65"/>
      <c r="CL358" s="66"/>
    </row>
    <row r="359" spans="3:90" s="61" customFormat="1" x14ac:dyDescent="0.25">
      <c r="C359" s="71"/>
      <c r="D359" s="81"/>
      <c r="E359" s="82"/>
      <c r="F359" s="224"/>
      <c r="G359" s="225"/>
      <c r="H359" s="225"/>
      <c r="I359" s="226"/>
      <c r="J359" s="65"/>
      <c r="N359" s="65"/>
      <c r="T359" s="66"/>
      <c r="U359" s="62"/>
      <c r="V359" s="84"/>
      <c r="W359" s="84"/>
      <c r="X359" s="62"/>
      <c r="Y359" s="124"/>
      <c r="Z359" s="91"/>
      <c r="AA359" s="9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  <c r="AM359" s="126"/>
      <c r="AN359" s="94"/>
      <c r="AO359" s="62"/>
      <c r="AP359" s="85"/>
      <c r="AZ359" s="62"/>
      <c r="BA359" s="62"/>
      <c r="BB359" s="62"/>
      <c r="BC359" s="62"/>
      <c r="BE359" s="113"/>
      <c r="BF359" s="61" t="s">
        <v>547</v>
      </c>
      <c r="BS359" s="114"/>
      <c r="BT359" s="114"/>
      <c r="BU359" s="66"/>
      <c r="BV359" s="81"/>
      <c r="BW359" s="90"/>
      <c r="BX359" s="90"/>
      <c r="BY359" s="90"/>
      <c r="BZ359" s="90"/>
      <c r="CA359" s="90"/>
      <c r="CB359" s="90"/>
      <c r="CC359" s="90"/>
      <c r="CD359" s="65"/>
      <c r="CL359" s="66"/>
    </row>
    <row r="360" spans="3:90" s="61" customFormat="1" x14ac:dyDescent="0.25">
      <c r="C360" s="71"/>
      <c r="D360" s="81"/>
      <c r="E360" s="82"/>
      <c r="F360" s="224"/>
      <c r="G360" s="225"/>
      <c r="H360" s="225"/>
      <c r="I360" s="226"/>
      <c r="J360" s="65"/>
      <c r="N360" s="65"/>
      <c r="T360" s="66"/>
      <c r="U360" s="62"/>
      <c r="V360" s="84"/>
      <c r="W360" s="84"/>
      <c r="X360" s="62"/>
      <c r="Y360" s="124"/>
      <c r="Z360" s="91"/>
      <c r="AA360" s="9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  <c r="AM360" s="126"/>
      <c r="AN360" s="94"/>
      <c r="AO360" s="62"/>
      <c r="AP360" s="85"/>
      <c r="AZ360" s="62"/>
      <c r="BA360" s="62"/>
      <c r="BB360" s="62"/>
      <c r="BC360" s="62"/>
      <c r="BE360" s="113"/>
      <c r="BS360" s="114"/>
      <c r="BT360" s="114"/>
      <c r="BU360" s="66"/>
      <c r="BV360" s="81"/>
      <c r="BW360" s="90"/>
      <c r="BX360" s="90"/>
      <c r="BY360" s="90"/>
      <c r="BZ360" s="90"/>
      <c r="CA360" s="90"/>
      <c r="CB360" s="90"/>
      <c r="CC360" s="90"/>
      <c r="CD360" s="65"/>
      <c r="CL360" s="66"/>
    </row>
    <row r="361" spans="3:90" s="61" customFormat="1" x14ac:dyDescent="0.25">
      <c r="C361" s="71"/>
      <c r="D361" s="97"/>
      <c r="E361" s="115"/>
      <c r="F361" s="65"/>
      <c r="I361" s="66"/>
      <c r="J361" s="65"/>
      <c r="N361" s="101"/>
      <c r="O361" s="100"/>
      <c r="P361" s="100"/>
      <c r="Q361" s="100"/>
      <c r="R361" s="100"/>
      <c r="S361" s="100"/>
      <c r="T361" s="102"/>
      <c r="U361" s="105"/>
      <c r="V361" s="116"/>
      <c r="W361" s="116"/>
      <c r="X361" s="105"/>
      <c r="Y361" s="133"/>
      <c r="Z361" s="228"/>
      <c r="AA361" s="134"/>
      <c r="AB361" s="240"/>
      <c r="AC361" s="240"/>
      <c r="AD361" s="240"/>
      <c r="AE361" s="240"/>
      <c r="AF361" s="240"/>
      <c r="AG361" s="240"/>
      <c r="AH361" s="240"/>
      <c r="AI361" s="240"/>
      <c r="AJ361" s="240"/>
      <c r="AK361" s="240"/>
      <c r="AL361" s="240"/>
      <c r="AM361" s="241"/>
      <c r="AN361" s="242"/>
      <c r="AO361" s="105"/>
      <c r="AP361" s="127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5"/>
      <c r="BA361" s="105"/>
      <c r="BB361" s="105"/>
      <c r="BC361" s="105"/>
      <c r="BD361" s="100"/>
      <c r="BE361" s="230"/>
      <c r="BF361" s="100"/>
      <c r="BG361" s="100"/>
      <c r="BH361" s="100"/>
      <c r="BI361" s="100"/>
      <c r="BJ361" s="100"/>
      <c r="BK361" s="100"/>
      <c r="BL361" s="100"/>
      <c r="BM361" s="100"/>
      <c r="BN361" s="100"/>
      <c r="BO361" s="100"/>
      <c r="BP361" s="100"/>
      <c r="BQ361" s="100"/>
      <c r="BR361" s="100"/>
      <c r="BS361" s="132"/>
      <c r="BT361" s="132"/>
      <c r="BU361" s="102"/>
      <c r="BV361" s="97"/>
      <c r="BW361" s="119"/>
      <c r="BX361" s="119"/>
      <c r="BY361" s="119"/>
      <c r="BZ361" s="119"/>
      <c r="CA361" s="119"/>
      <c r="CB361" s="119"/>
      <c r="CC361" s="119"/>
      <c r="CD361" s="101"/>
      <c r="CE361" s="100"/>
      <c r="CF361" s="100"/>
      <c r="CG361" s="100"/>
      <c r="CH361" s="100"/>
      <c r="CI361" s="100"/>
      <c r="CJ361" s="100"/>
      <c r="CK361" s="100"/>
      <c r="CL361" s="102"/>
    </row>
    <row r="362" spans="3:90" s="61" customFormat="1" x14ac:dyDescent="0.25">
      <c r="C362" s="71"/>
      <c r="D362" s="81">
        <v>210</v>
      </c>
      <c r="E362" s="82">
        <v>1</v>
      </c>
      <c r="F362" s="65"/>
      <c r="I362" s="66"/>
      <c r="J362" s="67" t="s">
        <v>25</v>
      </c>
      <c r="K362" s="68"/>
      <c r="L362" s="68"/>
      <c r="M362" s="69"/>
      <c r="N362" s="243" t="s">
        <v>477</v>
      </c>
      <c r="O362" s="68"/>
      <c r="P362" s="68"/>
      <c r="Q362" s="68"/>
      <c r="R362" s="68"/>
      <c r="S362" s="68"/>
      <c r="T362" s="69"/>
      <c r="U362" s="76" t="s">
        <v>63</v>
      </c>
      <c r="V362" s="73" t="s">
        <v>43</v>
      </c>
      <c r="W362" s="73"/>
      <c r="X362" s="63">
        <f>BW362</f>
        <v>5</v>
      </c>
      <c r="Y362" s="120" t="s">
        <v>50</v>
      </c>
      <c r="Z362" s="74" t="s">
        <v>480</v>
      </c>
      <c r="AA362" s="121"/>
      <c r="AB362" s="122"/>
      <c r="AC362" s="122"/>
      <c r="AD362" s="122"/>
      <c r="AE362" s="122"/>
      <c r="AF362" s="122"/>
      <c r="AG362" s="122"/>
      <c r="AH362" s="122"/>
      <c r="AI362" s="122"/>
      <c r="AJ362" s="122"/>
      <c r="AK362" s="122"/>
      <c r="AL362" s="122"/>
      <c r="AM362" s="123"/>
      <c r="AN362" s="62"/>
      <c r="AO362" s="76"/>
      <c r="AP362" s="74" t="s">
        <v>520</v>
      </c>
      <c r="AR362" s="94"/>
      <c r="AS362" s="121"/>
      <c r="AW362" s="68"/>
      <c r="AX362" s="68"/>
      <c r="AY362" s="68"/>
      <c r="AZ362" s="76"/>
      <c r="BA362" s="76"/>
      <c r="BB362" s="76"/>
      <c r="BC362" s="76"/>
      <c r="BD362" s="68"/>
      <c r="BE362" s="78" t="s">
        <v>50</v>
      </c>
      <c r="BF362" s="68" t="s">
        <v>121</v>
      </c>
      <c r="BG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112">
        <v>3</v>
      </c>
      <c r="BT362" s="112">
        <v>2</v>
      </c>
      <c r="BU362" s="69"/>
      <c r="BV362" s="63" t="str">
        <f>IF(BW362&lt;&gt;"",IF(BW362=CB362+BZ362,"完了","未完"),"")</f>
        <v>未完</v>
      </c>
      <c r="BW362" s="63">
        <f>SUM(BS362:BT377)</f>
        <v>5</v>
      </c>
      <c r="BX362" s="80">
        <v>0</v>
      </c>
      <c r="BY362" s="80">
        <v>0</v>
      </c>
      <c r="BZ362" s="80">
        <v>0</v>
      </c>
      <c r="CA362" s="80">
        <f>BW362-(BX362+BY362+BZ362)</f>
        <v>5</v>
      </c>
      <c r="CB362" s="80">
        <v>0</v>
      </c>
      <c r="CC362" s="80">
        <v>0</v>
      </c>
      <c r="CD362" s="67"/>
      <c r="CE362" s="68"/>
      <c r="CF362" s="68"/>
      <c r="CG362" s="68"/>
      <c r="CH362" s="68"/>
      <c r="CI362" s="68"/>
      <c r="CJ362" s="68"/>
      <c r="CK362" s="68"/>
      <c r="CL362" s="69"/>
    </row>
    <row r="363" spans="3:90" s="61" customFormat="1" x14ac:dyDescent="0.25">
      <c r="C363" s="71"/>
      <c r="D363" s="81"/>
      <c r="E363" s="82"/>
      <c r="F363" s="65"/>
      <c r="I363" s="66"/>
      <c r="J363" s="65"/>
      <c r="N363" s="65"/>
      <c r="T363" s="66"/>
      <c r="U363" s="62"/>
      <c r="V363" s="84"/>
      <c r="W363" s="84"/>
      <c r="X363" s="62"/>
      <c r="Y363" s="124"/>
      <c r="Z363" s="8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6"/>
      <c r="AN363" s="62" t="s">
        <v>55</v>
      </c>
      <c r="AO363" s="62"/>
      <c r="AP363" s="61" t="s">
        <v>491</v>
      </c>
      <c r="AQ363" s="94"/>
      <c r="AZ363" s="62"/>
      <c r="BA363" s="62"/>
      <c r="BB363" s="62"/>
      <c r="BC363" s="62"/>
      <c r="BE363" s="113" t="s">
        <v>50</v>
      </c>
      <c r="BF363" s="61" t="s">
        <v>488</v>
      </c>
      <c r="BS363" s="114"/>
      <c r="BT363" s="114"/>
      <c r="BU363" s="66"/>
      <c r="BV363" s="81"/>
      <c r="BW363" s="90"/>
      <c r="BX363" s="90"/>
      <c r="BY363" s="90"/>
      <c r="BZ363" s="90"/>
      <c r="CA363" s="90"/>
      <c r="CB363" s="90"/>
      <c r="CC363" s="90"/>
      <c r="CD363" s="65"/>
      <c r="CL363" s="66"/>
    </row>
    <row r="364" spans="3:90" s="61" customFormat="1" x14ac:dyDescent="0.25">
      <c r="C364" s="71"/>
      <c r="D364" s="81"/>
      <c r="E364" s="82"/>
      <c r="F364" s="65"/>
      <c r="I364" s="66"/>
      <c r="J364" s="65"/>
      <c r="N364" s="65"/>
      <c r="T364" s="66"/>
      <c r="U364" s="62"/>
      <c r="V364" s="84"/>
      <c r="W364" s="84"/>
      <c r="X364" s="62"/>
      <c r="Y364" s="124"/>
      <c r="Z364" s="8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  <c r="AM364" s="126"/>
      <c r="AO364" s="62"/>
      <c r="AP364" s="125" t="s">
        <v>52</v>
      </c>
      <c r="AQ364" s="94"/>
      <c r="AR364" s="94"/>
      <c r="AS364" s="95"/>
      <c r="AZ364" s="62"/>
      <c r="BA364" s="62"/>
      <c r="BB364" s="62"/>
      <c r="BC364" s="62"/>
      <c r="BE364" s="113"/>
      <c r="BF364" s="61" t="s">
        <v>478</v>
      </c>
      <c r="BS364" s="114"/>
      <c r="BT364" s="114"/>
      <c r="BU364" s="66"/>
      <c r="BV364" s="81"/>
      <c r="BW364" s="90"/>
      <c r="BX364" s="90"/>
      <c r="BY364" s="90"/>
      <c r="BZ364" s="90"/>
      <c r="CA364" s="90"/>
      <c r="CB364" s="90"/>
      <c r="CC364" s="90"/>
      <c r="CD364" s="65"/>
      <c r="CL364" s="66"/>
    </row>
    <row r="365" spans="3:90" s="61" customFormat="1" x14ac:dyDescent="0.25">
      <c r="C365" s="71"/>
      <c r="D365" s="81"/>
      <c r="E365" s="82"/>
      <c r="F365" s="65"/>
      <c r="I365" s="66"/>
      <c r="J365" s="65"/>
      <c r="N365" s="65"/>
      <c r="T365" s="66"/>
      <c r="U365" s="62"/>
      <c r="V365" s="84"/>
      <c r="W365" s="84"/>
      <c r="X365" s="62"/>
      <c r="Y365" s="124"/>
      <c r="Z365" s="8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26"/>
      <c r="AN365" s="62" t="s">
        <v>65</v>
      </c>
      <c r="AO365" s="62"/>
      <c r="AP365" s="61" t="s">
        <v>552</v>
      </c>
      <c r="AR365" s="94"/>
      <c r="AS365" s="125"/>
      <c r="AZ365" s="62"/>
      <c r="BA365" s="62"/>
      <c r="BB365" s="62"/>
      <c r="BC365" s="62"/>
      <c r="BE365" s="113"/>
      <c r="BF365" s="61" t="s">
        <v>479</v>
      </c>
      <c r="BS365" s="114"/>
      <c r="BT365" s="114"/>
      <c r="BU365" s="66"/>
      <c r="BV365" s="81"/>
      <c r="BW365" s="90"/>
      <c r="BX365" s="90"/>
      <c r="BY365" s="90"/>
      <c r="BZ365" s="90"/>
      <c r="CA365" s="90"/>
      <c r="CB365" s="90"/>
      <c r="CC365" s="90"/>
      <c r="CD365" s="65"/>
      <c r="CL365" s="66"/>
    </row>
    <row r="366" spans="3:90" s="61" customFormat="1" x14ac:dyDescent="0.25">
      <c r="C366" s="71"/>
      <c r="D366" s="81"/>
      <c r="E366" s="82"/>
      <c r="F366" s="65"/>
      <c r="I366" s="66"/>
      <c r="J366" s="65"/>
      <c r="N366" s="65"/>
      <c r="T366" s="66"/>
      <c r="U366" s="62"/>
      <c r="V366" s="84"/>
      <c r="W366" s="84"/>
      <c r="X366" s="62"/>
      <c r="Y366" s="124"/>
      <c r="Z366" s="91"/>
      <c r="AA366" s="9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26"/>
      <c r="AO366" s="62"/>
      <c r="AQ366" s="94"/>
      <c r="AR366" s="94"/>
      <c r="AZ366" s="62"/>
      <c r="BA366" s="62"/>
      <c r="BB366" s="62"/>
      <c r="BC366" s="62"/>
      <c r="BE366" s="113"/>
      <c r="BF366" s="61" t="s">
        <v>516</v>
      </c>
      <c r="BS366" s="114"/>
      <c r="BT366" s="114"/>
      <c r="BU366" s="66"/>
      <c r="BV366" s="81"/>
      <c r="BW366" s="90"/>
      <c r="BX366" s="90"/>
      <c r="BY366" s="90"/>
      <c r="BZ366" s="90"/>
      <c r="CA366" s="90"/>
      <c r="CB366" s="90"/>
      <c r="CC366" s="90"/>
      <c r="CD366" s="65"/>
      <c r="CL366" s="66"/>
    </row>
    <row r="367" spans="3:90" s="61" customFormat="1" x14ac:dyDescent="0.25">
      <c r="C367" s="71"/>
      <c r="D367" s="81"/>
      <c r="E367" s="82"/>
      <c r="F367" s="65"/>
      <c r="I367" s="66"/>
      <c r="J367" s="65"/>
      <c r="N367" s="65"/>
      <c r="T367" s="66"/>
      <c r="U367" s="62"/>
      <c r="V367" s="84"/>
      <c r="W367" s="84"/>
      <c r="X367" s="62"/>
      <c r="Y367" s="124"/>
      <c r="Z367" s="91"/>
      <c r="AA367" s="9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26"/>
      <c r="AO367" s="62"/>
      <c r="AP367" s="125" t="s">
        <v>519</v>
      </c>
      <c r="AQ367" s="94"/>
      <c r="AR367" s="94"/>
      <c r="AZ367" s="62"/>
      <c r="BA367" s="62"/>
      <c r="BB367" s="62"/>
      <c r="BC367" s="62"/>
      <c r="BE367" s="113"/>
      <c r="BS367" s="114"/>
      <c r="BT367" s="114"/>
      <c r="BU367" s="66"/>
      <c r="BV367" s="81"/>
      <c r="BW367" s="90"/>
      <c r="BX367" s="90"/>
      <c r="BY367" s="90"/>
      <c r="BZ367" s="90"/>
      <c r="CA367" s="90"/>
      <c r="CB367" s="90"/>
      <c r="CC367" s="90"/>
      <c r="CD367" s="65"/>
      <c r="CL367" s="66"/>
    </row>
    <row r="368" spans="3:90" s="61" customFormat="1" x14ac:dyDescent="0.25">
      <c r="C368" s="71"/>
      <c r="D368" s="81"/>
      <c r="E368" s="82"/>
      <c r="F368" s="65"/>
      <c r="I368" s="66"/>
      <c r="J368" s="65"/>
      <c r="N368" s="65"/>
      <c r="T368" s="66"/>
      <c r="U368" s="62"/>
      <c r="V368" s="84"/>
      <c r="W368" s="84"/>
      <c r="X368" s="62"/>
      <c r="Y368" s="124"/>
      <c r="Z368" s="91"/>
      <c r="AA368" s="9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26"/>
      <c r="AN368" s="94" t="s">
        <v>66</v>
      </c>
      <c r="AO368" s="62"/>
      <c r="AP368" s="61" t="s">
        <v>492</v>
      </c>
      <c r="AQ368" s="94"/>
      <c r="AR368" s="94"/>
      <c r="AZ368" s="62"/>
      <c r="BA368" s="62"/>
      <c r="BB368" s="62"/>
      <c r="BC368" s="62"/>
      <c r="BE368" s="113"/>
      <c r="BS368" s="114"/>
      <c r="BT368" s="114"/>
      <c r="BU368" s="66"/>
      <c r="BV368" s="81"/>
      <c r="BW368" s="90"/>
      <c r="BX368" s="90"/>
      <c r="BY368" s="90"/>
      <c r="BZ368" s="90"/>
      <c r="CA368" s="90"/>
      <c r="CB368" s="90"/>
      <c r="CC368" s="90"/>
      <c r="CD368" s="65"/>
      <c r="CL368" s="66"/>
    </row>
    <row r="369" spans="3:90" s="61" customFormat="1" x14ac:dyDescent="0.25">
      <c r="C369" s="71"/>
      <c r="D369" s="81"/>
      <c r="E369" s="82"/>
      <c r="F369" s="65"/>
      <c r="I369" s="66"/>
      <c r="J369" s="65"/>
      <c r="N369" s="65"/>
      <c r="T369" s="66"/>
      <c r="U369" s="62"/>
      <c r="V369" s="84"/>
      <c r="W369" s="84"/>
      <c r="X369" s="62"/>
      <c r="Y369" s="124"/>
      <c r="Z369" s="91"/>
      <c r="AA369" s="9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26"/>
      <c r="AN369" s="94"/>
      <c r="AO369" s="62"/>
      <c r="AP369" s="125" t="s">
        <v>52</v>
      </c>
      <c r="AR369" s="94"/>
      <c r="AS369" s="125"/>
      <c r="AZ369" s="62"/>
      <c r="BA369" s="62"/>
      <c r="BB369" s="62"/>
      <c r="BC369" s="62"/>
      <c r="BE369" s="113"/>
      <c r="BS369" s="114"/>
      <c r="BT369" s="114"/>
      <c r="BU369" s="66"/>
      <c r="BV369" s="81"/>
      <c r="BW369" s="90"/>
      <c r="BX369" s="90"/>
      <c r="BY369" s="90"/>
      <c r="BZ369" s="90"/>
      <c r="CA369" s="90"/>
      <c r="CB369" s="90"/>
      <c r="CC369" s="90"/>
      <c r="CD369" s="65"/>
      <c r="CL369" s="66"/>
    </row>
    <row r="370" spans="3:90" s="61" customFormat="1" x14ac:dyDescent="0.25">
      <c r="C370" s="71"/>
      <c r="D370" s="81"/>
      <c r="E370" s="82"/>
      <c r="F370" s="65"/>
      <c r="I370" s="66"/>
      <c r="J370" s="65"/>
      <c r="N370" s="65"/>
      <c r="T370" s="66"/>
      <c r="U370" s="62"/>
      <c r="V370" s="84"/>
      <c r="W370" s="84"/>
      <c r="X370" s="62"/>
      <c r="Y370" s="124"/>
      <c r="Z370" s="91"/>
      <c r="AA370" s="9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6"/>
      <c r="AN370" s="94" t="s">
        <v>71</v>
      </c>
      <c r="AO370" s="62"/>
      <c r="AP370" s="125" t="s">
        <v>551</v>
      </c>
      <c r="AQ370" s="94"/>
      <c r="AR370" s="94"/>
      <c r="AS370" s="125"/>
      <c r="AZ370" s="62"/>
      <c r="BA370" s="62"/>
      <c r="BB370" s="62"/>
      <c r="BC370" s="62"/>
      <c r="BE370" s="113"/>
      <c r="BS370" s="114"/>
      <c r="BT370" s="114"/>
      <c r="BU370" s="66"/>
      <c r="BV370" s="81"/>
      <c r="BW370" s="90"/>
      <c r="BX370" s="90"/>
      <c r="BY370" s="90"/>
      <c r="BZ370" s="90"/>
      <c r="CA370" s="90"/>
      <c r="CB370" s="90"/>
      <c r="CC370" s="90"/>
      <c r="CD370" s="65"/>
      <c r="CL370" s="66"/>
    </row>
    <row r="371" spans="3:90" s="61" customFormat="1" x14ac:dyDescent="0.25">
      <c r="C371" s="71"/>
      <c r="D371" s="81"/>
      <c r="E371" s="82"/>
      <c r="F371" s="65"/>
      <c r="I371" s="66"/>
      <c r="J371" s="65"/>
      <c r="N371" s="65"/>
      <c r="T371" s="66"/>
      <c r="U371" s="62"/>
      <c r="V371" s="84"/>
      <c r="W371" s="84"/>
      <c r="X371" s="62"/>
      <c r="Y371" s="124"/>
      <c r="Z371" s="91"/>
      <c r="AA371" s="9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6"/>
      <c r="AN371" s="94"/>
      <c r="AO371" s="62"/>
      <c r="AQ371" s="94"/>
      <c r="AR371" s="94"/>
      <c r="AS371" s="125"/>
      <c r="AZ371" s="62"/>
      <c r="BA371" s="62"/>
      <c r="BB371" s="62"/>
      <c r="BC371" s="62"/>
      <c r="BE371" s="113"/>
      <c r="BS371" s="114"/>
      <c r="BT371" s="114"/>
      <c r="BU371" s="66"/>
      <c r="BV371" s="81"/>
      <c r="BW371" s="90"/>
      <c r="BX371" s="90"/>
      <c r="BY371" s="90"/>
      <c r="BZ371" s="90"/>
      <c r="CA371" s="90"/>
      <c r="CB371" s="90"/>
      <c r="CC371" s="90"/>
      <c r="CD371" s="65"/>
      <c r="CL371" s="66"/>
    </row>
    <row r="372" spans="3:90" s="61" customFormat="1" x14ac:dyDescent="0.25">
      <c r="C372" s="71"/>
      <c r="D372" s="81"/>
      <c r="E372" s="82"/>
      <c r="F372" s="65"/>
      <c r="I372" s="66"/>
      <c r="J372" s="65"/>
      <c r="N372" s="65"/>
      <c r="T372" s="66"/>
      <c r="U372" s="62"/>
      <c r="V372" s="84"/>
      <c r="W372" s="84"/>
      <c r="X372" s="62"/>
      <c r="Y372" s="124"/>
      <c r="Z372" s="91"/>
      <c r="AA372" s="9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6"/>
      <c r="AO372" s="62"/>
      <c r="AP372" s="125" t="s">
        <v>521</v>
      </c>
      <c r="AZ372" s="62"/>
      <c r="BA372" s="62"/>
      <c r="BB372" s="62"/>
      <c r="BC372" s="62"/>
      <c r="BE372" s="113"/>
      <c r="BS372" s="114"/>
      <c r="BT372" s="114"/>
      <c r="BU372" s="66"/>
      <c r="BV372" s="81"/>
      <c r="BW372" s="90"/>
      <c r="BX372" s="90"/>
      <c r="BY372" s="90"/>
      <c r="BZ372" s="90"/>
      <c r="CA372" s="90"/>
      <c r="CB372" s="90"/>
      <c r="CC372" s="90"/>
      <c r="CD372" s="65"/>
      <c r="CL372" s="66"/>
    </row>
    <row r="373" spans="3:90" s="61" customFormat="1" x14ac:dyDescent="0.25">
      <c r="C373" s="71"/>
      <c r="D373" s="81"/>
      <c r="E373" s="82"/>
      <c r="F373" s="65"/>
      <c r="I373" s="66"/>
      <c r="J373" s="65"/>
      <c r="N373" s="65"/>
      <c r="T373" s="66"/>
      <c r="U373" s="62"/>
      <c r="V373" s="84"/>
      <c r="W373" s="84"/>
      <c r="X373" s="62"/>
      <c r="Y373" s="124"/>
      <c r="Z373" s="91"/>
      <c r="AA373" s="9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  <c r="AM373" s="126"/>
      <c r="AN373" s="61" t="s">
        <v>72</v>
      </c>
      <c r="AO373" s="62"/>
      <c r="AP373" s="125" t="s">
        <v>517</v>
      </c>
      <c r="AZ373" s="62"/>
      <c r="BA373" s="62"/>
      <c r="BB373" s="62"/>
      <c r="BC373" s="62"/>
      <c r="BE373" s="113"/>
      <c r="BS373" s="114"/>
      <c r="BT373" s="114"/>
      <c r="BU373" s="66"/>
      <c r="BV373" s="81"/>
      <c r="BW373" s="90"/>
      <c r="BX373" s="90"/>
      <c r="BY373" s="90"/>
      <c r="BZ373" s="90"/>
      <c r="CA373" s="90"/>
      <c r="CB373" s="90"/>
      <c r="CC373" s="90"/>
      <c r="CD373" s="65"/>
      <c r="CL373" s="66"/>
    </row>
    <row r="374" spans="3:90" s="61" customFormat="1" x14ac:dyDescent="0.25">
      <c r="C374" s="71"/>
      <c r="D374" s="81"/>
      <c r="E374" s="82"/>
      <c r="F374" s="65"/>
      <c r="I374" s="66"/>
      <c r="J374" s="65"/>
      <c r="N374" s="65"/>
      <c r="T374" s="66"/>
      <c r="U374" s="62"/>
      <c r="V374" s="84"/>
      <c r="W374" s="84"/>
      <c r="X374" s="62"/>
      <c r="Y374" s="124"/>
      <c r="Z374" s="91"/>
      <c r="AA374" s="9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  <c r="AM374" s="126"/>
      <c r="AN374" s="94"/>
      <c r="AO374" s="62"/>
      <c r="AP374" s="125" t="s">
        <v>52</v>
      </c>
      <c r="AZ374" s="62"/>
      <c r="BA374" s="62"/>
      <c r="BB374" s="62"/>
      <c r="BC374" s="62"/>
      <c r="BE374" s="113"/>
      <c r="BS374" s="114"/>
      <c r="BT374" s="114"/>
      <c r="BU374" s="66"/>
      <c r="BV374" s="81"/>
      <c r="BW374" s="90"/>
      <c r="BX374" s="90"/>
      <c r="BY374" s="90"/>
      <c r="BZ374" s="90"/>
      <c r="CA374" s="90"/>
      <c r="CB374" s="90"/>
      <c r="CC374" s="90"/>
      <c r="CD374" s="65"/>
      <c r="CL374" s="66"/>
    </row>
    <row r="375" spans="3:90" s="61" customFormat="1" x14ac:dyDescent="0.25">
      <c r="C375" s="71"/>
      <c r="D375" s="81"/>
      <c r="E375" s="82"/>
      <c r="F375" s="65"/>
      <c r="I375" s="66"/>
      <c r="J375" s="65"/>
      <c r="N375" s="65"/>
      <c r="T375" s="66"/>
      <c r="U375" s="62"/>
      <c r="V375" s="84"/>
      <c r="W375" s="84"/>
      <c r="X375" s="62"/>
      <c r="Y375" s="124"/>
      <c r="Z375" s="91"/>
      <c r="AA375" s="9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  <c r="AM375" s="126"/>
      <c r="AN375" s="94" t="s">
        <v>109</v>
      </c>
      <c r="AO375" s="62"/>
      <c r="AP375" s="125" t="s">
        <v>551</v>
      </c>
      <c r="AZ375" s="62"/>
      <c r="BA375" s="62"/>
      <c r="BB375" s="62"/>
      <c r="BC375" s="62"/>
      <c r="BE375" s="113"/>
      <c r="BS375" s="114"/>
      <c r="BT375" s="114"/>
      <c r="BU375" s="66"/>
      <c r="BV375" s="81"/>
      <c r="BW375" s="90"/>
      <c r="BX375" s="90"/>
      <c r="BY375" s="90"/>
      <c r="BZ375" s="90"/>
      <c r="CA375" s="90"/>
      <c r="CB375" s="90"/>
      <c r="CC375" s="90"/>
      <c r="CD375" s="65"/>
      <c r="CL375" s="66"/>
    </row>
    <row r="376" spans="3:90" s="61" customFormat="1" x14ac:dyDescent="0.25">
      <c r="C376" s="71"/>
      <c r="D376" s="81"/>
      <c r="E376" s="82"/>
      <c r="F376" s="65"/>
      <c r="I376" s="66"/>
      <c r="J376" s="65"/>
      <c r="N376" s="65"/>
      <c r="T376" s="66"/>
      <c r="U376" s="62"/>
      <c r="V376" s="84"/>
      <c r="W376" s="84"/>
      <c r="X376" s="62"/>
      <c r="Y376" s="124"/>
      <c r="Z376" s="91"/>
      <c r="AA376" s="9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  <c r="AM376" s="126"/>
      <c r="AN376" s="94"/>
      <c r="AO376" s="62"/>
      <c r="AP376" s="85"/>
      <c r="AZ376" s="62"/>
      <c r="BA376" s="62"/>
      <c r="BB376" s="62"/>
      <c r="BC376" s="62"/>
      <c r="BE376" s="113"/>
      <c r="BS376" s="114"/>
      <c r="BT376" s="114"/>
      <c r="BU376" s="66"/>
      <c r="BV376" s="81"/>
      <c r="BW376" s="90"/>
      <c r="BX376" s="90"/>
      <c r="BY376" s="90"/>
      <c r="BZ376" s="90"/>
      <c r="CA376" s="90"/>
      <c r="CB376" s="90"/>
      <c r="CC376" s="90"/>
      <c r="CD376" s="65"/>
      <c r="CL376" s="66"/>
    </row>
    <row r="377" spans="3:90" s="61" customFormat="1" x14ac:dyDescent="0.25">
      <c r="C377" s="71"/>
      <c r="D377" s="81"/>
      <c r="E377" s="82"/>
      <c r="F377" s="65"/>
      <c r="I377" s="66"/>
      <c r="J377" s="65"/>
      <c r="N377" s="65"/>
      <c r="T377" s="66"/>
      <c r="U377" s="105"/>
      <c r="V377" s="116"/>
      <c r="W377" s="116"/>
      <c r="X377" s="105"/>
      <c r="Y377" s="133"/>
      <c r="Z377" s="228"/>
      <c r="AA377" s="134"/>
      <c r="AB377" s="240"/>
      <c r="AC377" s="240"/>
      <c r="AD377" s="240"/>
      <c r="AE377" s="240"/>
      <c r="AF377" s="240"/>
      <c r="AG377" s="240"/>
      <c r="AH377" s="240"/>
      <c r="AI377" s="240"/>
      <c r="AJ377" s="240"/>
      <c r="AK377" s="240"/>
      <c r="AL377" s="240"/>
      <c r="AM377" s="241"/>
      <c r="AN377" s="242"/>
      <c r="AO377" s="105"/>
      <c r="AP377" s="127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5"/>
      <c r="BA377" s="105"/>
      <c r="BB377" s="105"/>
      <c r="BC377" s="105"/>
      <c r="BD377" s="100"/>
      <c r="BE377" s="230"/>
      <c r="BF377" s="100"/>
      <c r="BG377" s="100"/>
      <c r="BH377" s="100"/>
      <c r="BI377" s="100"/>
      <c r="BJ377" s="100"/>
      <c r="BK377" s="100"/>
      <c r="BL377" s="100"/>
      <c r="BM377" s="100"/>
      <c r="BN377" s="100"/>
      <c r="BO377" s="100"/>
      <c r="BP377" s="100"/>
      <c r="BQ377" s="100"/>
      <c r="BR377" s="100"/>
      <c r="BS377" s="132"/>
      <c r="BT377" s="132"/>
      <c r="BU377" s="102"/>
      <c r="BV377" s="97"/>
      <c r="BW377" s="119"/>
      <c r="BX377" s="119"/>
      <c r="BY377" s="119"/>
      <c r="BZ377" s="119"/>
      <c r="CA377" s="119"/>
      <c r="CB377" s="119"/>
      <c r="CC377" s="119"/>
      <c r="CD377" s="101"/>
      <c r="CE377" s="100"/>
      <c r="CF377" s="100"/>
      <c r="CG377" s="100"/>
      <c r="CH377" s="100"/>
      <c r="CI377" s="100"/>
      <c r="CJ377" s="100"/>
      <c r="CK377" s="100"/>
      <c r="CL377" s="102"/>
    </row>
    <row r="378" spans="3:90" s="61" customFormat="1" x14ac:dyDescent="0.25">
      <c r="C378" s="71"/>
      <c r="D378" s="81"/>
      <c r="E378" s="64">
        <v>2</v>
      </c>
      <c r="F378" s="65"/>
      <c r="I378" s="66"/>
      <c r="J378" s="65"/>
      <c r="N378" s="65"/>
      <c r="T378" s="66"/>
      <c r="U378" s="34" t="s">
        <v>64</v>
      </c>
      <c r="V378" s="34" t="s">
        <v>45</v>
      </c>
      <c r="W378" s="73"/>
      <c r="X378" s="63">
        <f>BW378</f>
        <v>5</v>
      </c>
      <c r="Y378" s="120" t="s">
        <v>50</v>
      </c>
      <c r="Z378" s="85" t="s">
        <v>481</v>
      </c>
      <c r="AA378" s="9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6"/>
      <c r="AN378" s="62"/>
      <c r="AO378" s="76"/>
      <c r="AP378" s="74" t="s">
        <v>520</v>
      </c>
      <c r="AR378" s="94"/>
      <c r="AS378" s="121"/>
      <c r="AZ378" s="62"/>
      <c r="BA378" s="62"/>
      <c r="BB378" s="62"/>
      <c r="BC378" s="62"/>
      <c r="BE378" s="78" t="s">
        <v>50</v>
      </c>
      <c r="BF378" s="68" t="s">
        <v>121</v>
      </c>
      <c r="BG378" s="68"/>
      <c r="BS378" s="112">
        <v>3</v>
      </c>
      <c r="BT378" s="112">
        <v>2</v>
      </c>
      <c r="BU378" s="69"/>
      <c r="BV378" s="63" t="str">
        <f>IF(BW378&lt;&gt;"",IF(BW378=CB378+BZ378,"完了","未完"),"")</f>
        <v>未完</v>
      </c>
      <c r="BW378" s="63">
        <f>SUM(BS378:BT391)</f>
        <v>5</v>
      </c>
      <c r="BX378" s="80">
        <v>0</v>
      </c>
      <c r="BY378" s="80">
        <v>0</v>
      </c>
      <c r="BZ378" s="80">
        <v>0</v>
      </c>
      <c r="CA378" s="80">
        <f>BW378-(BX378+BY378+BZ378)</f>
        <v>5</v>
      </c>
      <c r="CB378" s="80">
        <v>0</v>
      </c>
      <c r="CC378" s="80">
        <v>0</v>
      </c>
      <c r="CD378" s="67"/>
      <c r="CE378" s="68"/>
      <c r="CF378" s="68"/>
      <c r="CG378" s="68"/>
      <c r="CH378" s="68"/>
      <c r="CI378" s="68"/>
      <c r="CJ378" s="68"/>
      <c r="CK378" s="68"/>
      <c r="CL378" s="69"/>
    </row>
    <row r="379" spans="3:90" s="61" customFormat="1" x14ac:dyDescent="0.25">
      <c r="C379" s="71"/>
      <c r="D379" s="81"/>
      <c r="E379" s="82"/>
      <c r="F379" s="65"/>
      <c r="I379" s="66"/>
      <c r="J379" s="65"/>
      <c r="N379" s="65"/>
      <c r="T379" s="66"/>
      <c r="U379" s="62"/>
      <c r="V379" s="84"/>
      <c r="W379" s="84"/>
      <c r="X379" s="62"/>
      <c r="Y379" s="124"/>
      <c r="Z379" s="91"/>
      <c r="AA379" s="9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  <c r="AM379" s="126"/>
      <c r="AN379" s="62" t="s">
        <v>55</v>
      </c>
      <c r="AO379" s="62"/>
      <c r="AP379" s="61" t="s">
        <v>491</v>
      </c>
      <c r="AQ379" s="94"/>
      <c r="AZ379" s="62"/>
      <c r="BA379" s="62"/>
      <c r="BB379" s="62"/>
      <c r="BC379" s="62"/>
      <c r="BE379" s="113" t="s">
        <v>50</v>
      </c>
      <c r="BF379" s="61" t="s">
        <v>488</v>
      </c>
      <c r="BS379" s="114"/>
      <c r="BT379" s="114"/>
      <c r="BU379" s="66"/>
      <c r="BV379" s="81"/>
      <c r="BW379" s="90"/>
      <c r="BX379" s="90"/>
      <c r="BY379" s="90"/>
      <c r="BZ379" s="90"/>
      <c r="CA379" s="90"/>
      <c r="CB379" s="90"/>
      <c r="CC379" s="90"/>
      <c r="CD379" s="65"/>
      <c r="CL379" s="66"/>
    </row>
    <row r="380" spans="3:90" s="61" customFormat="1" x14ac:dyDescent="0.25">
      <c r="C380" s="71"/>
      <c r="D380" s="81"/>
      <c r="E380" s="82"/>
      <c r="F380" s="65"/>
      <c r="I380" s="66"/>
      <c r="J380" s="65"/>
      <c r="N380" s="65"/>
      <c r="T380" s="66"/>
      <c r="U380" s="62"/>
      <c r="V380" s="84"/>
      <c r="W380" s="84"/>
      <c r="X380" s="62"/>
      <c r="Y380" s="124"/>
      <c r="Z380" s="95" t="s">
        <v>54</v>
      </c>
      <c r="AA380" s="95" t="s">
        <v>518</v>
      </c>
      <c r="AB380" s="8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  <c r="AM380" s="126"/>
      <c r="AO380" s="62"/>
      <c r="AP380" s="125" t="s">
        <v>52</v>
      </c>
      <c r="AQ380" s="94"/>
      <c r="AR380" s="94"/>
      <c r="AS380" s="95"/>
      <c r="AZ380" s="62"/>
      <c r="BA380" s="62"/>
      <c r="BB380" s="62"/>
      <c r="BC380" s="62"/>
      <c r="BE380" s="113"/>
      <c r="BF380" s="61" t="s">
        <v>497</v>
      </c>
      <c r="BS380" s="114"/>
      <c r="BT380" s="114"/>
      <c r="BU380" s="66"/>
      <c r="BV380" s="81"/>
      <c r="BW380" s="90"/>
      <c r="BX380" s="90"/>
      <c r="BY380" s="90"/>
      <c r="BZ380" s="90"/>
      <c r="CA380" s="90"/>
      <c r="CB380" s="90"/>
      <c r="CC380" s="90"/>
      <c r="CD380" s="65"/>
      <c r="CL380" s="66"/>
    </row>
    <row r="381" spans="3:90" s="61" customFormat="1" x14ac:dyDescent="0.25">
      <c r="C381" s="71"/>
      <c r="D381" s="81"/>
      <c r="E381" s="82"/>
      <c r="F381" s="65"/>
      <c r="I381" s="66"/>
      <c r="J381" s="65"/>
      <c r="N381" s="65"/>
      <c r="T381" s="66"/>
      <c r="U381" s="62"/>
      <c r="V381" s="84"/>
      <c r="W381" s="84"/>
      <c r="X381" s="62"/>
      <c r="Y381" s="124"/>
      <c r="Z381" s="125"/>
      <c r="AA381" s="95" t="s">
        <v>522</v>
      </c>
      <c r="AB381" s="93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  <c r="AM381" s="126"/>
      <c r="AN381" s="62" t="s">
        <v>65</v>
      </c>
      <c r="AO381" s="62"/>
      <c r="AP381" s="61" t="s">
        <v>487</v>
      </c>
      <c r="AR381" s="94"/>
      <c r="AS381" s="125"/>
      <c r="AZ381" s="62"/>
      <c r="BA381" s="62"/>
      <c r="BB381" s="62"/>
      <c r="BC381" s="62"/>
      <c r="BE381" s="113"/>
      <c r="BS381" s="114"/>
      <c r="BT381" s="114"/>
      <c r="BU381" s="66"/>
      <c r="BV381" s="81"/>
      <c r="BW381" s="90"/>
      <c r="BX381" s="90"/>
      <c r="BY381" s="90"/>
      <c r="BZ381" s="90"/>
      <c r="CA381" s="90"/>
      <c r="CB381" s="90"/>
      <c r="CC381" s="90"/>
      <c r="CD381" s="65"/>
      <c r="CL381" s="66"/>
    </row>
    <row r="382" spans="3:90" s="61" customFormat="1" x14ac:dyDescent="0.25">
      <c r="C382" s="71"/>
      <c r="D382" s="81"/>
      <c r="E382" s="82"/>
      <c r="F382" s="65"/>
      <c r="I382" s="66"/>
      <c r="J382" s="65"/>
      <c r="N382" s="65"/>
      <c r="T382" s="66"/>
      <c r="U382" s="62"/>
      <c r="V382" s="84"/>
      <c r="W382" s="84"/>
      <c r="X382" s="62"/>
      <c r="Y382" s="124"/>
      <c r="Z382" s="91"/>
      <c r="AA382" s="396" t="s">
        <v>57</v>
      </c>
      <c r="AB382" s="396" t="s">
        <v>104</v>
      </c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  <c r="AM382" s="126"/>
      <c r="AO382" s="62"/>
      <c r="AQ382" s="94"/>
      <c r="AR382" s="94"/>
      <c r="AZ382" s="62"/>
      <c r="BA382" s="62"/>
      <c r="BB382" s="62"/>
      <c r="BC382" s="62"/>
      <c r="BE382" s="113"/>
      <c r="BS382" s="114"/>
      <c r="BT382" s="114"/>
      <c r="BU382" s="66"/>
      <c r="BV382" s="81"/>
      <c r="BW382" s="90"/>
      <c r="BX382" s="90"/>
      <c r="BY382" s="90"/>
      <c r="BZ382" s="90"/>
      <c r="CA382" s="90"/>
      <c r="CB382" s="90"/>
      <c r="CC382" s="90"/>
      <c r="CD382" s="65"/>
      <c r="CL382" s="66"/>
    </row>
    <row r="383" spans="3:90" s="61" customFormat="1" x14ac:dyDescent="0.25">
      <c r="C383" s="71"/>
      <c r="D383" s="81"/>
      <c r="E383" s="82"/>
      <c r="F383" s="65"/>
      <c r="I383" s="66"/>
      <c r="J383" s="65"/>
      <c r="N383" s="65"/>
      <c r="T383" s="66"/>
      <c r="U383" s="71"/>
      <c r="V383" s="84"/>
      <c r="W383" s="84"/>
      <c r="X383" s="62"/>
      <c r="Y383" s="124"/>
      <c r="Z383" s="91"/>
      <c r="AA383" s="91" t="s">
        <v>57</v>
      </c>
      <c r="AB383" s="91" t="s">
        <v>649</v>
      </c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  <c r="AM383" s="126"/>
      <c r="AN383" s="235"/>
      <c r="AO383" s="236"/>
      <c r="AP383" s="234" t="s">
        <v>519</v>
      </c>
      <c r="AQ383" s="232"/>
      <c r="AR383" s="232"/>
      <c r="AS383" s="235"/>
      <c r="AT383" s="235"/>
      <c r="AU383" s="235"/>
      <c r="AV383" s="235"/>
      <c r="AW383" s="235"/>
      <c r="AX383" s="235"/>
      <c r="AY383" s="235"/>
      <c r="AZ383" s="236"/>
      <c r="BA383" s="236"/>
      <c r="BB383" s="236"/>
      <c r="BC383" s="236"/>
      <c r="BD383" s="235"/>
      <c r="BE383" s="113"/>
      <c r="BS383" s="114"/>
      <c r="BT383" s="114"/>
      <c r="BU383" s="66"/>
      <c r="BV383" s="81"/>
      <c r="BW383" s="90"/>
      <c r="BX383" s="90"/>
      <c r="BY383" s="90"/>
      <c r="BZ383" s="90"/>
      <c r="CA383" s="90"/>
      <c r="CB383" s="90"/>
      <c r="CC383" s="90"/>
      <c r="CD383" s="65"/>
      <c r="CL383" s="66"/>
    </row>
    <row r="384" spans="3:90" s="61" customFormat="1" x14ac:dyDescent="0.25">
      <c r="C384" s="71"/>
      <c r="D384" s="81"/>
      <c r="E384" s="82"/>
      <c r="F384" s="65"/>
      <c r="I384" s="66"/>
      <c r="J384" s="65"/>
      <c r="N384" s="65"/>
      <c r="T384" s="66"/>
      <c r="U384" s="62"/>
      <c r="V384" s="84"/>
      <c r="W384" s="84"/>
      <c r="X384" s="62"/>
      <c r="Y384" s="124"/>
      <c r="Z384" s="91"/>
      <c r="AA384" s="9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  <c r="AM384" s="126"/>
      <c r="AN384" s="232" t="s">
        <v>66</v>
      </c>
      <c r="AO384" s="236"/>
      <c r="AP384" s="235" t="s">
        <v>492</v>
      </c>
      <c r="AQ384" s="232"/>
      <c r="AR384" s="232"/>
      <c r="AS384" s="235"/>
      <c r="AT384" s="235"/>
      <c r="AU384" s="235"/>
      <c r="AV384" s="235"/>
      <c r="AW384" s="235"/>
      <c r="AX384" s="235"/>
      <c r="AY384" s="235"/>
      <c r="AZ384" s="236"/>
      <c r="BA384" s="236"/>
      <c r="BB384" s="236"/>
      <c r="BC384" s="236"/>
      <c r="BD384" s="235"/>
      <c r="BE384" s="113"/>
      <c r="BS384" s="114"/>
      <c r="BT384" s="114"/>
      <c r="BU384" s="66"/>
      <c r="BV384" s="81"/>
      <c r="BW384" s="90"/>
      <c r="BX384" s="90"/>
      <c r="BY384" s="90"/>
      <c r="BZ384" s="90"/>
      <c r="CA384" s="90"/>
      <c r="CB384" s="90"/>
      <c r="CC384" s="90"/>
      <c r="CD384" s="65"/>
      <c r="CL384" s="66"/>
    </row>
    <row r="385" spans="3:90" s="61" customFormat="1" x14ac:dyDescent="0.25">
      <c r="C385" s="71"/>
      <c r="D385" s="81"/>
      <c r="E385" s="82"/>
      <c r="F385" s="65"/>
      <c r="I385" s="66"/>
      <c r="J385" s="65"/>
      <c r="N385" s="65"/>
      <c r="T385" s="66"/>
      <c r="U385" s="62"/>
      <c r="V385" s="84"/>
      <c r="W385" s="84"/>
      <c r="X385" s="62"/>
      <c r="Y385" s="124"/>
      <c r="Z385" s="91"/>
      <c r="AA385" s="9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  <c r="AM385" s="126"/>
      <c r="AN385" s="232"/>
      <c r="AO385" s="236"/>
      <c r="AP385" s="234" t="s">
        <v>52</v>
      </c>
      <c r="AQ385" s="235"/>
      <c r="AR385" s="232"/>
      <c r="AS385" s="234"/>
      <c r="AT385" s="235"/>
      <c r="AU385" s="235"/>
      <c r="AV385" s="235"/>
      <c r="AW385" s="235"/>
      <c r="AX385" s="235"/>
      <c r="AY385" s="235"/>
      <c r="AZ385" s="236"/>
      <c r="BA385" s="236"/>
      <c r="BB385" s="236"/>
      <c r="BC385" s="236"/>
      <c r="BD385" s="235"/>
      <c r="BE385" s="113"/>
      <c r="BS385" s="114"/>
      <c r="BT385" s="114"/>
      <c r="BU385" s="66"/>
      <c r="BV385" s="81"/>
      <c r="BW385" s="90"/>
      <c r="BX385" s="90"/>
      <c r="BY385" s="90"/>
      <c r="BZ385" s="90"/>
      <c r="CA385" s="90"/>
      <c r="CB385" s="90"/>
      <c r="CC385" s="90"/>
      <c r="CD385" s="65"/>
      <c r="CL385" s="66"/>
    </row>
    <row r="386" spans="3:90" s="61" customFormat="1" x14ac:dyDescent="0.25">
      <c r="C386" s="71"/>
      <c r="D386" s="81"/>
      <c r="E386" s="82"/>
      <c r="F386" s="65"/>
      <c r="I386" s="66"/>
      <c r="J386" s="65"/>
      <c r="N386" s="65"/>
      <c r="T386" s="66"/>
      <c r="U386" s="71"/>
      <c r="V386" s="84"/>
      <c r="W386" s="84"/>
      <c r="X386" s="62"/>
      <c r="Y386" s="124"/>
      <c r="Z386" s="91"/>
      <c r="AA386" s="9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  <c r="AM386" s="126"/>
      <c r="AN386" s="232" t="s">
        <v>71</v>
      </c>
      <c r="AO386" s="236"/>
      <c r="AP386" s="235" t="s">
        <v>553</v>
      </c>
      <c r="AQ386" s="232"/>
      <c r="AR386" s="232"/>
      <c r="AS386" s="234"/>
      <c r="AT386" s="235"/>
      <c r="AU386" s="235"/>
      <c r="AV386" s="235"/>
      <c r="AW386" s="235"/>
      <c r="AX386" s="235"/>
      <c r="AY386" s="235"/>
      <c r="AZ386" s="236"/>
      <c r="BA386" s="236"/>
      <c r="BB386" s="236"/>
      <c r="BC386" s="236"/>
      <c r="BD386" s="235"/>
      <c r="BE386" s="113"/>
      <c r="BS386" s="114"/>
      <c r="BT386" s="114"/>
      <c r="BU386" s="66"/>
      <c r="BV386" s="81"/>
      <c r="BW386" s="90"/>
      <c r="BX386" s="90"/>
      <c r="BY386" s="90"/>
      <c r="BZ386" s="90"/>
      <c r="CA386" s="90"/>
      <c r="CB386" s="90"/>
      <c r="CC386" s="90"/>
      <c r="CD386" s="65"/>
      <c r="CL386" s="66"/>
    </row>
    <row r="387" spans="3:90" s="61" customFormat="1" x14ac:dyDescent="0.25">
      <c r="C387" s="71"/>
      <c r="D387" s="81"/>
      <c r="E387" s="82"/>
      <c r="F387" s="65"/>
      <c r="I387" s="66"/>
      <c r="J387" s="65"/>
      <c r="N387" s="65"/>
      <c r="T387" s="66"/>
      <c r="U387" s="62"/>
      <c r="V387" s="84"/>
      <c r="W387" s="84"/>
      <c r="X387" s="62"/>
      <c r="Y387" s="124"/>
      <c r="Z387" s="91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6"/>
      <c r="AN387" s="232"/>
      <c r="AO387" s="236"/>
      <c r="AP387" s="235"/>
      <c r="AQ387" s="232"/>
      <c r="AR387" s="232"/>
      <c r="AS387" s="234"/>
      <c r="AT387" s="235"/>
      <c r="AU387" s="235"/>
      <c r="AV387" s="235"/>
      <c r="AW387" s="235"/>
      <c r="AX387" s="235"/>
      <c r="AY387" s="235"/>
      <c r="AZ387" s="236"/>
      <c r="BA387" s="236"/>
      <c r="BB387" s="236"/>
      <c r="BC387" s="236"/>
      <c r="BD387" s="235"/>
      <c r="BE387" s="113"/>
      <c r="BS387" s="114"/>
      <c r="BT387" s="114"/>
      <c r="BU387" s="66"/>
      <c r="BV387" s="81"/>
      <c r="BW387" s="90"/>
      <c r="BX387" s="90"/>
      <c r="BY387" s="90"/>
      <c r="BZ387" s="90"/>
      <c r="CA387" s="90"/>
      <c r="CB387" s="90"/>
      <c r="CC387" s="90"/>
      <c r="CD387" s="65"/>
      <c r="CL387" s="66"/>
    </row>
    <row r="388" spans="3:90" s="61" customFormat="1" x14ac:dyDescent="0.25">
      <c r="C388" s="71"/>
      <c r="D388" s="81"/>
      <c r="E388" s="82"/>
      <c r="F388" s="65"/>
      <c r="I388" s="66"/>
      <c r="J388" s="65"/>
      <c r="N388" s="65"/>
      <c r="T388" s="66"/>
      <c r="U388" s="62"/>
      <c r="V388" s="84"/>
      <c r="W388" s="84"/>
      <c r="X388" s="62"/>
      <c r="Y388" s="124"/>
      <c r="Z388" s="91"/>
      <c r="AD388" s="125"/>
      <c r="AE388" s="125"/>
      <c r="AF388" s="125"/>
      <c r="AG388" s="125"/>
      <c r="AH388" s="125"/>
      <c r="AI388" s="125"/>
      <c r="AJ388" s="125"/>
      <c r="AK388" s="125"/>
      <c r="AL388" s="125"/>
      <c r="AM388" s="126"/>
      <c r="AN388" s="235"/>
      <c r="AO388" s="236"/>
      <c r="AP388" s="234" t="s">
        <v>521</v>
      </c>
      <c r="AQ388" s="235"/>
      <c r="AR388" s="235"/>
      <c r="AS388" s="235"/>
      <c r="AT388" s="235"/>
      <c r="AU388" s="235"/>
      <c r="AV388" s="235"/>
      <c r="AW388" s="235"/>
      <c r="AX388" s="235"/>
      <c r="AY388" s="235"/>
      <c r="AZ388" s="236"/>
      <c r="BA388" s="236"/>
      <c r="BB388" s="236"/>
      <c r="BC388" s="236"/>
      <c r="BD388" s="235"/>
      <c r="BE388" s="113"/>
      <c r="BS388" s="114"/>
      <c r="BT388" s="114"/>
      <c r="BU388" s="66"/>
      <c r="BV388" s="81"/>
      <c r="BW388" s="90"/>
      <c r="BX388" s="90"/>
      <c r="BY388" s="90"/>
      <c r="BZ388" s="90"/>
      <c r="CA388" s="90"/>
      <c r="CB388" s="90"/>
      <c r="CC388" s="90"/>
      <c r="CD388" s="65"/>
      <c r="CL388" s="66"/>
    </row>
    <row r="389" spans="3:90" s="61" customFormat="1" x14ac:dyDescent="0.25">
      <c r="C389" s="71"/>
      <c r="D389" s="81"/>
      <c r="E389" s="82"/>
      <c r="F389" s="65"/>
      <c r="I389" s="66"/>
      <c r="J389" s="65"/>
      <c r="N389" s="65"/>
      <c r="T389" s="66"/>
      <c r="U389" s="71"/>
      <c r="V389" s="84"/>
      <c r="W389" s="84"/>
      <c r="X389" s="62"/>
      <c r="Y389" s="124"/>
      <c r="Z389" s="91"/>
      <c r="AA389" s="9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  <c r="AM389" s="126"/>
      <c r="AN389" s="235" t="s">
        <v>72</v>
      </c>
      <c r="AO389" s="236"/>
      <c r="AP389" s="234" t="s">
        <v>517</v>
      </c>
      <c r="AQ389" s="235"/>
      <c r="AR389" s="235"/>
      <c r="AS389" s="235"/>
      <c r="AT389" s="235"/>
      <c r="AU389" s="235"/>
      <c r="AV389" s="235"/>
      <c r="AW389" s="235"/>
      <c r="AX389" s="235"/>
      <c r="AY389" s="235"/>
      <c r="AZ389" s="236"/>
      <c r="BA389" s="236"/>
      <c r="BB389" s="236"/>
      <c r="BC389" s="236"/>
      <c r="BD389" s="235"/>
      <c r="BE389" s="113"/>
      <c r="BS389" s="114"/>
      <c r="BT389" s="114"/>
      <c r="BU389" s="66"/>
      <c r="BV389" s="81"/>
      <c r="BW389" s="90"/>
      <c r="BX389" s="90"/>
      <c r="BY389" s="90"/>
      <c r="BZ389" s="90"/>
      <c r="CA389" s="90"/>
      <c r="CB389" s="90"/>
      <c r="CC389" s="90"/>
      <c r="CD389" s="65"/>
      <c r="CL389" s="66"/>
    </row>
    <row r="390" spans="3:90" s="61" customFormat="1" x14ac:dyDescent="0.25">
      <c r="C390" s="71"/>
      <c r="D390" s="81"/>
      <c r="E390" s="82"/>
      <c r="F390" s="65"/>
      <c r="I390" s="66"/>
      <c r="J390" s="65"/>
      <c r="N390" s="65"/>
      <c r="T390" s="66"/>
      <c r="U390" s="62"/>
      <c r="V390" s="84"/>
      <c r="W390" s="84"/>
      <c r="X390" s="62"/>
      <c r="Y390" s="124"/>
      <c r="Z390" s="91"/>
      <c r="AA390" s="9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6"/>
      <c r="AN390" s="232"/>
      <c r="AO390" s="236"/>
      <c r="AP390" s="234" t="s">
        <v>52</v>
      </c>
      <c r="AQ390" s="235"/>
      <c r="AR390" s="235"/>
      <c r="AS390" s="235"/>
      <c r="AT390" s="235"/>
      <c r="AU390" s="235"/>
      <c r="AV390" s="235"/>
      <c r="AW390" s="235"/>
      <c r="AX390" s="235"/>
      <c r="AY390" s="235"/>
      <c r="AZ390" s="236"/>
      <c r="BA390" s="236"/>
      <c r="BB390" s="236"/>
      <c r="BC390" s="236"/>
      <c r="BD390" s="235"/>
      <c r="BE390" s="113"/>
      <c r="BS390" s="114"/>
      <c r="BT390" s="114"/>
      <c r="BU390" s="66"/>
      <c r="BV390" s="81"/>
      <c r="BW390" s="90"/>
      <c r="BX390" s="90"/>
      <c r="BY390" s="90"/>
      <c r="BZ390" s="90"/>
      <c r="CA390" s="90"/>
      <c r="CB390" s="90"/>
      <c r="CC390" s="90"/>
      <c r="CD390" s="65"/>
      <c r="CL390" s="66"/>
    </row>
    <row r="391" spans="3:90" s="61" customFormat="1" x14ac:dyDescent="0.25">
      <c r="C391" s="71"/>
      <c r="D391" s="81"/>
      <c r="E391" s="82"/>
      <c r="F391" s="65"/>
      <c r="I391" s="66"/>
      <c r="J391" s="65"/>
      <c r="N391" s="65"/>
      <c r="T391" s="66"/>
      <c r="U391" s="62"/>
      <c r="V391" s="84"/>
      <c r="W391" s="84"/>
      <c r="X391" s="62"/>
      <c r="Y391" s="124"/>
      <c r="Z391" s="91"/>
      <c r="AA391" s="9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6"/>
      <c r="AN391" s="232" t="s">
        <v>109</v>
      </c>
      <c r="AO391" s="236"/>
      <c r="AP391" s="235" t="s">
        <v>553</v>
      </c>
      <c r="AQ391" s="235"/>
      <c r="AR391" s="235"/>
      <c r="AS391" s="235"/>
      <c r="AT391" s="235"/>
      <c r="AU391" s="235"/>
      <c r="AV391" s="235"/>
      <c r="AW391" s="235"/>
      <c r="AX391" s="235"/>
      <c r="AY391" s="235"/>
      <c r="AZ391" s="236"/>
      <c r="BA391" s="236"/>
      <c r="BB391" s="236"/>
      <c r="BC391" s="236"/>
      <c r="BD391" s="235"/>
      <c r="BE391" s="113"/>
      <c r="BS391" s="114"/>
      <c r="BT391" s="114"/>
      <c r="BU391" s="66"/>
      <c r="BV391" s="81"/>
      <c r="BW391" s="90"/>
      <c r="BX391" s="90"/>
      <c r="BY391" s="90"/>
      <c r="BZ391" s="90"/>
      <c r="CA391" s="90"/>
      <c r="CB391" s="90"/>
      <c r="CC391" s="90"/>
      <c r="CD391" s="65"/>
      <c r="CL391" s="66"/>
    </row>
    <row r="392" spans="3:90" s="61" customFormat="1" x14ac:dyDescent="0.25">
      <c r="C392" s="71"/>
      <c r="D392" s="81"/>
      <c r="E392" s="82"/>
      <c r="F392" s="65"/>
      <c r="I392" s="66"/>
      <c r="J392" s="65"/>
      <c r="N392" s="65"/>
      <c r="T392" s="66"/>
      <c r="U392" s="71"/>
      <c r="V392" s="84"/>
      <c r="W392" s="84"/>
      <c r="X392" s="62"/>
      <c r="Y392" s="124"/>
      <c r="Z392" s="91"/>
      <c r="AA392" s="9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6"/>
      <c r="AN392" s="94"/>
      <c r="AO392" s="62"/>
      <c r="AP392" s="85"/>
      <c r="AZ392" s="62"/>
      <c r="BA392" s="62"/>
      <c r="BB392" s="62"/>
      <c r="BC392" s="62"/>
      <c r="BE392" s="113"/>
      <c r="BS392" s="114"/>
      <c r="BT392" s="114"/>
      <c r="BU392" s="66"/>
      <c r="BV392" s="81"/>
      <c r="BW392" s="90"/>
      <c r="BX392" s="90"/>
      <c r="BY392" s="90"/>
      <c r="BZ392" s="90"/>
      <c r="CA392" s="90"/>
      <c r="CB392" s="90"/>
      <c r="CC392" s="90"/>
      <c r="CD392" s="65"/>
      <c r="CL392" s="66"/>
    </row>
    <row r="393" spans="3:90" s="61" customFormat="1" x14ac:dyDescent="0.25">
      <c r="C393" s="71"/>
      <c r="D393" s="81"/>
      <c r="F393" s="65"/>
      <c r="I393" s="66"/>
      <c r="J393" s="65"/>
      <c r="N393" s="65"/>
      <c r="T393" s="66"/>
      <c r="U393" s="103"/>
      <c r="V393" s="116"/>
      <c r="W393" s="116"/>
      <c r="X393" s="105"/>
      <c r="Y393" s="133"/>
      <c r="Z393" s="228"/>
      <c r="AA393" s="134"/>
      <c r="AB393" s="240"/>
      <c r="AC393" s="240"/>
      <c r="AD393" s="240"/>
      <c r="AE393" s="240"/>
      <c r="AF393" s="240"/>
      <c r="AG393" s="240"/>
      <c r="AH393" s="240"/>
      <c r="AI393" s="240"/>
      <c r="AJ393" s="240"/>
      <c r="AK393" s="240"/>
      <c r="AL393" s="240"/>
      <c r="AM393" s="241"/>
      <c r="AN393" s="242"/>
      <c r="AO393" s="105"/>
      <c r="AP393" s="127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5"/>
      <c r="BA393" s="105"/>
      <c r="BB393" s="105"/>
      <c r="BC393" s="105"/>
      <c r="BD393" s="100"/>
      <c r="BE393" s="230"/>
      <c r="BF393" s="100"/>
      <c r="BG393" s="100"/>
      <c r="BH393" s="100"/>
      <c r="BI393" s="100"/>
      <c r="BJ393" s="100"/>
      <c r="BK393" s="100"/>
      <c r="BL393" s="100"/>
      <c r="BM393" s="100"/>
      <c r="BN393" s="100"/>
      <c r="BO393" s="100"/>
      <c r="BP393" s="100"/>
      <c r="BQ393" s="100"/>
      <c r="BR393" s="100"/>
      <c r="BS393" s="132"/>
      <c r="BT393" s="132"/>
      <c r="BU393" s="102"/>
      <c r="BV393" s="97"/>
      <c r="BW393" s="119"/>
      <c r="BX393" s="119"/>
      <c r="BY393" s="119"/>
      <c r="BZ393" s="119"/>
      <c r="CA393" s="119"/>
      <c r="CB393" s="119"/>
      <c r="CC393" s="119"/>
      <c r="CD393" s="101"/>
      <c r="CE393" s="100"/>
      <c r="CF393" s="100"/>
      <c r="CG393" s="100"/>
      <c r="CH393" s="100"/>
      <c r="CI393" s="100"/>
      <c r="CJ393" s="100"/>
      <c r="CK393" s="100"/>
      <c r="CL393" s="102"/>
    </row>
    <row r="394" spans="3:90" s="61" customFormat="1" x14ac:dyDescent="0.25">
      <c r="C394" s="71"/>
      <c r="D394" s="81"/>
      <c r="E394" s="64">
        <v>3</v>
      </c>
      <c r="F394" s="65"/>
      <c r="I394" s="66"/>
      <c r="J394" s="65"/>
      <c r="N394" s="243" t="s">
        <v>486</v>
      </c>
      <c r="O394" s="68"/>
      <c r="P394" s="68"/>
      <c r="Q394" s="68"/>
      <c r="R394" s="68"/>
      <c r="S394" s="68"/>
      <c r="T394" s="69"/>
      <c r="U394" s="76" t="s">
        <v>63</v>
      </c>
      <c r="V394" s="73" t="s">
        <v>43</v>
      </c>
      <c r="W394" s="73"/>
      <c r="X394" s="63">
        <f>BW394</f>
        <v>1</v>
      </c>
      <c r="Y394" s="120" t="s">
        <v>50</v>
      </c>
      <c r="Z394" s="85" t="s">
        <v>482</v>
      </c>
      <c r="AA394" s="9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6"/>
      <c r="AN394" s="62" t="s">
        <v>55</v>
      </c>
      <c r="AO394" s="76"/>
      <c r="AP394" s="61" t="s">
        <v>493</v>
      </c>
      <c r="AZ394" s="62"/>
      <c r="BA394" s="62"/>
      <c r="BB394" s="62"/>
      <c r="BC394" s="62"/>
      <c r="BE394" s="78" t="s">
        <v>50</v>
      </c>
      <c r="BF394" s="68" t="s">
        <v>21</v>
      </c>
      <c r="BG394" s="68"/>
      <c r="BS394" s="112">
        <v>1</v>
      </c>
      <c r="BT394" s="112">
        <v>0</v>
      </c>
      <c r="BU394" s="69"/>
      <c r="BV394" s="63" t="str">
        <f>IF(BW394&lt;&gt;"",IF(BW394=CB394+BZ394,"完了","未完"),"")</f>
        <v>未完</v>
      </c>
      <c r="BW394" s="63">
        <f>SUM(BS394:BT397)</f>
        <v>1</v>
      </c>
      <c r="BX394" s="80">
        <v>0</v>
      </c>
      <c r="BY394" s="80">
        <v>0</v>
      </c>
      <c r="BZ394" s="80">
        <v>0</v>
      </c>
      <c r="CA394" s="80">
        <f>BW394-(BX394+BY394+BZ394)</f>
        <v>1</v>
      </c>
      <c r="CB394" s="80">
        <v>0</v>
      </c>
      <c r="CC394" s="80">
        <v>0</v>
      </c>
      <c r="CD394" s="67"/>
      <c r="CE394" s="68"/>
      <c r="CF394" s="68"/>
      <c r="CG394" s="68"/>
      <c r="CH394" s="68"/>
      <c r="CI394" s="68"/>
      <c r="CJ394" s="68"/>
      <c r="CK394" s="68"/>
      <c r="CL394" s="69"/>
    </row>
    <row r="395" spans="3:90" s="61" customFormat="1" x14ac:dyDescent="0.25">
      <c r="C395" s="71"/>
      <c r="D395" s="81"/>
      <c r="E395" s="82"/>
      <c r="F395" s="65"/>
      <c r="I395" s="66"/>
      <c r="J395" s="65"/>
      <c r="N395" s="65"/>
      <c r="T395" s="66"/>
      <c r="U395" s="62"/>
      <c r="V395" s="84"/>
      <c r="W395" s="84"/>
      <c r="X395" s="62"/>
      <c r="Y395" s="124"/>
      <c r="Z395" s="91"/>
      <c r="AA395" s="9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6"/>
      <c r="AN395" s="62"/>
      <c r="AO395" s="62"/>
      <c r="AP395" s="61" t="s">
        <v>51</v>
      </c>
      <c r="AZ395" s="62"/>
      <c r="BA395" s="62"/>
      <c r="BB395" s="62"/>
      <c r="BC395" s="62"/>
      <c r="BE395" s="113" t="s">
        <v>50</v>
      </c>
      <c r="BF395" s="61" t="s">
        <v>488</v>
      </c>
      <c r="BS395" s="114"/>
      <c r="BT395" s="114"/>
      <c r="BU395" s="66"/>
      <c r="BV395" s="81"/>
      <c r="BW395" s="90"/>
      <c r="BX395" s="90"/>
      <c r="BY395" s="90"/>
      <c r="BZ395" s="90"/>
      <c r="CA395" s="90"/>
      <c r="CB395" s="90"/>
      <c r="CC395" s="90"/>
      <c r="CD395" s="65"/>
      <c r="CL395" s="66"/>
    </row>
    <row r="396" spans="3:90" s="61" customFormat="1" x14ac:dyDescent="0.25">
      <c r="C396" s="71"/>
      <c r="D396" s="81"/>
      <c r="E396" s="82"/>
      <c r="F396" s="65"/>
      <c r="I396" s="66"/>
      <c r="J396" s="65"/>
      <c r="N396" s="65"/>
      <c r="T396" s="66"/>
      <c r="U396" s="71"/>
      <c r="V396" s="84"/>
      <c r="W396" s="84"/>
      <c r="X396" s="62"/>
      <c r="Y396" s="124"/>
      <c r="Z396" s="91"/>
      <c r="AA396" s="9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6"/>
      <c r="AN396" s="62" t="s">
        <v>65</v>
      </c>
      <c r="AO396" s="62"/>
      <c r="AP396" s="61" t="s">
        <v>494</v>
      </c>
      <c r="AZ396" s="62"/>
      <c r="BA396" s="62"/>
      <c r="BB396" s="62"/>
      <c r="BC396" s="62"/>
      <c r="BD396" s="238"/>
      <c r="BE396" s="113"/>
      <c r="BF396" s="61" t="s">
        <v>483</v>
      </c>
      <c r="BS396" s="114"/>
      <c r="BT396" s="114"/>
      <c r="BU396" s="66"/>
      <c r="BV396" s="81"/>
      <c r="BW396" s="90"/>
      <c r="BX396" s="90"/>
      <c r="BY396" s="90"/>
      <c r="BZ396" s="90"/>
      <c r="CA396" s="90"/>
      <c r="CB396" s="90"/>
      <c r="CC396" s="90"/>
      <c r="CD396" s="65"/>
      <c r="CL396" s="66"/>
    </row>
    <row r="397" spans="3:90" s="61" customFormat="1" x14ac:dyDescent="0.25">
      <c r="C397" s="71"/>
      <c r="D397" s="81"/>
      <c r="E397" s="82"/>
      <c r="F397" s="65"/>
      <c r="I397" s="66"/>
      <c r="J397" s="65"/>
      <c r="N397" s="65"/>
      <c r="T397" s="66"/>
      <c r="U397" s="71"/>
      <c r="V397" s="84"/>
      <c r="W397" s="84"/>
      <c r="X397" s="62"/>
      <c r="Y397" s="124"/>
      <c r="Z397" s="91"/>
      <c r="AA397" s="9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6"/>
      <c r="AN397" s="94"/>
      <c r="AO397" s="62"/>
      <c r="AP397" s="61" t="s">
        <v>51</v>
      </c>
      <c r="AZ397" s="62"/>
      <c r="BA397" s="62"/>
      <c r="BB397" s="62"/>
      <c r="BC397" s="62"/>
      <c r="BD397" s="238"/>
      <c r="BE397" s="113"/>
      <c r="BF397" s="61" t="s">
        <v>484</v>
      </c>
      <c r="BS397" s="114"/>
      <c r="BT397" s="114"/>
      <c r="BU397" s="66"/>
      <c r="BV397" s="81"/>
      <c r="BW397" s="90"/>
      <c r="BX397" s="90"/>
      <c r="BY397" s="90"/>
      <c r="BZ397" s="90"/>
      <c r="CA397" s="90"/>
      <c r="CB397" s="90"/>
      <c r="CC397" s="90"/>
      <c r="CD397" s="65"/>
      <c r="CL397" s="66"/>
    </row>
    <row r="398" spans="3:90" s="61" customFormat="1" x14ac:dyDescent="0.25">
      <c r="C398" s="71"/>
      <c r="D398" s="81"/>
      <c r="E398" s="82"/>
      <c r="F398" s="65"/>
      <c r="I398" s="66"/>
      <c r="J398" s="65"/>
      <c r="N398" s="65"/>
      <c r="T398" s="66"/>
      <c r="U398" s="71"/>
      <c r="V398" s="84"/>
      <c r="W398" s="84"/>
      <c r="X398" s="62"/>
      <c r="Y398" s="124"/>
      <c r="Z398" s="91"/>
      <c r="AA398" s="9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6"/>
      <c r="AN398" s="94" t="s">
        <v>66</v>
      </c>
      <c r="AO398" s="62"/>
      <c r="AP398" s="61" t="s">
        <v>495</v>
      </c>
      <c r="AZ398" s="62"/>
      <c r="BA398" s="62"/>
      <c r="BB398" s="62"/>
      <c r="BC398" s="62"/>
      <c r="BD398" s="238"/>
      <c r="BE398" s="113"/>
      <c r="BF398" s="61" t="s">
        <v>485</v>
      </c>
      <c r="BS398" s="114"/>
      <c r="BT398" s="114"/>
      <c r="BU398" s="66"/>
      <c r="BV398" s="81"/>
      <c r="BW398" s="90"/>
      <c r="BX398" s="90"/>
      <c r="BY398" s="90"/>
      <c r="BZ398" s="90"/>
      <c r="CA398" s="90"/>
      <c r="CB398" s="90"/>
      <c r="CC398" s="90"/>
      <c r="CD398" s="65"/>
      <c r="CL398" s="66"/>
    </row>
    <row r="399" spans="3:90" s="61" customFormat="1" x14ac:dyDescent="0.25">
      <c r="C399" s="71"/>
      <c r="D399" s="81"/>
      <c r="E399" s="82"/>
      <c r="F399" s="65"/>
      <c r="I399" s="66"/>
      <c r="J399" s="65"/>
      <c r="N399" s="65"/>
      <c r="T399" s="66"/>
      <c r="U399" s="71"/>
      <c r="V399" s="84"/>
      <c r="W399" s="84"/>
      <c r="X399" s="62"/>
      <c r="Y399" s="124"/>
      <c r="Z399" s="91"/>
      <c r="AA399" s="9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6"/>
      <c r="AN399" s="94"/>
      <c r="AO399" s="62"/>
      <c r="AP399" s="85" t="s">
        <v>51</v>
      </c>
      <c r="AZ399" s="62"/>
      <c r="BA399" s="62"/>
      <c r="BB399" s="62"/>
      <c r="BC399" s="62"/>
      <c r="BD399" s="238"/>
      <c r="BE399" s="113"/>
      <c r="BS399" s="114"/>
      <c r="BT399" s="114"/>
      <c r="BU399" s="66"/>
      <c r="BV399" s="81"/>
      <c r="BW399" s="90"/>
      <c r="BX399" s="90"/>
      <c r="BY399" s="90"/>
      <c r="BZ399" s="90"/>
      <c r="CA399" s="90"/>
      <c r="CB399" s="90"/>
      <c r="CC399" s="90"/>
      <c r="CD399" s="65"/>
      <c r="CL399" s="66"/>
    </row>
    <row r="400" spans="3:90" s="61" customFormat="1" x14ac:dyDescent="0.25">
      <c r="C400" s="71"/>
      <c r="D400" s="81"/>
      <c r="E400" s="82"/>
      <c r="F400" s="65"/>
      <c r="I400" s="66"/>
      <c r="J400" s="65"/>
      <c r="N400" s="65"/>
      <c r="T400" s="66"/>
      <c r="U400" s="71"/>
      <c r="V400" s="84"/>
      <c r="W400" s="84"/>
      <c r="X400" s="62"/>
      <c r="Y400" s="124"/>
      <c r="Z400" s="91"/>
      <c r="AA400" s="9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6"/>
      <c r="AN400" s="94" t="s">
        <v>71</v>
      </c>
      <c r="AO400" s="62"/>
      <c r="AP400" s="61" t="s">
        <v>554</v>
      </c>
      <c r="AZ400" s="62"/>
      <c r="BA400" s="62"/>
      <c r="BB400" s="62"/>
      <c r="BC400" s="62"/>
      <c r="BD400" s="238"/>
      <c r="BE400" s="113"/>
      <c r="BS400" s="114"/>
      <c r="BT400" s="114"/>
      <c r="BU400" s="66"/>
      <c r="BV400" s="81"/>
      <c r="BW400" s="90"/>
      <c r="BX400" s="90"/>
      <c r="BY400" s="90"/>
      <c r="BZ400" s="90"/>
      <c r="CA400" s="90"/>
      <c r="CB400" s="90"/>
      <c r="CC400" s="90"/>
      <c r="CD400" s="65"/>
      <c r="CL400" s="66"/>
    </row>
    <row r="401" spans="3:90" s="61" customFormat="1" x14ac:dyDescent="0.25">
      <c r="C401" s="71"/>
      <c r="D401" s="81"/>
      <c r="E401" s="82"/>
      <c r="F401" s="65"/>
      <c r="I401" s="66"/>
      <c r="J401" s="65"/>
      <c r="N401" s="65"/>
      <c r="T401" s="66"/>
      <c r="U401" s="71"/>
      <c r="V401" s="84"/>
      <c r="W401" s="84"/>
      <c r="X401" s="62"/>
      <c r="Y401" s="124"/>
      <c r="Z401" s="91"/>
      <c r="AA401" s="9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6"/>
      <c r="AN401" s="94"/>
      <c r="AO401" s="62"/>
      <c r="AP401" s="85" t="s">
        <v>51</v>
      </c>
      <c r="AZ401" s="62"/>
      <c r="BA401" s="62"/>
      <c r="BB401" s="62"/>
      <c r="BC401" s="62"/>
      <c r="BD401" s="238"/>
      <c r="BE401" s="113"/>
      <c r="BS401" s="114"/>
      <c r="BT401" s="114"/>
      <c r="BU401" s="66"/>
      <c r="BV401" s="81"/>
      <c r="BW401" s="90"/>
      <c r="BX401" s="90"/>
      <c r="BY401" s="90"/>
      <c r="BZ401" s="90"/>
      <c r="CA401" s="90"/>
      <c r="CB401" s="90"/>
      <c r="CC401" s="90"/>
      <c r="CD401" s="65"/>
      <c r="CL401" s="66"/>
    </row>
    <row r="402" spans="3:90" s="61" customFormat="1" x14ac:dyDescent="0.25">
      <c r="C402" s="71"/>
      <c r="D402" s="81"/>
      <c r="E402" s="82"/>
      <c r="F402" s="65"/>
      <c r="I402" s="66"/>
      <c r="J402" s="65"/>
      <c r="N402" s="65"/>
      <c r="T402" s="66"/>
      <c r="U402" s="71"/>
      <c r="V402" s="84"/>
      <c r="W402" s="84"/>
      <c r="X402" s="62"/>
      <c r="Y402" s="124"/>
      <c r="Z402" s="91"/>
      <c r="AA402" s="9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6"/>
      <c r="AN402" s="94" t="s">
        <v>72</v>
      </c>
      <c r="AO402" s="62"/>
      <c r="AP402" s="125" t="s">
        <v>523</v>
      </c>
      <c r="AZ402" s="62"/>
      <c r="BA402" s="62"/>
      <c r="BB402" s="62"/>
      <c r="BC402" s="62"/>
      <c r="BD402" s="238"/>
      <c r="BE402" s="113"/>
      <c r="BS402" s="114"/>
      <c r="BT402" s="114"/>
      <c r="BU402" s="66"/>
      <c r="BV402" s="81"/>
      <c r="BW402" s="90"/>
      <c r="BX402" s="90"/>
      <c r="BY402" s="90"/>
      <c r="BZ402" s="90"/>
      <c r="CA402" s="90"/>
      <c r="CB402" s="90"/>
      <c r="CC402" s="90"/>
      <c r="CD402" s="65"/>
      <c r="CL402" s="66"/>
    </row>
    <row r="403" spans="3:90" s="61" customFormat="1" x14ac:dyDescent="0.25">
      <c r="C403" s="71"/>
      <c r="D403" s="81"/>
      <c r="E403" s="82"/>
      <c r="F403" s="65"/>
      <c r="I403" s="66"/>
      <c r="J403" s="65"/>
      <c r="N403" s="65"/>
      <c r="T403" s="66"/>
      <c r="U403" s="71"/>
      <c r="V403" s="84"/>
      <c r="W403" s="84"/>
      <c r="X403" s="62"/>
      <c r="Y403" s="124"/>
      <c r="Z403" s="91"/>
      <c r="AA403" s="9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6"/>
      <c r="AN403" s="94"/>
      <c r="AO403" s="62"/>
      <c r="AZ403" s="62"/>
      <c r="BA403" s="62"/>
      <c r="BB403" s="62"/>
      <c r="BC403" s="62"/>
      <c r="BD403" s="238"/>
      <c r="BE403" s="113"/>
      <c r="BS403" s="114"/>
      <c r="BT403" s="114"/>
      <c r="BU403" s="66"/>
      <c r="BV403" s="81"/>
      <c r="BW403" s="90"/>
      <c r="BX403" s="90"/>
      <c r="BY403" s="90"/>
      <c r="BZ403" s="90"/>
      <c r="CA403" s="90"/>
      <c r="CB403" s="90"/>
      <c r="CC403" s="90"/>
      <c r="CD403" s="65"/>
      <c r="CL403" s="66"/>
    </row>
    <row r="404" spans="3:90" s="61" customFormat="1" x14ac:dyDescent="0.25">
      <c r="C404" s="71"/>
      <c r="D404" s="81"/>
      <c r="E404" s="96"/>
      <c r="F404" s="65"/>
      <c r="I404" s="66"/>
      <c r="J404" s="65"/>
      <c r="N404" s="65"/>
      <c r="T404" s="66"/>
      <c r="U404" s="103"/>
      <c r="V404" s="116"/>
      <c r="W404" s="116"/>
      <c r="X404" s="105"/>
      <c r="Y404" s="133"/>
      <c r="Z404" s="228"/>
      <c r="AA404" s="134"/>
      <c r="AB404" s="240"/>
      <c r="AC404" s="240"/>
      <c r="AD404" s="240"/>
      <c r="AE404" s="240"/>
      <c r="AF404" s="240"/>
      <c r="AG404" s="240"/>
      <c r="AH404" s="240"/>
      <c r="AI404" s="240"/>
      <c r="AJ404" s="240"/>
      <c r="AK404" s="240"/>
      <c r="AL404" s="240"/>
      <c r="AM404" s="241"/>
      <c r="AN404" s="242"/>
      <c r="AO404" s="105"/>
      <c r="AP404" s="127"/>
      <c r="AQ404" s="100"/>
      <c r="AR404" s="100"/>
      <c r="AS404" s="100"/>
      <c r="AT404" s="100"/>
      <c r="AU404" s="100"/>
      <c r="AV404" s="100"/>
      <c r="AW404" s="100"/>
      <c r="AX404" s="100"/>
      <c r="AY404" s="100"/>
      <c r="AZ404" s="105"/>
      <c r="BA404" s="105"/>
      <c r="BB404" s="105"/>
      <c r="BC404" s="105"/>
      <c r="BD404" s="247"/>
      <c r="BE404" s="230"/>
      <c r="BF404" s="100"/>
      <c r="BG404" s="100"/>
      <c r="BH404" s="100"/>
      <c r="BI404" s="100"/>
      <c r="BJ404" s="100"/>
      <c r="BK404" s="100"/>
      <c r="BL404" s="100"/>
      <c r="BM404" s="100"/>
      <c r="BN404" s="100"/>
      <c r="BO404" s="100"/>
      <c r="BP404" s="100"/>
      <c r="BQ404" s="100"/>
      <c r="BR404" s="100"/>
      <c r="BS404" s="132"/>
      <c r="BT404" s="132"/>
      <c r="BU404" s="102"/>
      <c r="BV404" s="97"/>
      <c r="BW404" s="119"/>
      <c r="BX404" s="119"/>
      <c r="BY404" s="119"/>
      <c r="BZ404" s="119"/>
      <c r="CA404" s="119"/>
      <c r="CB404" s="119"/>
      <c r="CC404" s="119"/>
      <c r="CD404" s="101"/>
      <c r="CE404" s="100"/>
      <c r="CF404" s="100"/>
      <c r="CG404" s="100"/>
      <c r="CH404" s="100"/>
      <c r="CI404" s="100"/>
      <c r="CJ404" s="100"/>
      <c r="CK404" s="100"/>
      <c r="CL404" s="102"/>
    </row>
    <row r="405" spans="3:90" s="61" customFormat="1" x14ac:dyDescent="0.25">
      <c r="C405" s="71"/>
      <c r="D405" s="81"/>
      <c r="E405" s="82">
        <v>4</v>
      </c>
      <c r="F405" s="65"/>
      <c r="I405" s="66"/>
      <c r="J405" s="65"/>
      <c r="N405" s="65"/>
      <c r="T405" s="66"/>
      <c r="U405" s="34" t="s">
        <v>64</v>
      </c>
      <c r="V405" s="34" t="s">
        <v>45</v>
      </c>
      <c r="W405" s="73"/>
      <c r="X405" s="63">
        <f>BW405</f>
        <v>1</v>
      </c>
      <c r="Y405" s="120" t="s">
        <v>50</v>
      </c>
      <c r="Z405" s="248" t="s">
        <v>507</v>
      </c>
      <c r="AA405" s="9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6"/>
      <c r="AN405" s="62" t="s">
        <v>55</v>
      </c>
      <c r="AO405" s="76"/>
      <c r="AP405" s="61" t="s">
        <v>493</v>
      </c>
      <c r="AZ405" s="62"/>
      <c r="BA405" s="62"/>
      <c r="BB405" s="62"/>
      <c r="BC405" s="62"/>
      <c r="BE405" s="78" t="s">
        <v>50</v>
      </c>
      <c r="BF405" s="68" t="s">
        <v>21</v>
      </c>
      <c r="BG405" s="68"/>
      <c r="BS405" s="112">
        <v>1</v>
      </c>
      <c r="BT405" s="112">
        <v>0</v>
      </c>
      <c r="BU405" s="69"/>
      <c r="BV405" s="63" t="str">
        <f>IF(BW405&lt;&gt;"",IF(BW405=CB405+BZ405,"完了","未完"),"")</f>
        <v>未完</v>
      </c>
      <c r="BW405" s="63">
        <f>SUM(BS405:BT411)</f>
        <v>1</v>
      </c>
      <c r="BX405" s="80">
        <v>0</v>
      </c>
      <c r="BY405" s="80">
        <v>0</v>
      </c>
      <c r="BZ405" s="80">
        <v>0</v>
      </c>
      <c r="CA405" s="80">
        <f>BW405-(BX405+BY405+BZ405)</f>
        <v>1</v>
      </c>
      <c r="CB405" s="80">
        <v>0</v>
      </c>
      <c r="CC405" s="80">
        <v>0</v>
      </c>
      <c r="CD405" s="67"/>
      <c r="CE405" s="68"/>
      <c r="CF405" s="68"/>
      <c r="CG405" s="68"/>
      <c r="CH405" s="68"/>
      <c r="CI405" s="68"/>
      <c r="CJ405" s="68"/>
      <c r="CK405" s="68"/>
      <c r="CL405" s="69"/>
    </row>
    <row r="406" spans="3:90" s="61" customFormat="1" x14ac:dyDescent="0.25">
      <c r="C406" s="71"/>
      <c r="D406" s="81"/>
      <c r="E406" s="82"/>
      <c r="F406" s="65"/>
      <c r="I406" s="66"/>
      <c r="J406" s="65"/>
      <c r="N406" s="65"/>
      <c r="T406" s="66"/>
      <c r="U406" s="62"/>
      <c r="V406" s="84"/>
      <c r="W406" s="84"/>
      <c r="X406" s="62"/>
      <c r="Y406" s="124"/>
      <c r="Z406" s="91"/>
      <c r="AA406" s="9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  <c r="AM406" s="126"/>
      <c r="AN406" s="62"/>
      <c r="AO406" s="62"/>
      <c r="AP406" s="61" t="s">
        <v>51</v>
      </c>
      <c r="AZ406" s="62"/>
      <c r="BA406" s="62"/>
      <c r="BB406" s="62"/>
      <c r="BC406" s="62"/>
      <c r="BE406" s="113" t="s">
        <v>50</v>
      </c>
      <c r="BF406" s="61" t="s">
        <v>488</v>
      </c>
      <c r="BS406" s="114"/>
      <c r="BT406" s="114"/>
      <c r="BU406" s="66"/>
      <c r="BV406" s="81"/>
      <c r="BW406" s="90"/>
      <c r="BX406" s="90"/>
      <c r="BY406" s="90"/>
      <c r="BZ406" s="90"/>
      <c r="CA406" s="90"/>
      <c r="CB406" s="90"/>
      <c r="CC406" s="90"/>
      <c r="CD406" s="65"/>
      <c r="CL406" s="66"/>
    </row>
    <row r="407" spans="3:90" s="61" customFormat="1" x14ac:dyDescent="0.25">
      <c r="C407" s="71"/>
      <c r="D407" s="81"/>
      <c r="E407" s="82"/>
      <c r="F407" s="65"/>
      <c r="I407" s="66"/>
      <c r="J407" s="65"/>
      <c r="N407" s="65"/>
      <c r="T407" s="66"/>
      <c r="U407" s="62"/>
      <c r="V407" s="84"/>
      <c r="W407" s="84"/>
      <c r="X407" s="62"/>
      <c r="Y407" s="124"/>
      <c r="Z407" s="91"/>
      <c r="AA407" s="9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6"/>
      <c r="AN407" s="62" t="s">
        <v>65</v>
      </c>
      <c r="AO407" s="62"/>
      <c r="AP407" s="61" t="s">
        <v>494</v>
      </c>
      <c r="AZ407" s="62"/>
      <c r="BA407" s="62"/>
      <c r="BB407" s="62"/>
      <c r="BC407" s="62"/>
      <c r="BE407" s="113"/>
      <c r="BF407" s="61" t="s">
        <v>496</v>
      </c>
      <c r="BS407" s="114"/>
      <c r="BT407" s="114"/>
      <c r="BU407" s="66"/>
      <c r="BV407" s="81"/>
      <c r="BW407" s="90"/>
      <c r="BX407" s="90"/>
      <c r="BY407" s="90"/>
      <c r="BZ407" s="90"/>
      <c r="CA407" s="90"/>
      <c r="CB407" s="90"/>
      <c r="CC407" s="90"/>
      <c r="CD407" s="65"/>
      <c r="CL407" s="66"/>
    </row>
    <row r="408" spans="3:90" s="61" customFormat="1" x14ac:dyDescent="0.25">
      <c r="C408" s="71"/>
      <c r="D408" s="81"/>
      <c r="E408" s="82"/>
      <c r="F408" s="65"/>
      <c r="I408" s="66"/>
      <c r="J408" s="65"/>
      <c r="N408" s="65"/>
      <c r="T408" s="66"/>
      <c r="U408" s="62"/>
      <c r="V408" s="84"/>
      <c r="W408" s="84"/>
      <c r="X408" s="62"/>
      <c r="Y408" s="124"/>
      <c r="Z408" s="91"/>
      <c r="AA408" s="9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6"/>
      <c r="AN408" s="94"/>
      <c r="AO408" s="62"/>
      <c r="AP408" s="61" t="s">
        <v>51</v>
      </c>
      <c r="AZ408" s="62"/>
      <c r="BA408" s="62"/>
      <c r="BB408" s="62"/>
      <c r="BC408" s="62"/>
      <c r="BE408" s="113"/>
      <c r="BS408" s="114"/>
      <c r="BT408" s="114"/>
      <c r="BU408" s="66"/>
      <c r="BV408" s="81"/>
      <c r="BW408" s="90"/>
      <c r="BX408" s="90"/>
      <c r="BY408" s="90"/>
      <c r="BZ408" s="90"/>
      <c r="CA408" s="90"/>
      <c r="CB408" s="90"/>
      <c r="CC408" s="90"/>
      <c r="CD408" s="65"/>
      <c r="CL408" s="66"/>
    </row>
    <row r="409" spans="3:90" s="61" customFormat="1" x14ac:dyDescent="0.25">
      <c r="C409" s="71"/>
      <c r="D409" s="81"/>
      <c r="E409" s="82"/>
      <c r="F409" s="65"/>
      <c r="I409" s="66"/>
      <c r="J409" s="65"/>
      <c r="N409" s="65"/>
      <c r="T409" s="66"/>
      <c r="U409" s="62"/>
      <c r="V409" s="84"/>
      <c r="W409" s="84"/>
      <c r="X409" s="62"/>
      <c r="Y409" s="124"/>
      <c r="Z409" s="91"/>
      <c r="AA409" s="9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6"/>
      <c r="AN409" s="94" t="s">
        <v>66</v>
      </c>
      <c r="AO409" s="62"/>
      <c r="AP409" s="61" t="s">
        <v>495</v>
      </c>
      <c r="AZ409" s="62"/>
      <c r="BA409" s="62"/>
      <c r="BB409" s="62"/>
      <c r="BC409" s="62"/>
      <c r="BE409" s="113"/>
      <c r="BS409" s="114"/>
      <c r="BT409" s="114"/>
      <c r="BU409" s="66"/>
      <c r="BV409" s="81"/>
      <c r="BW409" s="90"/>
      <c r="BX409" s="90"/>
      <c r="BY409" s="90"/>
      <c r="BZ409" s="90"/>
      <c r="CA409" s="90"/>
      <c r="CB409" s="90"/>
      <c r="CC409" s="90"/>
      <c r="CD409" s="65"/>
      <c r="CL409" s="66"/>
    </row>
    <row r="410" spans="3:90" s="61" customFormat="1" x14ac:dyDescent="0.25">
      <c r="C410" s="71"/>
      <c r="D410" s="81"/>
      <c r="E410" s="82"/>
      <c r="F410" s="65"/>
      <c r="I410" s="66"/>
      <c r="J410" s="65"/>
      <c r="N410" s="65"/>
      <c r="T410" s="66"/>
      <c r="U410" s="62"/>
      <c r="V410" s="84"/>
      <c r="W410" s="84"/>
      <c r="X410" s="62"/>
      <c r="Y410" s="124"/>
      <c r="Z410" s="91"/>
      <c r="AA410" s="9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6"/>
      <c r="AN410" s="62"/>
      <c r="AO410" s="62"/>
      <c r="AP410" s="61" t="s">
        <v>51</v>
      </c>
      <c r="AZ410" s="62"/>
      <c r="BA410" s="62"/>
      <c r="BB410" s="62"/>
      <c r="BC410" s="62"/>
      <c r="BE410" s="113"/>
      <c r="BS410" s="114"/>
      <c r="BT410" s="114"/>
      <c r="BU410" s="66"/>
      <c r="BV410" s="81"/>
      <c r="BW410" s="90"/>
      <c r="BX410" s="90"/>
      <c r="BY410" s="90"/>
      <c r="BZ410" s="90"/>
      <c r="CA410" s="90"/>
      <c r="CB410" s="90"/>
      <c r="CC410" s="90"/>
      <c r="CD410" s="65"/>
      <c r="CL410" s="66"/>
    </row>
    <row r="411" spans="3:90" s="61" customFormat="1" x14ac:dyDescent="0.25">
      <c r="C411" s="71"/>
      <c r="D411" s="81"/>
      <c r="E411" s="82"/>
      <c r="F411" s="65"/>
      <c r="I411" s="66"/>
      <c r="J411" s="65"/>
      <c r="N411" s="65"/>
      <c r="T411" s="66"/>
      <c r="U411" s="62"/>
      <c r="V411" s="84"/>
      <c r="W411" s="84"/>
      <c r="X411" s="62"/>
      <c r="Y411" s="124"/>
      <c r="Z411" s="91"/>
      <c r="AA411" s="9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6"/>
      <c r="AN411" s="94" t="s">
        <v>71</v>
      </c>
      <c r="AO411" s="62"/>
      <c r="AP411" s="61" t="s">
        <v>487</v>
      </c>
      <c r="AZ411" s="62"/>
      <c r="BA411" s="62"/>
      <c r="BB411" s="62"/>
      <c r="BC411" s="62"/>
      <c r="BE411" s="113"/>
      <c r="BS411" s="114"/>
      <c r="BT411" s="114"/>
      <c r="BU411" s="66"/>
      <c r="BV411" s="81"/>
      <c r="BW411" s="90"/>
      <c r="BX411" s="90"/>
      <c r="BY411" s="90"/>
      <c r="BZ411" s="90"/>
      <c r="CA411" s="90"/>
      <c r="CB411" s="90"/>
      <c r="CC411" s="90"/>
      <c r="CD411" s="65"/>
      <c r="CL411" s="66"/>
    </row>
    <row r="412" spans="3:90" s="61" customFormat="1" x14ac:dyDescent="0.25">
      <c r="C412" s="71"/>
      <c r="D412" s="81"/>
      <c r="E412" s="82"/>
      <c r="F412" s="65"/>
      <c r="I412" s="66"/>
      <c r="J412" s="65"/>
      <c r="N412" s="65"/>
      <c r="T412" s="66"/>
      <c r="U412" s="62"/>
      <c r="V412" s="84"/>
      <c r="W412" s="84"/>
      <c r="X412" s="62"/>
      <c r="Y412" s="124"/>
      <c r="Z412" s="91"/>
      <c r="AA412" s="9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6"/>
      <c r="AN412" s="94"/>
      <c r="AO412" s="62"/>
      <c r="AP412" s="85"/>
      <c r="AZ412" s="62"/>
      <c r="BA412" s="62"/>
      <c r="BB412" s="62"/>
      <c r="BC412" s="62"/>
      <c r="BE412" s="113"/>
      <c r="BS412" s="114"/>
      <c r="BT412" s="114"/>
      <c r="BU412" s="66"/>
      <c r="BV412" s="81"/>
      <c r="BW412" s="90"/>
      <c r="BX412" s="90"/>
      <c r="BY412" s="90"/>
      <c r="BZ412" s="90"/>
      <c r="CA412" s="90"/>
      <c r="CB412" s="90"/>
      <c r="CC412" s="90"/>
      <c r="CD412" s="65"/>
      <c r="CL412" s="66"/>
    </row>
    <row r="413" spans="3:90" s="61" customFormat="1" x14ac:dyDescent="0.25">
      <c r="C413" s="71"/>
      <c r="D413" s="81"/>
      <c r="E413" s="96"/>
      <c r="F413" s="65"/>
      <c r="I413" s="66"/>
      <c r="J413" s="65"/>
      <c r="N413" s="65"/>
      <c r="T413" s="66"/>
      <c r="U413" s="103"/>
      <c r="V413" s="116"/>
      <c r="W413" s="116"/>
      <c r="X413" s="105"/>
      <c r="Y413" s="133"/>
      <c r="Z413" s="228"/>
      <c r="AA413" s="134"/>
      <c r="AB413" s="240"/>
      <c r="AC413" s="240"/>
      <c r="AD413" s="240"/>
      <c r="AE413" s="240"/>
      <c r="AF413" s="240"/>
      <c r="AG413" s="240"/>
      <c r="AH413" s="240"/>
      <c r="AI413" s="240"/>
      <c r="AJ413" s="240"/>
      <c r="AK413" s="240"/>
      <c r="AL413" s="240"/>
      <c r="AM413" s="241"/>
      <c r="AN413" s="242"/>
      <c r="AO413" s="105"/>
      <c r="AP413" s="127"/>
      <c r="AQ413" s="100"/>
      <c r="AR413" s="100"/>
      <c r="AS413" s="100"/>
      <c r="AT413" s="100"/>
      <c r="AU413" s="100"/>
      <c r="AV413" s="100"/>
      <c r="AW413" s="100"/>
      <c r="AX413" s="100"/>
      <c r="AY413" s="100"/>
      <c r="AZ413" s="105"/>
      <c r="BA413" s="105"/>
      <c r="BB413" s="105"/>
      <c r="BC413" s="105"/>
      <c r="BD413" s="247"/>
      <c r="BE413" s="230"/>
      <c r="BF413" s="100"/>
      <c r="BG413" s="100"/>
      <c r="BH413" s="100"/>
      <c r="BI413" s="100"/>
      <c r="BJ413" s="100"/>
      <c r="BK413" s="100"/>
      <c r="BL413" s="100"/>
      <c r="BM413" s="100"/>
      <c r="BN413" s="100"/>
      <c r="BO413" s="100"/>
      <c r="BP413" s="100"/>
      <c r="BQ413" s="100"/>
      <c r="BR413" s="100"/>
      <c r="BS413" s="132"/>
      <c r="BT413" s="132"/>
      <c r="BU413" s="102"/>
      <c r="BV413" s="97"/>
      <c r="BW413" s="119"/>
      <c r="BX413" s="119"/>
      <c r="BY413" s="119"/>
      <c r="BZ413" s="119"/>
      <c r="CA413" s="119"/>
      <c r="CB413" s="119"/>
      <c r="CC413" s="119"/>
      <c r="CD413" s="101"/>
      <c r="CE413" s="100"/>
      <c r="CF413" s="100"/>
      <c r="CG413" s="100"/>
      <c r="CH413" s="100"/>
      <c r="CI413" s="100"/>
      <c r="CJ413" s="100"/>
      <c r="CK413" s="100"/>
      <c r="CL413" s="102"/>
    </row>
    <row r="414" spans="3:90" s="61" customFormat="1" x14ac:dyDescent="0.25">
      <c r="C414" s="71"/>
      <c r="D414" s="63">
        <v>410</v>
      </c>
      <c r="E414" s="111">
        <v>1</v>
      </c>
      <c r="F414" s="65"/>
      <c r="I414" s="66"/>
      <c r="J414" s="67" t="s">
        <v>27</v>
      </c>
      <c r="K414" s="68"/>
      <c r="L414" s="68"/>
      <c r="M414" s="69"/>
      <c r="N414" s="67" t="s">
        <v>125</v>
      </c>
      <c r="O414" s="68"/>
      <c r="P414" s="68"/>
      <c r="Q414" s="68"/>
      <c r="R414" s="68"/>
      <c r="S414" s="68"/>
      <c r="T414" s="70"/>
      <c r="U414" s="76" t="s">
        <v>63</v>
      </c>
      <c r="V414" s="73" t="s">
        <v>43</v>
      </c>
      <c r="W414" s="73"/>
      <c r="X414" s="63">
        <f>BW414</f>
        <v>15</v>
      </c>
      <c r="Y414" s="120" t="s">
        <v>50</v>
      </c>
      <c r="Z414" s="121" t="s">
        <v>470</v>
      </c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  <c r="AL414" s="121"/>
      <c r="AM414" s="130"/>
      <c r="AN414" s="72" t="s">
        <v>100</v>
      </c>
      <c r="AO414" s="76"/>
      <c r="AP414" s="68" t="s">
        <v>524</v>
      </c>
      <c r="AQ414" s="77"/>
      <c r="AR414" s="68"/>
      <c r="AS414" s="68"/>
      <c r="AT414" s="68"/>
      <c r="AU414" s="68"/>
      <c r="AV414" s="68"/>
      <c r="AW414" s="68"/>
      <c r="AX414" s="68"/>
      <c r="AY414" s="68"/>
      <c r="AZ414" s="76"/>
      <c r="BA414" s="76"/>
      <c r="BB414" s="76"/>
      <c r="BC414" s="76"/>
      <c r="BD414" s="68"/>
      <c r="BE414" s="78" t="s">
        <v>50</v>
      </c>
      <c r="BF414" s="68" t="s">
        <v>121</v>
      </c>
      <c r="BG414" s="68"/>
      <c r="BH414" s="68"/>
      <c r="BI414" s="93" t="s">
        <v>54</v>
      </c>
      <c r="BJ414" s="93" t="s">
        <v>489</v>
      </c>
      <c r="BK414" s="85"/>
      <c r="BL414" s="68"/>
      <c r="BM414" s="68"/>
      <c r="BN414" s="68"/>
      <c r="BO414" s="68"/>
      <c r="BP414" s="68"/>
      <c r="BQ414" s="68"/>
      <c r="BR414" s="68"/>
      <c r="BS414" s="112">
        <v>14</v>
      </c>
      <c r="BT414" s="112">
        <v>1</v>
      </c>
      <c r="BU414" s="69"/>
      <c r="BV414" s="63" t="str">
        <f t="shared" ref="BV414" si="37">IF(BW414&lt;&gt;"",IF(BW414=CB414+BZ414,"完了","未完"),"")</f>
        <v>未完</v>
      </c>
      <c r="BW414" s="63">
        <f>SUM(BS414:BT432)</f>
        <v>15</v>
      </c>
      <c r="BX414" s="80">
        <v>0</v>
      </c>
      <c r="BY414" s="80">
        <v>0</v>
      </c>
      <c r="BZ414" s="80">
        <v>0</v>
      </c>
      <c r="CA414" s="80">
        <f>BW414-(BX414+BY414+BZ414)</f>
        <v>15</v>
      </c>
      <c r="CB414" s="80">
        <v>0</v>
      </c>
      <c r="CC414" s="80">
        <v>0</v>
      </c>
      <c r="CD414" s="67"/>
      <c r="CE414" s="68"/>
      <c r="CF414" s="68"/>
      <c r="CG414" s="68"/>
      <c r="CH414" s="68"/>
      <c r="CI414" s="68"/>
      <c r="CJ414" s="68"/>
      <c r="CK414" s="68"/>
      <c r="CL414" s="69"/>
    </row>
    <row r="415" spans="3:90" s="61" customFormat="1" x14ac:dyDescent="0.25">
      <c r="C415" s="71"/>
      <c r="D415" s="81"/>
      <c r="E415" s="82"/>
      <c r="F415" s="224"/>
      <c r="G415" s="225"/>
      <c r="H415" s="225"/>
      <c r="I415" s="226"/>
      <c r="J415" s="65"/>
      <c r="N415" s="65"/>
      <c r="T415" s="66"/>
      <c r="U415" s="62"/>
      <c r="V415" s="84"/>
      <c r="W415" s="84"/>
      <c r="X415" s="62"/>
      <c r="Y415" s="124"/>
      <c r="Z415" s="85"/>
      <c r="AB415" s="125"/>
      <c r="AC415" s="125"/>
      <c r="AD415" s="95"/>
      <c r="AE415" s="95"/>
      <c r="AF415" s="95"/>
      <c r="AG415" s="95"/>
      <c r="AH415" s="95"/>
      <c r="AI415" s="95"/>
      <c r="AJ415" s="95"/>
      <c r="AK415" s="95"/>
      <c r="AL415" s="95"/>
      <c r="AM415" s="131"/>
      <c r="AO415" s="62"/>
      <c r="AP415" s="85" t="s">
        <v>51</v>
      </c>
      <c r="AZ415" s="62"/>
      <c r="BA415" s="62"/>
      <c r="BB415" s="62"/>
      <c r="BC415" s="62"/>
      <c r="BE415" s="113" t="s">
        <v>50</v>
      </c>
      <c r="BF415" s="61" t="s">
        <v>471</v>
      </c>
      <c r="BS415" s="114"/>
      <c r="BT415" s="114"/>
      <c r="BU415" s="66"/>
      <c r="BV415" s="81"/>
      <c r="BW415" s="90"/>
      <c r="BX415" s="90"/>
      <c r="BY415" s="90"/>
      <c r="BZ415" s="90"/>
      <c r="CA415" s="90"/>
      <c r="CB415" s="90"/>
      <c r="CC415" s="90"/>
      <c r="CD415" s="65"/>
      <c r="CE415" s="93"/>
      <c r="CL415" s="66"/>
    </row>
    <row r="416" spans="3:90" s="61" customFormat="1" x14ac:dyDescent="0.25">
      <c r="C416" s="71"/>
      <c r="D416" s="81"/>
      <c r="E416" s="82"/>
      <c r="F416" s="224"/>
      <c r="G416" s="225"/>
      <c r="H416" s="225"/>
      <c r="I416" s="226"/>
      <c r="J416" s="65"/>
      <c r="N416" s="65"/>
      <c r="T416" s="66"/>
      <c r="U416" s="62"/>
      <c r="V416" s="84"/>
      <c r="W416" s="84"/>
      <c r="X416" s="62"/>
      <c r="Y416" s="92"/>
      <c r="Z416" s="93" t="s">
        <v>54</v>
      </c>
      <c r="AA416" s="93" t="s">
        <v>508</v>
      </c>
      <c r="AB416" s="125"/>
      <c r="AC416" s="125"/>
      <c r="AD416" s="95"/>
      <c r="AE416" s="95"/>
      <c r="AF416" s="93"/>
      <c r="AG416" s="95"/>
      <c r="AH416" s="95"/>
      <c r="AI416" s="95"/>
      <c r="AJ416" s="95"/>
      <c r="AK416" s="95"/>
      <c r="AL416" s="95"/>
      <c r="AM416" s="131"/>
      <c r="AN416" s="71" t="s">
        <v>84</v>
      </c>
      <c r="AO416" s="62"/>
      <c r="AP416" s="85" t="s">
        <v>117</v>
      </c>
      <c r="AZ416" s="62"/>
      <c r="BA416" s="62"/>
      <c r="BB416" s="62"/>
      <c r="BC416" s="62"/>
      <c r="BE416" s="113"/>
      <c r="BS416" s="114"/>
      <c r="BT416" s="114"/>
      <c r="BU416" s="66"/>
      <c r="BV416" s="81" t="str">
        <f t="shared" ref="BV416:BV418" si="38">IF(BW416&lt;&gt;"",IF(BW416=CB416+BZ416,"完了","未完"),"")</f>
        <v/>
      </c>
      <c r="BW416" s="90"/>
      <c r="BX416" s="90"/>
      <c r="BY416" s="90"/>
      <c r="BZ416" s="90"/>
      <c r="CA416" s="90"/>
      <c r="CB416" s="90"/>
      <c r="CC416" s="90"/>
      <c r="CD416" s="65"/>
      <c r="CL416" s="66"/>
    </row>
    <row r="417" spans="3:90" s="61" customFormat="1" x14ac:dyDescent="0.25">
      <c r="C417" s="71"/>
      <c r="D417" s="81"/>
      <c r="E417" s="82"/>
      <c r="F417" s="224"/>
      <c r="G417" s="225"/>
      <c r="H417" s="225"/>
      <c r="I417" s="226"/>
      <c r="J417" s="65"/>
      <c r="N417" s="65"/>
      <c r="T417" s="66"/>
      <c r="U417" s="62"/>
      <c r="V417" s="84"/>
      <c r="W417" s="84"/>
      <c r="X417" s="62"/>
      <c r="Y417" s="92"/>
      <c r="Z417" s="85"/>
      <c r="AA417" s="93" t="s">
        <v>509</v>
      </c>
      <c r="AB417" s="128"/>
      <c r="AC417" s="128"/>
      <c r="AD417" s="128"/>
      <c r="AE417" s="128"/>
      <c r="AF417" s="95"/>
      <c r="AG417" s="95"/>
      <c r="AH417" s="95"/>
      <c r="AI417" s="95"/>
      <c r="AJ417" s="95"/>
      <c r="AK417" s="95"/>
      <c r="AL417" s="95"/>
      <c r="AM417" s="131"/>
      <c r="AN417" s="62"/>
      <c r="AO417" s="62"/>
      <c r="AP417" s="61" t="s">
        <v>51</v>
      </c>
      <c r="AQ417" s="93"/>
      <c r="AZ417" s="62"/>
      <c r="BA417" s="62"/>
      <c r="BB417" s="62"/>
      <c r="BC417" s="62"/>
      <c r="BE417" s="113"/>
      <c r="BS417" s="99"/>
      <c r="BT417" s="99"/>
      <c r="BU417" s="66"/>
      <c r="BV417" s="81" t="str">
        <f t="shared" si="38"/>
        <v/>
      </c>
      <c r="BW417" s="90"/>
      <c r="BX417" s="90"/>
      <c r="BY417" s="90"/>
      <c r="BZ417" s="90"/>
      <c r="CA417" s="90"/>
      <c r="CB417" s="90"/>
      <c r="CC417" s="90"/>
      <c r="CD417" s="65"/>
      <c r="CL417" s="66"/>
    </row>
    <row r="418" spans="3:90" s="61" customFormat="1" x14ac:dyDescent="0.25">
      <c r="C418" s="71"/>
      <c r="D418" s="81"/>
      <c r="E418" s="82"/>
      <c r="F418" s="224"/>
      <c r="G418" s="225"/>
      <c r="H418" s="225"/>
      <c r="I418" s="226"/>
      <c r="J418" s="65"/>
      <c r="N418" s="65"/>
      <c r="T418" s="66"/>
      <c r="U418" s="62"/>
      <c r="V418" s="84"/>
      <c r="W418" s="84"/>
      <c r="X418" s="62"/>
      <c r="Y418" s="124"/>
      <c r="Z418" s="85"/>
      <c r="AA418" s="85"/>
      <c r="AB418" s="128"/>
      <c r="AC418" s="128"/>
      <c r="AD418" s="128"/>
      <c r="AE418" s="128"/>
      <c r="AF418" s="95"/>
      <c r="AG418" s="95"/>
      <c r="AH418" s="95"/>
      <c r="AI418" s="95"/>
      <c r="AJ418" s="95"/>
      <c r="AK418" s="95"/>
      <c r="AL418" s="95"/>
      <c r="AM418" s="131"/>
      <c r="AN418" s="62" t="s">
        <v>66</v>
      </c>
      <c r="AO418" s="94"/>
      <c r="AP418" s="95" t="s">
        <v>525</v>
      </c>
      <c r="AZ418" s="62"/>
      <c r="BA418" s="62"/>
      <c r="BB418" s="62"/>
      <c r="BC418" s="62"/>
      <c r="BE418" s="113"/>
      <c r="BS418" s="99"/>
      <c r="BT418" s="99"/>
      <c r="BU418" s="66"/>
      <c r="BV418" s="81" t="str">
        <f t="shared" si="38"/>
        <v/>
      </c>
      <c r="BW418" s="90"/>
      <c r="BX418" s="90"/>
      <c r="BY418" s="90"/>
      <c r="BZ418" s="90"/>
      <c r="CA418" s="90"/>
      <c r="CB418" s="90"/>
      <c r="CC418" s="90"/>
      <c r="CD418" s="65"/>
      <c r="CL418" s="66"/>
    </row>
    <row r="419" spans="3:90" s="61" customFormat="1" x14ac:dyDescent="0.25">
      <c r="C419" s="71"/>
      <c r="D419" s="81"/>
      <c r="E419" s="82"/>
      <c r="F419" s="224"/>
      <c r="G419" s="225"/>
      <c r="H419" s="225"/>
      <c r="I419" s="226"/>
      <c r="J419" s="65"/>
      <c r="N419" s="65"/>
      <c r="T419" s="66"/>
      <c r="U419" s="62"/>
      <c r="V419" s="84"/>
      <c r="W419" s="84"/>
      <c r="X419" s="62"/>
      <c r="Y419" s="92"/>
      <c r="Z419" s="125"/>
      <c r="AA419" s="125"/>
      <c r="AB419" s="125"/>
      <c r="AC419" s="85"/>
      <c r="AD419" s="128"/>
      <c r="AE419" s="128"/>
      <c r="AF419" s="95"/>
      <c r="AG419" s="95"/>
      <c r="AH419" s="95"/>
      <c r="AI419" s="95"/>
      <c r="AJ419" s="95"/>
      <c r="AK419" s="95"/>
      <c r="AL419" s="95"/>
      <c r="AM419" s="131"/>
      <c r="AN419" s="71"/>
      <c r="AO419" s="62"/>
      <c r="AP419" s="61" t="s">
        <v>51</v>
      </c>
      <c r="AZ419" s="62"/>
      <c r="BA419" s="62"/>
      <c r="BB419" s="62"/>
      <c r="BC419" s="62"/>
      <c r="BE419" s="113"/>
      <c r="BS419" s="99"/>
      <c r="BT419" s="99"/>
      <c r="BU419" s="66"/>
      <c r="BV419" s="81"/>
      <c r="BW419" s="90"/>
      <c r="BX419" s="90"/>
      <c r="BY419" s="90"/>
      <c r="BZ419" s="90"/>
      <c r="CA419" s="90"/>
      <c r="CB419" s="90"/>
      <c r="CC419" s="90"/>
      <c r="CD419" s="65"/>
      <c r="CL419" s="66"/>
    </row>
    <row r="420" spans="3:90" s="61" customFormat="1" x14ac:dyDescent="0.25">
      <c r="C420" s="71"/>
      <c r="D420" s="81"/>
      <c r="E420" s="82"/>
      <c r="F420" s="224"/>
      <c r="G420" s="225"/>
      <c r="H420" s="225"/>
      <c r="I420" s="226"/>
      <c r="J420" s="65"/>
      <c r="N420" s="65"/>
      <c r="T420" s="66"/>
      <c r="U420" s="62"/>
      <c r="V420" s="84"/>
      <c r="W420" s="84"/>
      <c r="X420" s="62"/>
      <c r="Y420" s="92"/>
      <c r="Z420" s="125"/>
      <c r="AA420" s="125"/>
      <c r="AB420" s="128"/>
      <c r="AC420" s="128"/>
      <c r="AD420" s="128"/>
      <c r="AE420" s="128"/>
      <c r="AF420" s="95"/>
      <c r="AG420" s="95"/>
      <c r="AH420" s="95"/>
      <c r="AI420" s="95"/>
      <c r="AJ420" s="95"/>
      <c r="AK420" s="95"/>
      <c r="AL420" s="95"/>
      <c r="AM420" s="131"/>
      <c r="AN420" s="71" t="s">
        <v>71</v>
      </c>
      <c r="AO420" s="62"/>
      <c r="AP420" s="85" t="s">
        <v>117</v>
      </c>
      <c r="AZ420" s="62"/>
      <c r="BA420" s="62"/>
      <c r="BB420" s="62"/>
      <c r="BC420" s="62"/>
      <c r="BE420" s="113"/>
      <c r="BS420" s="99"/>
      <c r="BT420" s="99"/>
      <c r="BU420" s="66"/>
      <c r="BV420" s="81"/>
      <c r="BW420" s="90"/>
      <c r="BX420" s="90"/>
      <c r="BY420" s="90"/>
      <c r="BZ420" s="90"/>
      <c r="CA420" s="90"/>
      <c r="CB420" s="90"/>
      <c r="CC420" s="90"/>
      <c r="CD420" s="65"/>
      <c r="CL420" s="66"/>
    </row>
    <row r="421" spans="3:90" s="61" customFormat="1" x14ac:dyDescent="0.25">
      <c r="C421" s="71"/>
      <c r="D421" s="81"/>
      <c r="E421" s="82"/>
      <c r="F421" s="65"/>
      <c r="I421" s="66"/>
      <c r="J421" s="65"/>
      <c r="N421" s="65"/>
      <c r="T421" s="66"/>
      <c r="U421" s="62"/>
      <c r="V421" s="84"/>
      <c r="W421" s="84"/>
      <c r="X421" s="62"/>
      <c r="Y421" s="92"/>
      <c r="Z421" s="125"/>
      <c r="AA421" s="125"/>
      <c r="AB421" s="95"/>
      <c r="AC421" s="128"/>
      <c r="AD421" s="128"/>
      <c r="AE421" s="128"/>
      <c r="AF421" s="95"/>
      <c r="AG421" s="95"/>
      <c r="AH421" s="95"/>
      <c r="AI421" s="95"/>
      <c r="AJ421" s="95"/>
      <c r="AK421" s="95"/>
      <c r="AL421" s="95"/>
      <c r="AM421" s="131"/>
      <c r="AN421" s="62"/>
      <c r="AO421" s="62"/>
      <c r="AP421" s="61" t="s">
        <v>51</v>
      </c>
      <c r="AZ421" s="62"/>
      <c r="BA421" s="62"/>
      <c r="BB421" s="62"/>
      <c r="BC421" s="62"/>
      <c r="BE421" s="113"/>
      <c r="BS421" s="99"/>
      <c r="BT421" s="99"/>
      <c r="BU421" s="66"/>
      <c r="BV421" s="81"/>
      <c r="BW421" s="90"/>
      <c r="BX421" s="90"/>
      <c r="BY421" s="90"/>
      <c r="BZ421" s="90"/>
      <c r="CA421" s="90"/>
      <c r="CB421" s="90"/>
      <c r="CC421" s="90"/>
      <c r="CD421" s="65"/>
      <c r="CL421" s="66"/>
    </row>
    <row r="422" spans="3:90" s="61" customFormat="1" x14ac:dyDescent="0.25">
      <c r="C422" s="71"/>
      <c r="D422" s="81"/>
      <c r="E422" s="82"/>
      <c r="F422" s="65"/>
      <c r="I422" s="66"/>
      <c r="J422" s="65"/>
      <c r="N422" s="65"/>
      <c r="T422" s="66"/>
      <c r="U422" s="62"/>
      <c r="V422" s="84"/>
      <c r="W422" s="84"/>
      <c r="X422" s="62"/>
      <c r="Y422" s="92"/>
      <c r="Z422" s="125"/>
      <c r="AA422" s="125"/>
      <c r="AB422" s="128"/>
      <c r="AC422" s="128"/>
      <c r="AD422" s="128"/>
      <c r="AE422" s="128"/>
      <c r="AF422" s="95"/>
      <c r="AG422" s="95"/>
      <c r="AH422" s="95"/>
      <c r="AI422" s="95"/>
      <c r="AJ422" s="95"/>
      <c r="AK422" s="95"/>
      <c r="AL422" s="95"/>
      <c r="AM422" s="131"/>
      <c r="AN422" s="62" t="s">
        <v>72</v>
      </c>
      <c r="AO422" s="94"/>
      <c r="AP422" s="61" t="s">
        <v>526</v>
      </c>
      <c r="AZ422" s="62"/>
      <c r="BA422" s="62"/>
      <c r="BB422" s="62"/>
      <c r="BC422" s="62"/>
      <c r="BE422" s="113"/>
      <c r="BS422" s="99"/>
      <c r="BT422" s="99"/>
      <c r="BU422" s="66"/>
      <c r="BV422" s="81"/>
      <c r="BW422" s="90"/>
      <c r="BX422" s="90"/>
      <c r="BY422" s="90"/>
      <c r="BZ422" s="90"/>
      <c r="CA422" s="90"/>
      <c r="CB422" s="90"/>
      <c r="CC422" s="90"/>
      <c r="CD422" s="65"/>
      <c r="CL422" s="66"/>
    </row>
    <row r="423" spans="3:90" s="61" customFormat="1" x14ac:dyDescent="0.25">
      <c r="C423" s="71"/>
      <c r="D423" s="81"/>
      <c r="E423" s="82"/>
      <c r="F423" s="65"/>
      <c r="I423" s="66"/>
      <c r="J423" s="65"/>
      <c r="N423" s="65"/>
      <c r="T423" s="66"/>
      <c r="U423" s="62"/>
      <c r="V423" s="84"/>
      <c r="W423" s="84"/>
      <c r="X423" s="62"/>
      <c r="Y423" s="124"/>
      <c r="Z423" s="125"/>
      <c r="AA423" s="95"/>
      <c r="AB423" s="128"/>
      <c r="AC423" s="128"/>
      <c r="AD423" s="128"/>
      <c r="AE423" s="128"/>
      <c r="AF423" s="95"/>
      <c r="AG423" s="95"/>
      <c r="AH423" s="95"/>
      <c r="AI423" s="95"/>
      <c r="AJ423" s="95"/>
      <c r="AK423" s="95"/>
      <c r="AL423" s="95"/>
      <c r="AM423" s="131"/>
      <c r="AO423" s="62"/>
      <c r="AP423" s="61" t="s">
        <v>51</v>
      </c>
      <c r="AZ423" s="62"/>
      <c r="BA423" s="62"/>
      <c r="BB423" s="62"/>
      <c r="BC423" s="62"/>
      <c r="BE423" s="113"/>
      <c r="BS423" s="99"/>
      <c r="BT423" s="99"/>
      <c r="BU423" s="66"/>
      <c r="BV423" s="81"/>
      <c r="BW423" s="90"/>
      <c r="BX423" s="90"/>
      <c r="BY423" s="90"/>
      <c r="BZ423" s="90"/>
      <c r="CA423" s="90"/>
      <c r="CB423" s="90"/>
      <c r="CC423" s="90"/>
      <c r="CD423" s="65"/>
      <c r="CL423" s="66"/>
    </row>
    <row r="424" spans="3:90" s="61" customFormat="1" x14ac:dyDescent="0.25">
      <c r="C424" s="71"/>
      <c r="D424" s="81"/>
      <c r="E424" s="82"/>
      <c r="F424" s="65"/>
      <c r="I424" s="66"/>
      <c r="J424" s="65"/>
      <c r="N424" s="65"/>
      <c r="T424" s="66"/>
      <c r="U424" s="62"/>
      <c r="V424" s="84"/>
      <c r="W424" s="84"/>
      <c r="X424" s="62"/>
      <c r="Y424" s="124"/>
      <c r="Z424" s="125"/>
      <c r="AA424" s="95"/>
      <c r="AB424" s="128"/>
      <c r="AC424" s="128"/>
      <c r="AD424" s="128"/>
      <c r="AE424" s="128"/>
      <c r="AF424" s="95"/>
      <c r="AG424" s="95"/>
      <c r="AH424" s="95"/>
      <c r="AI424" s="95"/>
      <c r="AJ424" s="95"/>
      <c r="AK424" s="95"/>
      <c r="AL424" s="95"/>
      <c r="AM424" s="131"/>
      <c r="AN424" s="62" t="s">
        <v>109</v>
      </c>
      <c r="AO424" s="62"/>
      <c r="AP424" s="61" t="s">
        <v>126</v>
      </c>
      <c r="AZ424" s="62"/>
      <c r="BA424" s="62"/>
      <c r="BB424" s="62"/>
      <c r="BC424" s="62"/>
      <c r="BE424" s="113"/>
      <c r="BS424" s="99"/>
      <c r="BT424" s="99"/>
      <c r="BU424" s="66"/>
      <c r="BV424" s="81"/>
      <c r="BW424" s="90"/>
      <c r="BX424" s="90"/>
      <c r="BY424" s="90"/>
      <c r="BZ424" s="90"/>
      <c r="CA424" s="90"/>
      <c r="CB424" s="90"/>
      <c r="CC424" s="90"/>
      <c r="CD424" s="65"/>
      <c r="CL424" s="66"/>
    </row>
    <row r="425" spans="3:90" s="61" customFormat="1" x14ac:dyDescent="0.25">
      <c r="C425" s="71"/>
      <c r="D425" s="81"/>
      <c r="E425" s="82"/>
      <c r="F425" s="65"/>
      <c r="I425" s="66"/>
      <c r="J425" s="65"/>
      <c r="N425" s="65"/>
      <c r="T425" s="66"/>
      <c r="U425" s="62"/>
      <c r="V425" s="84"/>
      <c r="W425" s="84"/>
      <c r="X425" s="62"/>
      <c r="Y425" s="124"/>
      <c r="Z425" s="125"/>
      <c r="AA425" s="95"/>
      <c r="AB425" s="128"/>
      <c r="AC425" s="128"/>
      <c r="AD425" s="128"/>
      <c r="AE425" s="128"/>
      <c r="AF425" s="95"/>
      <c r="AG425" s="95"/>
      <c r="AH425" s="95"/>
      <c r="AI425" s="95"/>
      <c r="AJ425" s="95"/>
      <c r="AK425" s="95"/>
      <c r="AL425" s="95"/>
      <c r="AM425" s="131"/>
      <c r="AN425" s="62"/>
      <c r="AO425" s="62"/>
      <c r="AP425" s="93"/>
      <c r="AZ425" s="62"/>
      <c r="BA425" s="62"/>
      <c r="BB425" s="62"/>
      <c r="BC425" s="62"/>
      <c r="BE425" s="113"/>
      <c r="BS425" s="99"/>
      <c r="BT425" s="99"/>
      <c r="BU425" s="66"/>
      <c r="BV425" s="81"/>
      <c r="BW425" s="90"/>
      <c r="BX425" s="90"/>
      <c r="BY425" s="90"/>
      <c r="BZ425" s="90"/>
      <c r="CA425" s="90"/>
      <c r="CB425" s="90"/>
      <c r="CC425" s="90"/>
      <c r="CD425" s="65"/>
      <c r="CL425" s="66"/>
    </row>
    <row r="426" spans="3:90" s="61" customFormat="1" x14ac:dyDescent="0.25">
      <c r="C426" s="71"/>
      <c r="D426" s="81"/>
      <c r="E426" s="82"/>
      <c r="F426" s="65"/>
      <c r="I426" s="66"/>
      <c r="J426" s="65"/>
      <c r="N426" s="65"/>
      <c r="T426" s="66"/>
      <c r="U426" s="62"/>
      <c r="V426" s="84"/>
      <c r="W426" s="84"/>
      <c r="X426" s="62"/>
      <c r="Y426" s="124"/>
      <c r="Z426" s="91"/>
      <c r="AA426" s="125"/>
      <c r="AB426" s="128"/>
      <c r="AC426" s="128"/>
      <c r="AD426" s="128"/>
      <c r="AE426" s="128"/>
      <c r="AF426" s="95"/>
      <c r="AG426" s="95"/>
      <c r="AH426" s="95"/>
      <c r="AI426" s="95"/>
      <c r="AJ426" s="95"/>
      <c r="AK426" s="95"/>
      <c r="AL426" s="95"/>
      <c r="AM426" s="131"/>
      <c r="AN426" s="62" t="s">
        <v>110</v>
      </c>
      <c r="AO426" s="62"/>
      <c r="AP426" s="61" t="s">
        <v>527</v>
      </c>
      <c r="AQ426" s="61" t="s">
        <v>528</v>
      </c>
      <c r="AZ426" s="62"/>
      <c r="BA426" s="62"/>
      <c r="BB426" s="62"/>
      <c r="BC426" s="62"/>
      <c r="BE426" s="113"/>
      <c r="BS426" s="99"/>
      <c r="BT426" s="99"/>
      <c r="BU426" s="66"/>
      <c r="BV426" s="81"/>
      <c r="BW426" s="90"/>
      <c r="BX426" s="90"/>
      <c r="BY426" s="90"/>
      <c r="BZ426" s="90"/>
      <c r="CA426" s="90"/>
      <c r="CB426" s="90"/>
      <c r="CC426" s="90"/>
      <c r="CD426" s="65"/>
      <c r="CL426" s="66"/>
    </row>
    <row r="427" spans="3:90" s="61" customFormat="1" x14ac:dyDescent="0.25">
      <c r="C427" s="71"/>
      <c r="D427" s="81"/>
      <c r="E427" s="82"/>
      <c r="F427" s="65"/>
      <c r="I427" s="66"/>
      <c r="J427" s="65"/>
      <c r="N427" s="65"/>
      <c r="T427" s="66"/>
      <c r="U427" s="62"/>
      <c r="V427" s="84"/>
      <c r="W427" s="84"/>
      <c r="X427" s="62"/>
      <c r="Y427" s="124"/>
      <c r="Z427" s="125"/>
      <c r="AA427" s="95"/>
      <c r="AB427" s="128"/>
      <c r="AC427" s="128"/>
      <c r="AD427" s="128"/>
      <c r="AE427" s="128"/>
      <c r="AF427" s="95"/>
      <c r="AG427" s="95"/>
      <c r="AH427" s="95"/>
      <c r="AI427" s="95"/>
      <c r="AJ427" s="95"/>
      <c r="AK427" s="95"/>
      <c r="AL427" s="95"/>
      <c r="AM427" s="131"/>
      <c r="AN427" s="62"/>
      <c r="AO427" s="62"/>
      <c r="AP427" s="61" t="s">
        <v>51</v>
      </c>
      <c r="AZ427" s="62"/>
      <c r="BA427" s="62"/>
      <c r="BB427" s="62"/>
      <c r="BC427" s="62"/>
      <c r="BE427" s="113"/>
      <c r="BS427" s="99"/>
      <c r="BT427" s="99"/>
      <c r="BU427" s="66"/>
      <c r="BV427" s="81"/>
      <c r="BW427" s="90"/>
      <c r="BX427" s="90"/>
      <c r="BY427" s="90"/>
      <c r="BZ427" s="90"/>
      <c r="CA427" s="90"/>
      <c r="CB427" s="90"/>
      <c r="CC427" s="90"/>
      <c r="CD427" s="65"/>
      <c r="CL427" s="66"/>
    </row>
    <row r="428" spans="3:90" s="61" customFormat="1" x14ac:dyDescent="0.25">
      <c r="C428" s="71"/>
      <c r="D428" s="81"/>
      <c r="E428" s="82"/>
      <c r="F428" s="65"/>
      <c r="I428" s="66"/>
      <c r="J428" s="65"/>
      <c r="N428" s="65"/>
      <c r="T428" s="66"/>
      <c r="U428" s="62"/>
      <c r="V428" s="84"/>
      <c r="W428" s="84"/>
      <c r="X428" s="62"/>
      <c r="Y428" s="124"/>
      <c r="Z428" s="125"/>
      <c r="AA428" s="95"/>
      <c r="AB428" s="128"/>
      <c r="AC428" s="128"/>
      <c r="AD428" s="128"/>
      <c r="AE428" s="128"/>
      <c r="AF428" s="95"/>
      <c r="AG428" s="95"/>
      <c r="AH428" s="95"/>
      <c r="AI428" s="95"/>
      <c r="AJ428" s="95"/>
      <c r="AK428" s="95"/>
      <c r="AL428" s="95"/>
      <c r="AM428" s="131"/>
      <c r="AN428" s="62" t="s">
        <v>111</v>
      </c>
      <c r="AO428" s="62"/>
      <c r="AP428" s="85" t="s">
        <v>555</v>
      </c>
      <c r="AZ428" s="62"/>
      <c r="BA428" s="62"/>
      <c r="BB428" s="62"/>
      <c r="BC428" s="62"/>
      <c r="BE428" s="113"/>
      <c r="BS428" s="99"/>
      <c r="BT428" s="99"/>
      <c r="BU428" s="66"/>
      <c r="BV428" s="81"/>
      <c r="BW428" s="90"/>
      <c r="BX428" s="90"/>
      <c r="BY428" s="90"/>
      <c r="BZ428" s="90"/>
      <c r="CA428" s="90"/>
      <c r="CB428" s="90"/>
      <c r="CC428" s="90"/>
      <c r="CD428" s="65"/>
      <c r="CL428" s="66"/>
    </row>
    <row r="429" spans="3:90" s="61" customFormat="1" x14ac:dyDescent="0.25">
      <c r="C429" s="71"/>
      <c r="D429" s="81"/>
      <c r="E429" s="82"/>
      <c r="F429" s="65"/>
      <c r="I429" s="66"/>
      <c r="J429" s="65"/>
      <c r="N429" s="65"/>
      <c r="T429" s="66"/>
      <c r="U429" s="62"/>
      <c r="V429" s="84"/>
      <c r="W429" s="84"/>
      <c r="X429" s="62"/>
      <c r="Y429" s="124"/>
      <c r="Z429" s="91"/>
      <c r="AA429" s="125"/>
      <c r="AB429" s="128"/>
      <c r="AC429" s="128"/>
      <c r="AD429" s="128"/>
      <c r="AE429" s="128"/>
      <c r="AF429" s="95"/>
      <c r="AG429" s="95"/>
      <c r="AH429" s="95"/>
      <c r="AI429" s="95"/>
      <c r="AJ429" s="95"/>
      <c r="AK429" s="95"/>
      <c r="AL429" s="95"/>
      <c r="AM429" s="131"/>
      <c r="AN429" s="62"/>
      <c r="AO429" s="62"/>
      <c r="AP429" s="61" t="s">
        <v>51</v>
      </c>
      <c r="AZ429" s="62"/>
      <c r="BA429" s="62"/>
      <c r="BB429" s="62"/>
      <c r="BC429" s="62"/>
      <c r="BE429" s="113"/>
      <c r="BS429" s="99"/>
      <c r="BT429" s="99"/>
      <c r="BU429" s="66"/>
      <c r="BV429" s="81"/>
      <c r="BW429" s="90"/>
      <c r="BX429" s="90"/>
      <c r="BY429" s="90"/>
      <c r="BZ429" s="90"/>
      <c r="CA429" s="90"/>
      <c r="CB429" s="90"/>
      <c r="CC429" s="90"/>
      <c r="CD429" s="65"/>
      <c r="CL429" s="66"/>
    </row>
    <row r="430" spans="3:90" s="61" customFormat="1" x14ac:dyDescent="0.25">
      <c r="C430" s="71"/>
      <c r="D430" s="81"/>
      <c r="E430" s="82"/>
      <c r="F430" s="65"/>
      <c r="I430" s="66"/>
      <c r="J430" s="65"/>
      <c r="N430" s="65"/>
      <c r="T430" s="66"/>
      <c r="U430" s="62"/>
      <c r="V430" s="84"/>
      <c r="W430" s="84"/>
      <c r="X430" s="62"/>
      <c r="Y430" s="124"/>
      <c r="Z430" s="125"/>
      <c r="AA430" s="95"/>
      <c r="AB430" s="128"/>
      <c r="AC430" s="128"/>
      <c r="AD430" s="128"/>
      <c r="AE430" s="128"/>
      <c r="AF430" s="95"/>
      <c r="AG430" s="95"/>
      <c r="AH430" s="95"/>
      <c r="AI430" s="95"/>
      <c r="AJ430" s="95"/>
      <c r="AK430" s="95"/>
      <c r="AL430" s="95"/>
      <c r="AM430" s="131"/>
      <c r="AN430" s="62" t="s">
        <v>141</v>
      </c>
      <c r="AO430" s="62"/>
      <c r="AP430" s="85" t="s">
        <v>117</v>
      </c>
      <c r="AQ430" s="61" t="s">
        <v>644</v>
      </c>
      <c r="AZ430" s="62"/>
      <c r="BA430" s="62"/>
      <c r="BB430" s="62"/>
      <c r="BC430" s="62"/>
      <c r="BE430" s="113"/>
      <c r="BS430" s="99"/>
      <c r="BT430" s="99"/>
      <c r="BU430" s="66"/>
      <c r="BV430" s="81"/>
      <c r="BW430" s="90"/>
      <c r="BX430" s="90"/>
      <c r="BY430" s="90"/>
      <c r="BZ430" s="90"/>
      <c r="CA430" s="90"/>
      <c r="CB430" s="90"/>
      <c r="CC430" s="90"/>
      <c r="CD430" s="65"/>
      <c r="CL430" s="66"/>
    </row>
    <row r="431" spans="3:90" s="61" customFormat="1" x14ac:dyDescent="0.25">
      <c r="C431" s="71"/>
      <c r="D431" s="81"/>
      <c r="E431" s="82"/>
      <c r="F431" s="65"/>
      <c r="I431" s="66"/>
      <c r="J431" s="65"/>
      <c r="N431" s="65"/>
      <c r="T431" s="66"/>
      <c r="U431" s="62"/>
      <c r="V431" s="84"/>
      <c r="W431" s="84"/>
      <c r="X431" s="62"/>
      <c r="Y431" s="124"/>
      <c r="Z431" s="91"/>
      <c r="AA431" s="125"/>
      <c r="AB431" s="128"/>
      <c r="AC431" s="128"/>
      <c r="AD431" s="128"/>
      <c r="AE431" s="128"/>
      <c r="AF431" s="95"/>
      <c r="AG431" s="95"/>
      <c r="AH431" s="95"/>
      <c r="AI431" s="95"/>
      <c r="AJ431" s="95"/>
      <c r="AK431" s="95"/>
      <c r="AL431" s="95"/>
      <c r="AM431" s="131"/>
      <c r="AN431" s="62"/>
      <c r="AO431" s="62"/>
      <c r="AP431" s="93"/>
      <c r="AZ431" s="62"/>
      <c r="BA431" s="62"/>
      <c r="BB431" s="62"/>
      <c r="BC431" s="62"/>
      <c r="BE431" s="113"/>
      <c r="BS431" s="99"/>
      <c r="BT431" s="99"/>
      <c r="BU431" s="66"/>
      <c r="BV431" s="81"/>
      <c r="BW431" s="90"/>
      <c r="BX431" s="90"/>
      <c r="BY431" s="90"/>
      <c r="BZ431" s="90"/>
      <c r="CA431" s="90"/>
      <c r="CB431" s="90"/>
      <c r="CC431" s="90"/>
      <c r="CD431" s="65"/>
      <c r="CL431" s="66"/>
    </row>
    <row r="432" spans="3:90" s="61" customFormat="1" x14ac:dyDescent="0.25">
      <c r="C432" s="103"/>
      <c r="D432" s="97"/>
      <c r="E432" s="115"/>
      <c r="F432" s="101"/>
      <c r="G432" s="100"/>
      <c r="H432" s="100"/>
      <c r="I432" s="102"/>
      <c r="J432" s="101"/>
      <c r="K432" s="100"/>
      <c r="L432" s="100"/>
      <c r="M432" s="100"/>
      <c r="N432" s="101"/>
      <c r="O432" s="100"/>
      <c r="P432" s="100"/>
      <c r="Q432" s="100"/>
      <c r="R432" s="100"/>
      <c r="S432" s="100"/>
      <c r="T432" s="102"/>
      <c r="U432" s="105"/>
      <c r="V432" s="116"/>
      <c r="W432" s="116"/>
      <c r="X432" s="105"/>
      <c r="Y432" s="133"/>
      <c r="Z432" s="134"/>
      <c r="AA432" s="134"/>
      <c r="AB432" s="134"/>
      <c r="AC432" s="134"/>
      <c r="AD432" s="134"/>
      <c r="AE432" s="134"/>
      <c r="AF432" s="134"/>
      <c r="AG432" s="134"/>
      <c r="AH432" s="134"/>
      <c r="AI432" s="134"/>
      <c r="AJ432" s="134"/>
      <c r="AK432" s="134"/>
      <c r="AL432" s="134"/>
      <c r="AM432" s="135"/>
      <c r="AN432" s="117"/>
      <c r="AO432" s="105"/>
      <c r="AP432" s="100"/>
      <c r="AQ432" s="100"/>
      <c r="AR432" s="100"/>
      <c r="AS432" s="100"/>
      <c r="AT432" s="100"/>
      <c r="AU432" s="100"/>
      <c r="AV432" s="100"/>
      <c r="AW432" s="100"/>
      <c r="AX432" s="100"/>
      <c r="AY432" s="100"/>
      <c r="AZ432" s="105"/>
      <c r="BA432" s="105"/>
      <c r="BB432" s="105"/>
      <c r="BC432" s="105"/>
      <c r="BD432" s="100"/>
      <c r="BE432" s="118"/>
      <c r="BF432" s="100"/>
      <c r="BG432" s="100"/>
      <c r="BH432" s="100"/>
      <c r="BI432" s="100"/>
      <c r="BJ432" s="100"/>
      <c r="BK432" s="100"/>
      <c r="BL432" s="100"/>
      <c r="BM432" s="100"/>
      <c r="BN432" s="100"/>
      <c r="BO432" s="100"/>
      <c r="BP432" s="100"/>
      <c r="BQ432" s="100"/>
      <c r="BR432" s="100"/>
      <c r="BS432" s="104"/>
      <c r="BT432" s="104"/>
      <c r="BU432" s="102"/>
      <c r="BV432" s="97" t="str">
        <f t="shared" ref="BV432" si="39">IF(BW432&lt;&gt;"",IF(BW432=CB432+BZ432,"完了","未完"),"")</f>
        <v/>
      </c>
      <c r="BW432" s="119"/>
      <c r="BX432" s="119"/>
      <c r="BY432" s="119"/>
      <c r="BZ432" s="119"/>
      <c r="CA432" s="119"/>
      <c r="CB432" s="119"/>
      <c r="CC432" s="119"/>
      <c r="CD432" s="101"/>
      <c r="CE432" s="100"/>
      <c r="CF432" s="100"/>
      <c r="CG432" s="100"/>
      <c r="CH432" s="100"/>
      <c r="CI432" s="100"/>
      <c r="CJ432" s="100"/>
      <c r="CK432" s="100"/>
      <c r="CL432" s="102"/>
    </row>
  </sheetData>
  <mergeCells count="1">
    <mergeCell ref="F32:I53"/>
  </mergeCells>
  <phoneticPr fontId="5"/>
  <dataValidations count="2">
    <dataValidation type="list" allowBlank="1" showInputMessage="1" showErrorMessage="1" sqref="V20:V21 V107 V110" xr:uid="{7DB0D3AC-B91C-4BAB-AF41-ECF32D8B4EBB}">
      <formula1>$V$11:$V$14</formula1>
    </dataValidation>
    <dataValidation type="list" allowBlank="1" showInputMessage="1" showErrorMessage="1" sqref="U107 U110" xr:uid="{FEED63DC-3EDB-46A6-B42E-CC8918DFB180}">
      <formula1>$U$11:$U$14</formula1>
    </dataValidation>
  </dataValidations>
  <pageMargins left="0.25" right="0.25" top="0.75" bottom="0.75" header="0.3" footer="0.3"/>
  <pageSetup paperSize="8" scale="57" fitToHeight="0" orientation="landscape" horizontalDpi="4294967294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6E34-A485-49FF-93A3-9E6089250559}">
  <sheetPr codeName="Sheet2">
    <pageSetUpPr fitToPage="1"/>
  </sheetPr>
  <dimension ref="B1:HX228"/>
  <sheetViews>
    <sheetView zoomScale="80" zoomScaleNormal="80" workbookViewId="0">
      <pane ySplit="17" topLeftCell="A18" activePane="bottomLeft" state="frozen"/>
      <selection pane="bottomLeft"/>
    </sheetView>
  </sheetViews>
  <sheetFormatPr defaultColWidth="2.625" defaultRowHeight="14.25" outlineLevelRow="1" outlineLevelCol="1" x14ac:dyDescent="0.25"/>
  <cols>
    <col min="1" max="1" width="0.75" style="1" customWidth="1"/>
    <col min="2" max="2" width="2.625" style="1" customWidth="1"/>
    <col min="3" max="3" width="12.5" style="1" customWidth="1"/>
    <col min="4" max="4" width="5.125" style="1" customWidth="1"/>
    <col min="5" max="5" width="2.125" style="1" customWidth="1"/>
    <col min="6" max="6" width="15.25" style="1" customWidth="1" outlineLevel="1"/>
    <col min="7" max="7" width="15.25" style="32" customWidth="1" outlineLevel="1"/>
    <col min="8" max="8" width="12" style="1" customWidth="1" outlineLevel="1"/>
    <col min="9" max="9" width="12" style="170" customWidth="1" outlineLevel="1"/>
    <col min="10" max="11" width="12" style="1" customWidth="1" outlineLevel="1"/>
    <col min="12" max="12" width="12.75" style="1" bestFit="1" customWidth="1" outlineLevel="1"/>
    <col min="13" max="20" width="5.125" style="1" customWidth="1" outlineLevel="1"/>
    <col min="21" max="21" width="1.875" style="1" customWidth="1"/>
    <col min="22" max="27" width="2.75" style="1" customWidth="1"/>
    <col min="28" max="28" width="2.625" style="1" customWidth="1"/>
    <col min="29" max="29" width="2.75" style="1" customWidth="1"/>
    <col min="30" max="30" width="5.125" style="1" bestFit="1" customWidth="1"/>
    <col min="31" max="31" width="2.5" style="1" customWidth="1"/>
    <col min="32" max="32" width="5.125" style="1" bestFit="1" customWidth="1"/>
    <col min="33" max="33" width="2.5" style="1" bestFit="1" customWidth="1"/>
    <col min="34" max="34" width="5.375" style="1" customWidth="1"/>
    <col min="35" max="35" width="2.5" style="1" bestFit="1" customWidth="1"/>
    <col min="36" max="36" width="7.625" style="1" customWidth="1"/>
    <col min="37" max="37" width="5.125" style="1" bestFit="1" customWidth="1"/>
    <col min="38" max="38" width="2.5" style="1" bestFit="1" customWidth="1"/>
    <col min="39" max="39" width="5.125" style="1" bestFit="1" customWidth="1"/>
    <col min="40" max="40" width="2.5" style="1" bestFit="1" customWidth="1"/>
    <col min="41" max="41" width="4" style="1" bestFit="1" customWidth="1"/>
    <col min="42" max="42" width="2.5" style="1" bestFit="1" customWidth="1"/>
    <col min="43" max="43" width="7.625" style="1" customWidth="1"/>
    <col min="44" max="44" width="5.125" style="1" bestFit="1" customWidth="1"/>
    <col min="45" max="45" width="2.5" style="1" bestFit="1" customWidth="1"/>
    <col min="46" max="46" width="5.125" style="1" bestFit="1" customWidth="1"/>
    <col min="47" max="47" width="2.5" style="1" bestFit="1" customWidth="1"/>
    <col min="48" max="48" width="4" style="1" bestFit="1" customWidth="1"/>
    <col min="49" max="49" width="2.5" style="1" bestFit="1" customWidth="1"/>
    <col min="50" max="50" width="7.625" style="1" customWidth="1"/>
    <col min="51" max="51" width="5.125" style="1" bestFit="1" customWidth="1"/>
    <col min="52" max="52" width="2.5" style="1" bestFit="1" customWidth="1"/>
    <col min="53" max="53" width="5.125" style="1" bestFit="1" customWidth="1"/>
    <col min="54" max="54" width="2.5" style="1" customWidth="1"/>
    <col min="55" max="55" width="4" style="1" bestFit="1" customWidth="1"/>
    <col min="56" max="56" width="2.5" style="1" bestFit="1" customWidth="1"/>
    <col min="57" max="57" width="7.625" style="1" customWidth="1"/>
    <col min="58" max="58" width="5.125" style="1" bestFit="1" customWidth="1"/>
    <col min="59" max="59" width="2.5" style="1" bestFit="1" customWidth="1"/>
    <col min="60" max="60" width="5.125" style="1" bestFit="1" customWidth="1"/>
    <col min="61" max="61" width="2.5" style="1" customWidth="1"/>
    <col min="62" max="62" width="5.125" style="1" bestFit="1" customWidth="1"/>
    <col min="63" max="63" width="2.5" style="1" bestFit="1" customWidth="1"/>
    <col min="64" max="64" width="7.625" style="1" customWidth="1"/>
    <col min="65" max="65" width="5.125" style="1" bestFit="1" customWidth="1"/>
    <col min="66" max="66" width="2.5" style="1" bestFit="1" customWidth="1"/>
    <col min="67" max="67" width="5.125" style="1" bestFit="1" customWidth="1"/>
    <col min="68" max="68" width="2.5" style="1" bestFit="1" customWidth="1"/>
    <col min="69" max="69" width="5.125" style="1" bestFit="1" customWidth="1"/>
    <col min="70" max="70" width="2.5" style="1" bestFit="1" customWidth="1"/>
    <col min="71" max="71" width="4.875" style="1" customWidth="1"/>
    <col min="72" max="72" width="5.125" style="1" bestFit="1" customWidth="1"/>
    <col min="73" max="73" width="2.5" style="1" bestFit="1" customWidth="1"/>
    <col min="74" max="74" width="5.125" style="1" bestFit="1" customWidth="1"/>
    <col min="75" max="75" width="2.5" style="1" bestFit="1" customWidth="1"/>
    <col min="76" max="76" width="4" style="1" bestFit="1" customWidth="1"/>
    <col min="77" max="77" width="2.5" style="1" bestFit="1" customWidth="1"/>
    <col min="78" max="78" width="7.625" style="1" customWidth="1"/>
    <col min="79" max="79" width="5.125" style="1" bestFit="1" customWidth="1"/>
    <col min="80" max="80" width="2.5" style="1" bestFit="1" customWidth="1"/>
    <col min="81" max="81" width="5.125" style="1" bestFit="1" customWidth="1"/>
    <col min="82" max="82" width="2.5" style="1" bestFit="1" customWidth="1"/>
    <col min="83" max="83" width="4" style="1" bestFit="1" customWidth="1"/>
    <col min="84" max="84" width="2.5" style="1" bestFit="1" customWidth="1"/>
    <col min="85" max="85" width="7.625" style="1" customWidth="1"/>
    <col min="86" max="86" width="5.125" style="1" bestFit="1" customWidth="1"/>
    <col min="87" max="87" width="2.5" style="1" bestFit="1" customWidth="1"/>
    <col min="88" max="88" width="5.125" style="1" bestFit="1" customWidth="1"/>
    <col min="89" max="89" width="2.5" style="1" bestFit="1" customWidth="1"/>
    <col min="90" max="90" width="5.125" style="1" bestFit="1" customWidth="1"/>
    <col min="91" max="91" width="2.5" style="1" bestFit="1" customWidth="1"/>
    <col min="92" max="92" width="7.625" style="1" customWidth="1"/>
    <col min="93" max="93" width="5.125" style="1" bestFit="1" customWidth="1"/>
    <col min="94" max="94" width="2.5" style="1" bestFit="1" customWidth="1"/>
    <col min="95" max="95" width="5.125" style="1" bestFit="1" customWidth="1"/>
    <col min="96" max="96" width="2.5" style="1" bestFit="1" customWidth="1"/>
    <col min="97" max="97" width="4" style="1" bestFit="1" customWidth="1"/>
    <col min="98" max="98" width="2.5" style="1" bestFit="1" customWidth="1"/>
    <col min="99" max="99" width="7.625" style="1" customWidth="1"/>
    <col min="100" max="100" width="5.125" style="1" bestFit="1" customWidth="1"/>
    <col min="101" max="101" width="2.5" style="1" bestFit="1" customWidth="1"/>
    <col min="102" max="102" width="5.125" style="1" bestFit="1" customWidth="1"/>
    <col min="103" max="103" width="2.5" style="1" bestFit="1" customWidth="1"/>
    <col min="104" max="104" width="4" style="1" bestFit="1" customWidth="1"/>
    <col min="105" max="105" width="2.5" style="1" bestFit="1" customWidth="1"/>
    <col min="106" max="106" width="7.625" style="1" customWidth="1"/>
    <col min="107" max="107" width="5.125" style="1" bestFit="1" customWidth="1"/>
    <col min="108" max="108" width="2.5" style="1" bestFit="1" customWidth="1"/>
    <col min="109" max="109" width="5.125" style="1" bestFit="1" customWidth="1"/>
    <col min="110" max="110" width="2.5" style="1" bestFit="1" customWidth="1"/>
    <col min="111" max="111" width="4" style="1" bestFit="1" customWidth="1"/>
    <col min="112" max="112" width="2.5" style="1" bestFit="1" customWidth="1"/>
    <col min="113" max="113" width="7.625" style="1" customWidth="1"/>
    <col min="114" max="114" width="5.125" style="1" bestFit="1" customWidth="1"/>
    <col min="115" max="115" width="2.5" style="1" bestFit="1" customWidth="1"/>
    <col min="116" max="116" width="5.125" style="1" bestFit="1" customWidth="1"/>
    <col min="117" max="117" width="2.5" style="1" bestFit="1" customWidth="1"/>
    <col min="118" max="118" width="5.125" style="1" bestFit="1" customWidth="1"/>
    <col min="119" max="119" width="2.5" style="1" bestFit="1" customWidth="1"/>
    <col min="120" max="120" width="7.625" style="1" customWidth="1"/>
    <col min="121" max="121" width="5.125" style="1" bestFit="1" customWidth="1"/>
    <col min="122" max="122" width="2.5" style="1" bestFit="1" customWidth="1"/>
    <col min="123" max="123" width="5.125" style="1" bestFit="1" customWidth="1"/>
    <col min="124" max="124" width="2.5" style="1" bestFit="1" customWidth="1"/>
    <col min="125" max="125" width="5.125" style="1" bestFit="1" customWidth="1"/>
    <col min="126" max="126" width="2.5" style="1" bestFit="1" customWidth="1"/>
    <col min="127" max="127" width="7.625" style="1" customWidth="1"/>
    <col min="128" max="128" width="5.125" style="1" bestFit="1" customWidth="1"/>
    <col min="129" max="129" width="2.5" style="1" bestFit="1" customWidth="1"/>
    <col min="130" max="130" width="5.125" style="1" bestFit="1" customWidth="1"/>
    <col min="131" max="131" width="2.5" style="1" bestFit="1" customWidth="1"/>
    <col min="132" max="132" width="4" style="1" bestFit="1" customWidth="1"/>
    <col min="133" max="133" width="2.5" style="1" bestFit="1" customWidth="1"/>
    <col min="134" max="134" width="7.625" style="1" customWidth="1"/>
    <col min="135" max="135" width="5.125" style="1" bestFit="1" customWidth="1"/>
    <col min="136" max="136" width="2.5" style="1" bestFit="1" customWidth="1"/>
    <col min="137" max="137" width="5.125" style="1" bestFit="1" customWidth="1"/>
    <col min="138" max="138" width="2.5" style="1" customWidth="1"/>
    <col min="139" max="139" width="5.125" style="1" bestFit="1" customWidth="1"/>
    <col min="140" max="140" width="2.5" style="1" bestFit="1" customWidth="1"/>
    <col min="141" max="141" width="7.625" style="1" customWidth="1"/>
    <col min="142" max="142" width="5.125" style="1" bestFit="1" customWidth="1"/>
    <col min="143" max="143" width="2.5" style="1" bestFit="1" customWidth="1"/>
    <col min="144" max="144" width="5.125" style="1" bestFit="1" customWidth="1"/>
    <col min="145" max="145" width="2.5" style="1" bestFit="1" customWidth="1"/>
    <col min="146" max="146" width="5.125" style="1" bestFit="1" customWidth="1"/>
    <col min="147" max="147" width="2.5" style="1" bestFit="1" customWidth="1"/>
    <col min="148" max="148" width="4.875" style="1" customWidth="1"/>
    <col min="149" max="149" width="5.125" style="1" bestFit="1" customWidth="1"/>
    <col min="150" max="150" width="2.5" style="1" bestFit="1" customWidth="1"/>
    <col min="151" max="151" width="5.125" style="1" bestFit="1" customWidth="1"/>
    <col min="152" max="152" width="2.5" style="1" bestFit="1" customWidth="1"/>
    <col min="153" max="153" width="5.125" style="1" bestFit="1" customWidth="1"/>
    <col min="154" max="154" width="2.5" style="1" bestFit="1" customWidth="1"/>
    <col min="155" max="155" width="7.625" style="1" customWidth="1"/>
    <col min="156" max="156" width="5.125" style="1" bestFit="1" customWidth="1"/>
    <col min="157" max="157" width="2.5" style="1" bestFit="1" customWidth="1"/>
    <col min="158" max="158" width="5.125" style="1" bestFit="1" customWidth="1"/>
    <col min="159" max="159" width="2.5" style="1" bestFit="1" customWidth="1"/>
    <col min="160" max="160" width="5.125" style="1" bestFit="1" customWidth="1"/>
    <col min="161" max="161" width="2.5" style="1" bestFit="1" customWidth="1"/>
    <col min="162" max="162" width="7.625" style="1" customWidth="1"/>
    <col min="163" max="163" width="5.125" style="1" bestFit="1" customWidth="1"/>
    <col min="164" max="164" width="2.5" style="1" bestFit="1" customWidth="1"/>
    <col min="165" max="165" width="5.125" style="1" bestFit="1" customWidth="1"/>
    <col min="166" max="166" width="2.5" style="1" bestFit="1" customWidth="1"/>
    <col min="167" max="167" width="5.125" style="1" bestFit="1" customWidth="1"/>
    <col min="168" max="168" width="2.5" style="1" bestFit="1" customWidth="1"/>
    <col min="169" max="169" width="7.625" style="1" customWidth="1"/>
    <col min="170" max="170" width="5.125" style="1" bestFit="1" customWidth="1"/>
    <col min="171" max="171" width="2.5" style="1" bestFit="1" customWidth="1"/>
    <col min="172" max="172" width="5.125" style="1" bestFit="1" customWidth="1"/>
    <col min="173" max="173" width="2.5" style="1" bestFit="1" customWidth="1"/>
    <col min="174" max="174" width="5.125" style="1" bestFit="1" customWidth="1"/>
    <col min="175" max="175" width="2.5" style="1" bestFit="1" customWidth="1"/>
    <col min="176" max="176" width="7.625" style="1" customWidth="1"/>
    <col min="177" max="177" width="5.125" style="1" bestFit="1" customWidth="1"/>
    <col min="178" max="178" width="2.5" style="1" bestFit="1" customWidth="1"/>
    <col min="179" max="179" width="5.125" style="1" bestFit="1" customWidth="1"/>
    <col min="180" max="180" width="2.5" style="1" bestFit="1" customWidth="1"/>
    <col min="181" max="181" width="5.125" style="1" bestFit="1" customWidth="1"/>
    <col min="182" max="182" width="2.5" style="1" bestFit="1" customWidth="1"/>
    <col min="183" max="183" width="7.625" style="1" customWidth="1"/>
    <col min="184" max="184" width="5.125" style="1" bestFit="1" customWidth="1"/>
    <col min="185" max="185" width="2.5" style="1" bestFit="1" customWidth="1"/>
    <col min="186" max="186" width="5.125" style="1" bestFit="1" customWidth="1"/>
    <col min="187" max="187" width="2.5" style="1" bestFit="1" customWidth="1"/>
    <col min="188" max="188" width="5.125" style="1" bestFit="1" customWidth="1"/>
    <col min="189" max="189" width="2.5" style="1" bestFit="1" customWidth="1"/>
    <col min="190" max="190" width="7.625" style="1" customWidth="1"/>
    <col min="191" max="191" width="5.125" style="1" bestFit="1" customWidth="1"/>
    <col min="192" max="192" width="2.5" style="1" bestFit="1" customWidth="1"/>
    <col min="193" max="193" width="5.125" style="1" bestFit="1" customWidth="1"/>
    <col min="194" max="194" width="2.5" style="1" bestFit="1" customWidth="1"/>
    <col min="195" max="195" width="5.125" style="1" bestFit="1" customWidth="1"/>
    <col min="196" max="196" width="2.5" style="1" bestFit="1" customWidth="1"/>
    <col min="197" max="197" width="7.625" style="1" customWidth="1"/>
    <col min="198" max="198" width="5.125" style="1" bestFit="1" customWidth="1"/>
    <col min="199" max="199" width="2.5" style="1" bestFit="1" customWidth="1"/>
    <col min="200" max="200" width="5.125" style="1" bestFit="1" customWidth="1"/>
    <col min="201" max="201" width="2.5" style="1" bestFit="1" customWidth="1"/>
    <col min="202" max="202" width="5.125" style="1" bestFit="1" customWidth="1"/>
    <col min="203" max="203" width="2.5" style="1" bestFit="1" customWidth="1"/>
    <col min="204" max="204" width="7.625" style="1" customWidth="1"/>
    <col min="205" max="205" width="5.125" style="1" bestFit="1" customWidth="1"/>
    <col min="206" max="206" width="2.5" style="1" bestFit="1" customWidth="1"/>
    <col min="207" max="207" width="5.125" style="1" bestFit="1" customWidth="1"/>
    <col min="208" max="208" width="2.5" style="1" bestFit="1" customWidth="1"/>
    <col min="209" max="209" width="5.125" style="1" bestFit="1" customWidth="1"/>
    <col min="210" max="210" width="2.5" style="1" bestFit="1" customWidth="1"/>
    <col min="211" max="211" width="7.625" style="1" customWidth="1"/>
    <col min="212" max="212" width="5.125" style="1" bestFit="1" customWidth="1"/>
    <col min="213" max="213" width="2.5" style="1" bestFit="1" customWidth="1"/>
    <col min="214" max="214" width="5.125" style="1" bestFit="1" customWidth="1"/>
    <col min="215" max="215" width="2.5" style="1" bestFit="1" customWidth="1"/>
    <col min="216" max="216" width="5.125" style="1" bestFit="1" customWidth="1"/>
    <col min="217" max="217" width="2.5" style="1" bestFit="1" customWidth="1"/>
    <col min="218" max="218" width="7.625" style="1" customWidth="1"/>
    <col min="219" max="219" width="5.125" style="1" bestFit="1" customWidth="1"/>
    <col min="220" max="220" width="2.5" style="1" bestFit="1" customWidth="1"/>
    <col min="221" max="221" width="5.125" style="1" bestFit="1" customWidth="1"/>
    <col min="222" max="222" width="2.5" style="1" bestFit="1" customWidth="1"/>
    <col min="223" max="223" width="5.125" style="1" bestFit="1" customWidth="1"/>
    <col min="224" max="224" width="2.5" style="1" bestFit="1" customWidth="1"/>
    <col min="225" max="225" width="7.625" style="1" customWidth="1"/>
    <col min="226" max="226" width="5.125" style="1" bestFit="1" customWidth="1"/>
    <col min="227" max="227" width="2.5" style="1" bestFit="1" customWidth="1"/>
    <col min="228" max="228" width="5.125" style="1" bestFit="1" customWidth="1"/>
    <col min="229" max="229" width="2.5" style="1" bestFit="1" customWidth="1"/>
    <col min="230" max="230" width="5.125" style="170" bestFit="1" customWidth="1"/>
    <col min="231" max="231" width="2.5" style="1" bestFit="1" customWidth="1"/>
    <col min="232" max="232" width="4.875" style="1" customWidth="1"/>
    <col min="233" max="16384" width="2.625" style="1"/>
  </cols>
  <sheetData>
    <row r="1" spans="2:232" ht="4.5" customHeight="1" x14ac:dyDescent="0.25">
      <c r="HK1" s="1" t="s">
        <v>543</v>
      </c>
    </row>
    <row r="2" spans="2:232" s="40" customFormat="1" ht="12" x14ac:dyDescent="0.15">
      <c r="B2" s="40" t="s">
        <v>510</v>
      </c>
      <c r="C2" s="139"/>
      <c r="D2" s="139"/>
      <c r="E2" s="139"/>
      <c r="G2" s="42"/>
      <c r="I2" s="171"/>
      <c r="HV2" s="171"/>
    </row>
    <row r="3" spans="2:232" s="43" customFormat="1" ht="19.5" x14ac:dyDescent="0.15">
      <c r="B3" s="53" t="s">
        <v>112</v>
      </c>
      <c r="C3" s="140"/>
      <c r="D3" s="140"/>
      <c r="E3" s="140"/>
      <c r="G3" s="45"/>
      <c r="I3" s="172"/>
      <c r="HV3" s="172"/>
    </row>
    <row r="4" spans="2:232" x14ac:dyDescent="0.25">
      <c r="B4" s="32"/>
      <c r="C4" s="32"/>
      <c r="D4" s="32"/>
      <c r="E4" s="32"/>
    </row>
    <row r="5" spans="2:232" x14ac:dyDescent="0.25">
      <c r="B5" s="141" t="s">
        <v>155</v>
      </c>
      <c r="C5" s="141"/>
      <c r="D5" s="141"/>
      <c r="E5" s="141"/>
      <c r="Z5" s="1" t="s">
        <v>194</v>
      </c>
    </row>
    <row r="6" spans="2:232" hidden="1" outlineLevel="1" x14ac:dyDescent="0.25">
      <c r="AB6" s="1" t="s">
        <v>156</v>
      </c>
    </row>
    <row r="7" spans="2:232" ht="15.75" hidden="1" outlineLevel="1" thickBot="1" x14ac:dyDescent="0.3">
      <c r="AD7" s="142" t="s">
        <v>157</v>
      </c>
      <c r="AE7" s="143"/>
      <c r="AF7" s="142" t="s">
        <v>158</v>
      </c>
      <c r="AG7" s="144"/>
      <c r="AH7" s="143"/>
      <c r="AI7" s="142" t="s">
        <v>159</v>
      </c>
      <c r="AJ7" s="144"/>
      <c r="AK7" s="144"/>
      <c r="AL7" s="143"/>
      <c r="AM7"/>
      <c r="AN7"/>
      <c r="AO7"/>
      <c r="HU7" s="170"/>
      <c r="HV7" s="1"/>
    </row>
    <row r="8" spans="2:232" ht="15.75" hidden="1" outlineLevel="1" thickTop="1" x14ac:dyDescent="0.25">
      <c r="AD8" s="352" t="s">
        <v>21</v>
      </c>
      <c r="AE8" s="353"/>
      <c r="AF8" s="352" t="s">
        <v>173</v>
      </c>
      <c r="AG8" s="353"/>
      <c r="AH8" s="355"/>
      <c r="AI8" s="352" t="s">
        <v>174</v>
      </c>
      <c r="AJ8" s="353"/>
      <c r="AK8" s="353"/>
      <c r="AL8" s="355"/>
      <c r="AM8"/>
      <c r="AN8"/>
      <c r="AO8"/>
      <c r="HU8" s="170"/>
      <c r="HV8" s="1"/>
    </row>
    <row r="9" spans="2:232" ht="15" hidden="1" customHeight="1" outlineLevel="1" x14ac:dyDescent="0.25">
      <c r="AD9" s="352" t="s">
        <v>21</v>
      </c>
      <c r="AE9" s="353"/>
      <c r="AF9" s="352" t="s">
        <v>531</v>
      </c>
      <c r="AG9" s="353"/>
      <c r="AH9" s="355"/>
      <c r="AI9" s="352" t="s">
        <v>176</v>
      </c>
      <c r="AJ9" s="353"/>
      <c r="AK9" s="353"/>
      <c r="AL9" s="355"/>
      <c r="AM9"/>
      <c r="AN9"/>
      <c r="AO9"/>
      <c r="HU9" s="170"/>
      <c r="HV9" s="1"/>
    </row>
    <row r="10" spans="2:232" ht="15" hidden="1" outlineLevel="1" x14ac:dyDescent="0.25">
      <c r="AD10" s="352" t="s">
        <v>21</v>
      </c>
      <c r="AE10" s="353"/>
      <c r="AF10" s="352" t="s">
        <v>532</v>
      </c>
      <c r="AG10" s="353"/>
      <c r="AH10" s="355"/>
      <c r="AI10" s="352" t="s">
        <v>177</v>
      </c>
      <c r="AJ10" s="353"/>
      <c r="AK10" s="353"/>
      <c r="AL10" s="355"/>
      <c r="AM10"/>
      <c r="AN10"/>
      <c r="AO10"/>
      <c r="HU10" s="170"/>
      <c r="HV10" s="1"/>
    </row>
    <row r="11" spans="2:232" hidden="1" outlineLevel="1" x14ac:dyDescent="0.25">
      <c r="AD11" s="348" t="s">
        <v>21</v>
      </c>
      <c r="AE11" s="340"/>
      <c r="AF11" s="348" t="s">
        <v>646</v>
      </c>
      <c r="AG11" s="340"/>
      <c r="AH11" s="341"/>
      <c r="AI11" s="348" t="s">
        <v>646</v>
      </c>
      <c r="AJ11" s="340"/>
      <c r="AK11" s="340"/>
      <c r="AL11" s="341"/>
      <c r="HU11" s="170"/>
      <c r="HV11" s="1"/>
    </row>
    <row r="12" spans="2:232" hidden="1" outlineLevel="1" x14ac:dyDescent="0.25"/>
    <row r="13" spans="2:232" collapsed="1" x14ac:dyDescent="0.25"/>
    <row r="15" spans="2:232" x14ac:dyDescent="0.25">
      <c r="B15" s="141" t="s">
        <v>647</v>
      </c>
      <c r="C15" s="141"/>
      <c r="D15" s="141"/>
      <c r="E15" s="141"/>
      <c r="EL15" s="1" t="s">
        <v>360</v>
      </c>
      <c r="HK15" s="1" t="s">
        <v>360</v>
      </c>
    </row>
    <row r="16" spans="2:232" x14ac:dyDescent="0.25">
      <c r="B16" s="32"/>
      <c r="C16" s="16" t="s">
        <v>160</v>
      </c>
      <c r="D16" s="16" t="s">
        <v>161</v>
      </c>
      <c r="E16" s="36"/>
      <c r="F16" s="371" t="s">
        <v>648</v>
      </c>
      <c r="G16" s="372"/>
      <c r="H16" s="372"/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3"/>
      <c r="U16" s="32"/>
      <c r="V16" s="2"/>
      <c r="W16" s="3"/>
      <c r="X16" s="3"/>
      <c r="Y16" s="3"/>
      <c r="Z16" s="3"/>
      <c r="AA16" s="3"/>
      <c r="AB16" s="3"/>
      <c r="AC16" s="5"/>
      <c r="AD16" s="195" t="s">
        <v>222</v>
      </c>
      <c r="AE16" s="196" t="s">
        <v>169</v>
      </c>
      <c r="AF16" s="196"/>
      <c r="AG16" s="196"/>
      <c r="AH16" s="196"/>
      <c r="AI16" s="196"/>
      <c r="AJ16" s="196"/>
      <c r="AK16" s="211" t="s">
        <v>222</v>
      </c>
      <c r="AL16" s="196" t="s">
        <v>239</v>
      </c>
      <c r="AM16" s="196"/>
      <c r="AN16" s="196"/>
      <c r="AO16" s="196"/>
      <c r="AP16" s="196"/>
      <c r="AQ16" s="197"/>
      <c r="AR16" s="195" t="s">
        <v>222</v>
      </c>
      <c r="AS16" s="196" t="s">
        <v>239</v>
      </c>
      <c r="AT16" s="196"/>
      <c r="AU16" s="196"/>
      <c r="AV16" s="196"/>
      <c r="AW16" s="196"/>
      <c r="AX16" s="197"/>
      <c r="AY16" s="195" t="s">
        <v>222</v>
      </c>
      <c r="AZ16" s="196" t="s">
        <v>239</v>
      </c>
      <c r="BA16" s="196"/>
      <c r="BB16" s="196"/>
      <c r="BC16" s="196"/>
      <c r="BD16" s="196"/>
      <c r="BE16" s="196"/>
      <c r="BF16" s="195" t="s">
        <v>222</v>
      </c>
      <c r="BG16" s="196" t="s">
        <v>239</v>
      </c>
      <c r="BH16" s="196"/>
      <c r="BI16" s="196"/>
      <c r="BJ16" s="196"/>
      <c r="BK16" s="196"/>
      <c r="BL16" s="197"/>
      <c r="BM16" s="195" t="s">
        <v>222</v>
      </c>
      <c r="BN16" s="196" t="s">
        <v>239</v>
      </c>
      <c r="BO16" s="196"/>
      <c r="BP16" s="196"/>
      <c r="BQ16" s="196"/>
      <c r="BR16" s="196"/>
      <c r="BS16" s="196"/>
      <c r="BT16" s="211" t="s">
        <v>222</v>
      </c>
      <c r="BU16" s="196" t="s">
        <v>239</v>
      </c>
      <c r="BV16" s="196"/>
      <c r="BW16" s="196"/>
      <c r="BX16" s="196"/>
      <c r="BY16" s="196"/>
      <c r="BZ16" s="197"/>
      <c r="CA16" s="195" t="s">
        <v>222</v>
      </c>
      <c r="CB16" s="196" t="s">
        <v>239</v>
      </c>
      <c r="CC16" s="196"/>
      <c r="CD16" s="196"/>
      <c r="CE16" s="196"/>
      <c r="CF16" s="196"/>
      <c r="CG16" s="197"/>
      <c r="CH16" s="195" t="s">
        <v>222</v>
      </c>
      <c r="CI16" s="196" t="s">
        <v>239</v>
      </c>
      <c r="CJ16" s="196"/>
      <c r="CK16" s="196"/>
      <c r="CL16" s="196"/>
      <c r="CM16" s="196"/>
      <c r="CN16" s="197"/>
      <c r="CO16" s="195" t="s">
        <v>222</v>
      </c>
      <c r="CP16" s="196" t="s">
        <v>239</v>
      </c>
      <c r="CQ16" s="196"/>
      <c r="CR16" s="196"/>
      <c r="CS16" s="196"/>
      <c r="CT16" s="196"/>
      <c r="CU16" s="197"/>
      <c r="CV16" s="195" t="s">
        <v>222</v>
      </c>
      <c r="CW16" s="196" t="s">
        <v>239</v>
      </c>
      <c r="CX16" s="196"/>
      <c r="CY16" s="196"/>
      <c r="CZ16" s="196"/>
      <c r="DA16" s="196"/>
      <c r="DB16" s="197"/>
      <c r="DC16" s="195" t="s">
        <v>222</v>
      </c>
      <c r="DD16" s="196" t="s">
        <v>239</v>
      </c>
      <c r="DE16" s="196"/>
      <c r="DF16" s="196"/>
      <c r="DG16" s="196"/>
      <c r="DH16" s="196"/>
      <c r="DI16" s="197"/>
      <c r="DJ16" s="195" t="s">
        <v>222</v>
      </c>
      <c r="DK16" s="196" t="s">
        <v>239</v>
      </c>
      <c r="DL16" s="196"/>
      <c r="DM16" s="196"/>
      <c r="DN16" s="196"/>
      <c r="DO16" s="196"/>
      <c r="DP16" s="197"/>
      <c r="DQ16" s="195" t="s">
        <v>222</v>
      </c>
      <c r="DR16" s="196" t="s">
        <v>239</v>
      </c>
      <c r="DS16" s="196"/>
      <c r="DT16" s="196"/>
      <c r="DU16" s="196"/>
      <c r="DV16" s="196"/>
      <c r="DW16" s="197"/>
      <c r="DX16" s="195" t="s">
        <v>222</v>
      </c>
      <c r="DY16" s="196" t="s">
        <v>239</v>
      </c>
      <c r="DZ16" s="196"/>
      <c r="EA16" s="196"/>
      <c r="EB16" s="196"/>
      <c r="EC16" s="196"/>
      <c r="ED16" s="197"/>
      <c r="EE16" s="195" t="s">
        <v>222</v>
      </c>
      <c r="EF16" s="196" t="s">
        <v>239</v>
      </c>
      <c r="EG16" s="196"/>
      <c r="EH16" s="196"/>
      <c r="EI16" s="196"/>
      <c r="EJ16" s="196"/>
      <c r="EK16" s="216"/>
      <c r="EL16" s="252"/>
      <c r="EM16" s="196" t="s">
        <v>239</v>
      </c>
      <c r="EN16" s="196"/>
      <c r="EO16" s="196"/>
      <c r="EP16" s="196"/>
      <c r="EQ16" s="196"/>
      <c r="ER16" s="216"/>
      <c r="ES16" s="208" t="s">
        <v>222</v>
      </c>
      <c r="ET16" s="203" t="s">
        <v>240</v>
      </c>
      <c r="EU16" s="203"/>
      <c r="EV16" s="203"/>
      <c r="EW16" s="203"/>
      <c r="EX16" s="203"/>
      <c r="EY16" s="204"/>
      <c r="EZ16" s="202" t="s">
        <v>222</v>
      </c>
      <c r="FA16" s="203" t="s">
        <v>240</v>
      </c>
      <c r="FB16" s="203"/>
      <c r="FC16" s="203"/>
      <c r="FD16" s="203"/>
      <c r="FE16" s="203"/>
      <c r="FF16" s="203"/>
      <c r="FG16" s="202" t="s">
        <v>222</v>
      </c>
      <c r="FH16" s="203" t="s">
        <v>240</v>
      </c>
      <c r="FI16" s="203"/>
      <c r="FJ16" s="203"/>
      <c r="FK16" s="203"/>
      <c r="FL16" s="203"/>
      <c r="FM16" s="204"/>
      <c r="FN16" s="202" t="s">
        <v>222</v>
      </c>
      <c r="FO16" s="203" t="s">
        <v>240</v>
      </c>
      <c r="FP16" s="203"/>
      <c r="FQ16" s="203"/>
      <c r="FR16" s="203"/>
      <c r="FS16" s="203"/>
      <c r="FT16" s="203"/>
      <c r="FU16" s="219" t="s">
        <v>222</v>
      </c>
      <c r="FV16" s="203" t="s">
        <v>240</v>
      </c>
      <c r="FW16" s="203"/>
      <c r="FX16" s="203"/>
      <c r="FY16" s="203"/>
      <c r="FZ16" s="203"/>
      <c r="GA16" s="204"/>
      <c r="GB16" s="202" t="s">
        <v>222</v>
      </c>
      <c r="GC16" s="203" t="s">
        <v>240</v>
      </c>
      <c r="GD16" s="203"/>
      <c r="GE16" s="203"/>
      <c r="GF16" s="203"/>
      <c r="GG16" s="203"/>
      <c r="GH16" s="204"/>
      <c r="GI16" s="202" t="s">
        <v>222</v>
      </c>
      <c r="GJ16" s="203" t="s">
        <v>240</v>
      </c>
      <c r="GK16" s="203"/>
      <c r="GL16" s="203"/>
      <c r="GM16" s="203"/>
      <c r="GN16" s="203"/>
      <c r="GO16" s="204"/>
      <c r="GP16" s="202" t="s">
        <v>222</v>
      </c>
      <c r="GQ16" s="203" t="s">
        <v>240</v>
      </c>
      <c r="GR16" s="203"/>
      <c r="GS16" s="203"/>
      <c r="GT16" s="203"/>
      <c r="GU16" s="203"/>
      <c r="GV16" s="204"/>
      <c r="GW16" s="208" t="s">
        <v>222</v>
      </c>
      <c r="GX16" s="203" t="s">
        <v>240</v>
      </c>
      <c r="GY16" s="203"/>
      <c r="GZ16" s="203"/>
      <c r="HA16" s="203"/>
      <c r="HB16" s="203"/>
      <c r="HC16" s="204"/>
      <c r="HD16" s="202" t="s">
        <v>222</v>
      </c>
      <c r="HE16" s="203" t="s">
        <v>240</v>
      </c>
      <c r="HF16" s="203"/>
      <c r="HG16" s="203"/>
      <c r="HH16" s="203"/>
      <c r="HI16" s="203"/>
      <c r="HJ16" s="221"/>
      <c r="HK16" s="208" t="s">
        <v>222</v>
      </c>
      <c r="HL16" s="203" t="s">
        <v>240</v>
      </c>
      <c r="HM16" s="203"/>
      <c r="HN16" s="203"/>
      <c r="HO16" s="203"/>
      <c r="HP16" s="203"/>
      <c r="HQ16" s="221"/>
      <c r="HR16" s="7" t="s">
        <v>222</v>
      </c>
      <c r="HS16" s="3" t="s">
        <v>259</v>
      </c>
      <c r="HT16" s="3"/>
      <c r="HU16" s="3"/>
      <c r="HV16" s="253"/>
      <c r="HW16" s="3"/>
      <c r="HX16" s="5"/>
    </row>
    <row r="17" spans="2:232" x14ac:dyDescent="0.25">
      <c r="B17" s="32"/>
      <c r="C17" s="110">
        <f>COUNTA(C18:C24)</f>
        <v>1</v>
      </c>
      <c r="D17" s="110" t="s">
        <v>162</v>
      </c>
      <c r="E17" s="34"/>
      <c r="F17" s="110" t="s">
        <v>163</v>
      </c>
      <c r="G17" s="145" t="s">
        <v>164</v>
      </c>
      <c r="H17" s="110" t="s">
        <v>165</v>
      </c>
      <c r="I17" s="173" t="s">
        <v>166</v>
      </c>
      <c r="J17" s="146" t="s">
        <v>167</v>
      </c>
      <c r="K17" s="146" t="s">
        <v>168</v>
      </c>
      <c r="L17" s="110" t="s">
        <v>281</v>
      </c>
      <c r="M17" s="146"/>
      <c r="N17" s="146"/>
      <c r="O17" s="146"/>
      <c r="P17" s="146"/>
      <c r="Q17" s="146"/>
      <c r="R17" s="146"/>
      <c r="S17" s="146"/>
      <c r="T17" s="146"/>
      <c r="U17" s="32"/>
      <c r="V17" s="107"/>
      <c r="W17" s="108"/>
      <c r="X17" s="108"/>
      <c r="Y17" s="108"/>
      <c r="Z17" s="108"/>
      <c r="AA17" s="108"/>
      <c r="AB17" s="374"/>
      <c r="AC17" s="375"/>
      <c r="AD17" s="198" t="s">
        <v>55</v>
      </c>
      <c r="AE17" s="199" t="s">
        <v>223</v>
      </c>
      <c r="AF17" s="199"/>
      <c r="AG17" s="199"/>
      <c r="AH17" s="199"/>
      <c r="AI17" s="199"/>
      <c r="AJ17" s="199"/>
      <c r="AK17" s="212" t="s">
        <v>65</v>
      </c>
      <c r="AL17" s="199" t="s">
        <v>221</v>
      </c>
      <c r="AM17" s="199"/>
      <c r="AN17" s="199"/>
      <c r="AO17" s="199"/>
      <c r="AP17" s="199"/>
      <c r="AQ17" s="200"/>
      <c r="AR17" s="201" t="s">
        <v>66</v>
      </c>
      <c r="AS17" s="199" t="s">
        <v>226</v>
      </c>
      <c r="AT17" s="199"/>
      <c r="AU17" s="199"/>
      <c r="AV17" s="199"/>
      <c r="AW17" s="199"/>
      <c r="AX17" s="200"/>
      <c r="AY17" s="201" t="s">
        <v>71</v>
      </c>
      <c r="AZ17" s="199" t="s">
        <v>230</v>
      </c>
      <c r="BA17" s="199"/>
      <c r="BB17" s="199"/>
      <c r="BC17" s="199"/>
      <c r="BD17" s="199"/>
      <c r="BE17" s="199"/>
      <c r="BF17" s="201" t="s">
        <v>72</v>
      </c>
      <c r="BG17" s="199" t="s">
        <v>119</v>
      </c>
      <c r="BH17" s="199"/>
      <c r="BI17" s="199"/>
      <c r="BJ17" s="199"/>
      <c r="BK17" s="199"/>
      <c r="BL17" s="199"/>
      <c r="BM17" s="201" t="s">
        <v>109</v>
      </c>
      <c r="BN17" s="199" t="s">
        <v>236</v>
      </c>
      <c r="BO17" s="199"/>
      <c r="BP17" s="199"/>
      <c r="BQ17" s="199"/>
      <c r="BR17" s="199"/>
      <c r="BS17" s="199"/>
      <c r="BT17" s="212" t="s">
        <v>110</v>
      </c>
      <c r="BU17" s="199" t="s">
        <v>269</v>
      </c>
      <c r="BV17" s="199"/>
      <c r="BW17" s="199"/>
      <c r="BX17" s="199"/>
      <c r="BY17" s="199"/>
      <c r="BZ17" s="200"/>
      <c r="CA17" s="201" t="s">
        <v>111</v>
      </c>
      <c r="CB17" s="199" t="s">
        <v>271</v>
      </c>
      <c r="CC17" s="199"/>
      <c r="CD17" s="199"/>
      <c r="CE17" s="199"/>
      <c r="CF17" s="199"/>
      <c r="CG17" s="200"/>
      <c r="CH17" s="201" t="s">
        <v>141</v>
      </c>
      <c r="CI17" s="199" t="s">
        <v>266</v>
      </c>
      <c r="CJ17" s="199"/>
      <c r="CK17" s="199"/>
      <c r="CL17" s="199"/>
      <c r="CM17" s="199"/>
      <c r="CN17" s="200"/>
      <c r="CO17" s="201" t="s">
        <v>235</v>
      </c>
      <c r="CP17" s="199" t="s">
        <v>273</v>
      </c>
      <c r="CQ17" s="199"/>
      <c r="CR17" s="199"/>
      <c r="CS17" s="199"/>
      <c r="CT17" s="199"/>
      <c r="CU17" s="200"/>
      <c r="CV17" s="201" t="s">
        <v>241</v>
      </c>
      <c r="CW17" s="199" t="s">
        <v>270</v>
      </c>
      <c r="CX17" s="199"/>
      <c r="CY17" s="199"/>
      <c r="CZ17" s="199"/>
      <c r="DA17" s="199"/>
      <c r="DB17" s="200"/>
      <c r="DC17" s="201" t="s">
        <v>242</v>
      </c>
      <c r="DD17" s="199" t="s">
        <v>272</v>
      </c>
      <c r="DE17" s="199"/>
      <c r="DF17" s="199"/>
      <c r="DG17" s="199"/>
      <c r="DH17" s="199"/>
      <c r="DI17" s="200"/>
      <c r="DJ17" s="201" t="s">
        <v>247</v>
      </c>
      <c r="DK17" s="199" t="s">
        <v>267</v>
      </c>
      <c r="DL17" s="199"/>
      <c r="DM17" s="199"/>
      <c r="DN17" s="199"/>
      <c r="DO17" s="199"/>
      <c r="DP17" s="200"/>
      <c r="DQ17" s="201" t="s">
        <v>248</v>
      </c>
      <c r="DR17" s="199" t="s">
        <v>89</v>
      </c>
      <c r="DS17" s="199"/>
      <c r="DT17" s="199"/>
      <c r="DU17" s="199"/>
      <c r="DV17" s="199"/>
      <c r="DW17" s="200"/>
      <c r="DX17" s="201" t="s">
        <v>249</v>
      </c>
      <c r="DY17" s="199" t="s">
        <v>274</v>
      </c>
      <c r="DZ17" s="199"/>
      <c r="EA17" s="199"/>
      <c r="EB17" s="199"/>
      <c r="EC17" s="199"/>
      <c r="ED17" s="200"/>
      <c r="EE17" s="201" t="s">
        <v>251</v>
      </c>
      <c r="EF17" s="199" t="s">
        <v>119</v>
      </c>
      <c r="EG17" s="199"/>
      <c r="EH17" s="199"/>
      <c r="EI17" s="199"/>
      <c r="EJ17" s="199"/>
      <c r="EK17" s="217"/>
      <c r="EL17" s="198" t="s">
        <v>253</v>
      </c>
      <c r="EM17" s="199" t="s">
        <v>86</v>
      </c>
      <c r="EN17" s="199"/>
      <c r="EO17" s="199"/>
      <c r="EP17" s="199"/>
      <c r="EQ17" s="199"/>
      <c r="ER17" s="217"/>
      <c r="ES17" s="209" t="s">
        <v>255</v>
      </c>
      <c r="ET17" s="206" t="s">
        <v>244</v>
      </c>
      <c r="EU17" s="206"/>
      <c r="EV17" s="206"/>
      <c r="EW17" s="206"/>
      <c r="EX17" s="206"/>
      <c r="EY17" s="207"/>
      <c r="EZ17" s="205" t="s">
        <v>256</v>
      </c>
      <c r="FA17" s="206" t="s">
        <v>230</v>
      </c>
      <c r="FB17" s="206"/>
      <c r="FC17" s="206"/>
      <c r="FD17" s="206"/>
      <c r="FE17" s="206"/>
      <c r="FF17" s="206"/>
      <c r="FG17" s="205" t="s">
        <v>257</v>
      </c>
      <c r="FH17" s="206" t="s">
        <v>254</v>
      </c>
      <c r="FI17" s="206"/>
      <c r="FJ17" s="206"/>
      <c r="FK17" s="206"/>
      <c r="FL17" s="206"/>
      <c r="FM17" s="207"/>
      <c r="FN17" s="205" t="s">
        <v>258</v>
      </c>
      <c r="FO17" s="206" t="s">
        <v>236</v>
      </c>
      <c r="FP17" s="206"/>
      <c r="FQ17" s="206"/>
      <c r="FR17" s="206"/>
      <c r="FS17" s="206"/>
      <c r="FT17" s="206"/>
      <c r="FU17" s="220" t="s">
        <v>276</v>
      </c>
      <c r="FV17" s="206" t="s">
        <v>282</v>
      </c>
      <c r="FW17" s="206"/>
      <c r="FX17" s="206"/>
      <c r="FY17" s="206"/>
      <c r="FZ17" s="206"/>
      <c r="GA17" s="207"/>
      <c r="GB17" s="205" t="s">
        <v>277</v>
      </c>
      <c r="GC17" s="206" t="s">
        <v>380</v>
      </c>
      <c r="GD17" s="206"/>
      <c r="GE17" s="206"/>
      <c r="GF17" s="206"/>
      <c r="GG17" s="206"/>
      <c r="GH17" s="207"/>
      <c r="GI17" s="205" t="s">
        <v>278</v>
      </c>
      <c r="GJ17" s="206" t="s">
        <v>233</v>
      </c>
      <c r="GK17" s="206"/>
      <c r="GL17" s="206"/>
      <c r="GM17" s="206"/>
      <c r="GN17" s="206"/>
      <c r="GO17" s="207"/>
      <c r="GP17" s="205" t="s">
        <v>279</v>
      </c>
      <c r="GQ17" s="206" t="s">
        <v>89</v>
      </c>
      <c r="GR17" s="206"/>
      <c r="GS17" s="206"/>
      <c r="GT17" s="206"/>
      <c r="GU17" s="206"/>
      <c r="GV17" s="207"/>
      <c r="GW17" s="209" t="s">
        <v>280</v>
      </c>
      <c r="GX17" s="206" t="s">
        <v>381</v>
      </c>
      <c r="GY17" s="206"/>
      <c r="GZ17" s="206"/>
      <c r="HA17" s="206"/>
      <c r="HB17" s="206"/>
      <c r="HC17" s="207"/>
      <c r="HD17" s="205" t="s">
        <v>544</v>
      </c>
      <c r="HE17" s="206" t="s">
        <v>254</v>
      </c>
      <c r="HF17" s="206"/>
      <c r="HG17" s="206"/>
      <c r="HH17" s="206"/>
      <c r="HI17" s="206"/>
      <c r="HJ17" s="222"/>
      <c r="HK17" s="209" t="s">
        <v>545</v>
      </c>
      <c r="HL17" s="206" t="s">
        <v>86</v>
      </c>
      <c r="HM17" s="206"/>
      <c r="HN17" s="206"/>
      <c r="HO17" s="206"/>
      <c r="HP17" s="206"/>
      <c r="HQ17" s="222"/>
      <c r="HR17" s="106" t="s">
        <v>546</v>
      </c>
      <c r="HS17" s="108" t="s">
        <v>89</v>
      </c>
      <c r="HT17" s="108"/>
      <c r="HU17" s="108"/>
      <c r="HV17" s="254"/>
      <c r="HW17" s="108"/>
      <c r="HX17" s="109"/>
    </row>
    <row r="18" spans="2:232" ht="15" customHeight="1" outlineLevel="1" x14ac:dyDescent="0.25">
      <c r="B18" s="147"/>
      <c r="C18" s="147"/>
      <c r="D18" s="148"/>
      <c r="E18" s="147"/>
      <c r="F18" s="149"/>
      <c r="G18" s="148"/>
      <c r="H18" s="149"/>
      <c r="I18" s="174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V18" s="150" t="s">
        <v>170</v>
      </c>
      <c r="W18" s="151"/>
      <c r="X18" s="151"/>
      <c r="Y18" s="151"/>
      <c r="Z18" s="151"/>
      <c r="AA18" s="151"/>
      <c r="AB18" s="369"/>
      <c r="AC18" s="370"/>
      <c r="AD18" s="152" t="s">
        <v>178</v>
      </c>
      <c r="AE18" s="152" t="s">
        <v>22</v>
      </c>
      <c r="AF18" s="153">
        <v>110</v>
      </c>
      <c r="AG18" s="152" t="s">
        <v>22</v>
      </c>
      <c r="AH18" s="154">
        <v>1</v>
      </c>
      <c r="AI18" s="152"/>
      <c r="AJ18" s="194">
        <f>COUNTA(AD23:AD24)</f>
        <v>1</v>
      </c>
      <c r="AK18" s="213" t="s">
        <v>178</v>
      </c>
      <c r="AL18" s="152" t="s">
        <v>22</v>
      </c>
      <c r="AM18" s="153">
        <v>120</v>
      </c>
      <c r="AN18" s="152" t="s">
        <v>22</v>
      </c>
      <c r="AO18" s="154">
        <v>1</v>
      </c>
      <c r="AP18" s="152"/>
      <c r="AQ18" s="155">
        <f>COUNTA(AK23:AK24)</f>
        <v>1</v>
      </c>
      <c r="AR18" s="152" t="s">
        <v>178</v>
      </c>
      <c r="AS18" s="152" t="s">
        <v>22</v>
      </c>
      <c r="AT18" s="153">
        <v>120</v>
      </c>
      <c r="AU18" s="152" t="s">
        <v>22</v>
      </c>
      <c r="AV18" s="154">
        <v>2</v>
      </c>
      <c r="AW18" s="152"/>
      <c r="AX18" s="155">
        <f>COUNTA(AR23:AR24)</f>
        <v>1</v>
      </c>
      <c r="AY18" s="152" t="s">
        <v>178</v>
      </c>
      <c r="AZ18" s="152" t="s">
        <v>22</v>
      </c>
      <c r="BA18" s="153">
        <v>120</v>
      </c>
      <c r="BB18" s="152" t="s">
        <v>22</v>
      </c>
      <c r="BC18" s="154">
        <v>4</v>
      </c>
      <c r="BD18" s="152"/>
      <c r="BE18" s="194">
        <f>COUNTA(AY23:AY24)</f>
        <v>1</v>
      </c>
      <c r="BF18" s="156" t="s">
        <v>178</v>
      </c>
      <c r="BG18" s="152" t="s">
        <v>22</v>
      </c>
      <c r="BH18" s="153">
        <v>120</v>
      </c>
      <c r="BI18" s="152" t="s">
        <v>22</v>
      </c>
      <c r="BJ18" s="154">
        <v>7</v>
      </c>
      <c r="BK18" s="152"/>
      <c r="BL18" s="155">
        <f>COUNTA(BF23:BF24)</f>
        <v>1</v>
      </c>
      <c r="BM18" s="152" t="s">
        <v>178</v>
      </c>
      <c r="BN18" s="152" t="s">
        <v>22</v>
      </c>
      <c r="BO18" s="153">
        <v>120</v>
      </c>
      <c r="BP18" s="152" t="s">
        <v>22</v>
      </c>
      <c r="BQ18" s="154">
        <v>10</v>
      </c>
      <c r="BR18" s="152"/>
      <c r="BS18" s="194">
        <f>COUNTA(BM23:BM24)</f>
        <v>1</v>
      </c>
      <c r="BT18" s="213" t="s">
        <v>178</v>
      </c>
      <c r="BU18" s="152" t="s">
        <v>22</v>
      </c>
      <c r="BV18" s="153">
        <v>120</v>
      </c>
      <c r="BW18" s="152" t="s">
        <v>22</v>
      </c>
      <c r="BX18" s="154">
        <v>3</v>
      </c>
      <c r="BY18" s="152"/>
      <c r="BZ18" s="155">
        <f>COUNTA(BT23:BT24)</f>
        <v>1</v>
      </c>
      <c r="CA18" s="152" t="s">
        <v>178</v>
      </c>
      <c r="CB18" s="152" t="s">
        <v>22</v>
      </c>
      <c r="CC18" s="153">
        <v>120</v>
      </c>
      <c r="CD18" s="152" t="s">
        <v>22</v>
      </c>
      <c r="CE18" s="154">
        <v>5</v>
      </c>
      <c r="CF18" s="152"/>
      <c r="CG18" s="155">
        <f>COUNTA(CA23:CA24)</f>
        <v>1</v>
      </c>
      <c r="CH18" s="152" t="s">
        <v>178</v>
      </c>
      <c r="CI18" s="152" t="s">
        <v>22</v>
      </c>
      <c r="CJ18" s="153">
        <v>120</v>
      </c>
      <c r="CK18" s="152" t="s">
        <v>22</v>
      </c>
      <c r="CL18" s="154">
        <v>6</v>
      </c>
      <c r="CM18" s="152"/>
      <c r="CN18" s="155">
        <f>COUNTA(CH23:CH24)</f>
        <v>1</v>
      </c>
      <c r="CO18" s="156" t="s">
        <v>178</v>
      </c>
      <c r="CP18" s="152" t="s">
        <v>22</v>
      </c>
      <c r="CQ18" s="153">
        <v>120</v>
      </c>
      <c r="CR18" s="152" t="s">
        <v>22</v>
      </c>
      <c r="CS18" s="154">
        <v>5</v>
      </c>
      <c r="CT18" s="152"/>
      <c r="CU18" s="155">
        <f>COUNTA(CO23:CO24)</f>
        <v>1</v>
      </c>
      <c r="CV18" s="152" t="s">
        <v>178</v>
      </c>
      <c r="CW18" s="152" t="s">
        <v>22</v>
      </c>
      <c r="CX18" s="153">
        <v>120</v>
      </c>
      <c r="CY18" s="152" t="s">
        <v>22</v>
      </c>
      <c r="CZ18" s="154">
        <v>3</v>
      </c>
      <c r="DA18" s="152"/>
      <c r="DB18" s="155">
        <f>COUNTA(CV23:CV24)</f>
        <v>1</v>
      </c>
      <c r="DC18" s="152" t="s">
        <v>178</v>
      </c>
      <c r="DD18" s="152" t="s">
        <v>22</v>
      </c>
      <c r="DE18" s="153">
        <v>120</v>
      </c>
      <c r="DF18" s="152" t="s">
        <v>22</v>
      </c>
      <c r="DG18" s="154">
        <v>5</v>
      </c>
      <c r="DH18" s="152"/>
      <c r="DI18" s="155">
        <f>COUNTA(DC23:DC24)</f>
        <v>1</v>
      </c>
      <c r="DJ18" s="156" t="s">
        <v>178</v>
      </c>
      <c r="DK18" s="152" t="s">
        <v>22</v>
      </c>
      <c r="DL18" s="153">
        <v>120</v>
      </c>
      <c r="DM18" s="152" t="s">
        <v>22</v>
      </c>
      <c r="DN18" s="154">
        <v>6</v>
      </c>
      <c r="DO18" s="152"/>
      <c r="DP18" s="155">
        <f>COUNTA(DJ23:DJ24)</f>
        <v>1</v>
      </c>
      <c r="DQ18" s="152" t="s">
        <v>178</v>
      </c>
      <c r="DR18" s="152" t="s">
        <v>22</v>
      </c>
      <c r="DS18" s="153">
        <v>120</v>
      </c>
      <c r="DT18" s="152" t="s">
        <v>22</v>
      </c>
      <c r="DU18" s="154">
        <v>8</v>
      </c>
      <c r="DV18" s="152"/>
      <c r="DW18" s="155">
        <f>COUNTA(DQ23:DQ24)</f>
        <v>1</v>
      </c>
      <c r="DX18" s="152" t="s">
        <v>178</v>
      </c>
      <c r="DY18" s="152" t="s">
        <v>22</v>
      </c>
      <c r="DZ18" s="153">
        <v>120</v>
      </c>
      <c r="EA18" s="152" t="s">
        <v>22</v>
      </c>
      <c r="EB18" s="154">
        <v>5</v>
      </c>
      <c r="EC18" s="152"/>
      <c r="ED18" s="155">
        <f>COUNTA(DX23:DX24)</f>
        <v>1</v>
      </c>
      <c r="EE18" s="152" t="s">
        <v>178</v>
      </c>
      <c r="EF18" s="152" t="s">
        <v>22</v>
      </c>
      <c r="EG18" s="153">
        <v>120</v>
      </c>
      <c r="EH18" s="152" t="s">
        <v>22</v>
      </c>
      <c r="EI18" s="154">
        <v>7</v>
      </c>
      <c r="EJ18" s="152"/>
      <c r="EK18" s="218">
        <f>COUNTA(EE23:EE24)</f>
        <v>1</v>
      </c>
      <c r="EL18" s="152" t="s">
        <v>178</v>
      </c>
      <c r="EM18" s="152" t="s">
        <v>22</v>
      </c>
      <c r="EN18" s="153">
        <v>120</v>
      </c>
      <c r="EO18" s="152" t="s">
        <v>22</v>
      </c>
      <c r="EP18" s="154">
        <v>9</v>
      </c>
      <c r="EQ18" s="152"/>
      <c r="ER18" s="218">
        <f>COUNTA(EL23:EL24)</f>
        <v>1</v>
      </c>
      <c r="ES18" s="152" t="s">
        <v>178</v>
      </c>
      <c r="ET18" s="152" t="s">
        <v>22</v>
      </c>
      <c r="EU18" s="153">
        <v>121</v>
      </c>
      <c r="EV18" s="152" t="s">
        <v>22</v>
      </c>
      <c r="EW18" s="154">
        <v>1</v>
      </c>
      <c r="EX18" s="152"/>
      <c r="EY18" s="155">
        <f>COUNTA(ES23:ES24)</f>
        <v>1</v>
      </c>
      <c r="EZ18" s="156" t="s">
        <v>178</v>
      </c>
      <c r="FA18" s="152" t="s">
        <v>22</v>
      </c>
      <c r="FB18" s="153">
        <v>121</v>
      </c>
      <c r="FC18" s="152" t="s">
        <v>22</v>
      </c>
      <c r="FD18" s="154">
        <v>3</v>
      </c>
      <c r="FE18" s="152"/>
      <c r="FF18" s="194">
        <f>COUNTA(EZ23:EZ24)</f>
        <v>1</v>
      </c>
      <c r="FG18" s="156" t="s">
        <v>178</v>
      </c>
      <c r="FH18" s="152" t="s">
        <v>22</v>
      </c>
      <c r="FI18" s="153">
        <v>121</v>
      </c>
      <c r="FJ18" s="152" t="s">
        <v>22</v>
      </c>
      <c r="FK18" s="154">
        <v>6</v>
      </c>
      <c r="FL18" s="152"/>
      <c r="FM18" s="155">
        <f>COUNTA(FG23:FG24)</f>
        <v>1</v>
      </c>
      <c r="FN18" s="152" t="s">
        <v>178</v>
      </c>
      <c r="FO18" s="152" t="s">
        <v>22</v>
      </c>
      <c r="FP18" s="153">
        <v>121</v>
      </c>
      <c r="FQ18" s="152" t="s">
        <v>22</v>
      </c>
      <c r="FR18" s="154">
        <v>9</v>
      </c>
      <c r="FS18" s="152"/>
      <c r="FT18" s="194">
        <f>COUNTA(FN23:FN24)</f>
        <v>1</v>
      </c>
      <c r="FU18" s="213" t="s">
        <v>178</v>
      </c>
      <c r="FV18" s="152" t="s">
        <v>22</v>
      </c>
      <c r="FW18" s="153">
        <v>121</v>
      </c>
      <c r="FX18" s="152" t="s">
        <v>22</v>
      </c>
      <c r="FY18" s="154">
        <v>2</v>
      </c>
      <c r="FZ18" s="152"/>
      <c r="GA18" s="194">
        <f>COUNTA(FU23:FU24)</f>
        <v>1</v>
      </c>
      <c r="GB18" s="156" t="s">
        <v>178</v>
      </c>
      <c r="GC18" s="152" t="s">
        <v>22</v>
      </c>
      <c r="GD18" s="153">
        <v>121</v>
      </c>
      <c r="GE18" s="152" t="s">
        <v>22</v>
      </c>
      <c r="GF18" s="154">
        <v>4</v>
      </c>
      <c r="GG18" s="152"/>
      <c r="GH18" s="155">
        <f>COUNTA(GB23:GB24)</f>
        <v>1</v>
      </c>
      <c r="GI18" s="156" t="s">
        <v>178</v>
      </c>
      <c r="GJ18" s="152" t="s">
        <v>22</v>
      </c>
      <c r="GK18" s="153">
        <v>121</v>
      </c>
      <c r="GL18" s="152" t="s">
        <v>22</v>
      </c>
      <c r="GM18" s="154">
        <v>5</v>
      </c>
      <c r="GN18" s="152"/>
      <c r="GO18" s="155">
        <f>COUNTA(GI23:GI24)</f>
        <v>1</v>
      </c>
      <c r="GP18" s="152" t="s">
        <v>178</v>
      </c>
      <c r="GQ18" s="152" t="s">
        <v>22</v>
      </c>
      <c r="GR18" s="153">
        <v>121</v>
      </c>
      <c r="GS18" s="152" t="s">
        <v>22</v>
      </c>
      <c r="GT18" s="154">
        <v>7</v>
      </c>
      <c r="GU18" s="152"/>
      <c r="GV18" s="155">
        <f>COUNTA(GP23:GP24)</f>
        <v>1</v>
      </c>
      <c r="GW18" s="156" t="s">
        <v>178</v>
      </c>
      <c r="GX18" s="152" t="s">
        <v>22</v>
      </c>
      <c r="GY18" s="153">
        <v>121</v>
      </c>
      <c r="GZ18" s="152" t="s">
        <v>22</v>
      </c>
      <c r="HA18" s="154">
        <v>4</v>
      </c>
      <c r="HB18" s="152"/>
      <c r="HC18" s="155">
        <f>COUNTA(GW23:GW24)</f>
        <v>1</v>
      </c>
      <c r="HD18" s="156" t="s">
        <v>178</v>
      </c>
      <c r="HE18" s="152" t="s">
        <v>22</v>
      </c>
      <c r="HF18" s="153">
        <v>121</v>
      </c>
      <c r="HG18" s="152" t="s">
        <v>22</v>
      </c>
      <c r="HH18" s="154">
        <v>6</v>
      </c>
      <c r="HI18" s="152"/>
      <c r="HJ18" s="218">
        <f>COUNTA(HD23:HD24)</f>
        <v>1</v>
      </c>
      <c r="HK18" s="152" t="s">
        <v>178</v>
      </c>
      <c r="HL18" s="152" t="s">
        <v>22</v>
      </c>
      <c r="HM18" s="153">
        <v>121</v>
      </c>
      <c r="HN18" s="152" t="s">
        <v>22</v>
      </c>
      <c r="HO18" s="154">
        <v>8</v>
      </c>
      <c r="HP18" s="152"/>
      <c r="HQ18" s="218">
        <f>COUNTA(HK23:HK24)</f>
        <v>1</v>
      </c>
      <c r="HR18" s="152"/>
      <c r="HS18" s="152"/>
      <c r="HT18" s="153"/>
      <c r="HU18" s="152"/>
      <c r="HV18" s="255"/>
      <c r="HW18" s="152"/>
      <c r="HX18" s="155">
        <f>COUNTA(HR23:HR24)</f>
        <v>0</v>
      </c>
    </row>
    <row r="19" spans="2:232" ht="15" customHeight="1" outlineLevel="1" x14ac:dyDescent="0.25">
      <c r="B19" s="147"/>
      <c r="C19" s="147"/>
      <c r="D19" s="147"/>
      <c r="E19" s="147"/>
      <c r="F19" s="157"/>
      <c r="G19" s="147"/>
      <c r="H19" s="157"/>
      <c r="I19" s="175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V19" s="185" t="s">
        <v>224</v>
      </c>
      <c r="W19" s="186"/>
      <c r="X19" s="186"/>
      <c r="Y19" s="186"/>
      <c r="Z19" s="186"/>
      <c r="AA19" s="186"/>
      <c r="AB19" s="187"/>
      <c r="AC19" s="188"/>
      <c r="AD19" s="344" t="s">
        <v>225</v>
      </c>
      <c r="AE19" s="345"/>
      <c r="AF19" s="345"/>
      <c r="AG19" s="181" t="s">
        <v>75</v>
      </c>
      <c r="AH19" s="346" t="s">
        <v>284</v>
      </c>
      <c r="AI19" s="346"/>
      <c r="AJ19" s="346"/>
      <c r="AK19" s="363" t="s">
        <v>227</v>
      </c>
      <c r="AL19" s="345"/>
      <c r="AM19" s="345"/>
      <c r="AN19" s="181" t="s">
        <v>75</v>
      </c>
      <c r="AO19" s="346" t="s">
        <v>314</v>
      </c>
      <c r="AP19" s="346"/>
      <c r="AQ19" s="349"/>
      <c r="AR19" s="344" t="s">
        <v>227</v>
      </c>
      <c r="AS19" s="345"/>
      <c r="AT19" s="345"/>
      <c r="AU19" s="181" t="s">
        <v>75</v>
      </c>
      <c r="AV19" s="346" t="s">
        <v>314</v>
      </c>
      <c r="AW19" s="346"/>
      <c r="AX19" s="349"/>
      <c r="AY19" s="344" t="s">
        <v>227</v>
      </c>
      <c r="AZ19" s="345"/>
      <c r="BA19" s="345"/>
      <c r="BB19" s="181" t="s">
        <v>75</v>
      </c>
      <c r="BC19" s="346" t="s">
        <v>314</v>
      </c>
      <c r="BD19" s="346"/>
      <c r="BE19" s="346"/>
      <c r="BF19" s="344" t="s">
        <v>227</v>
      </c>
      <c r="BG19" s="345"/>
      <c r="BH19" s="345"/>
      <c r="BI19" s="181" t="s">
        <v>75</v>
      </c>
      <c r="BJ19" s="346" t="s">
        <v>314</v>
      </c>
      <c r="BK19" s="346"/>
      <c r="BL19" s="349"/>
      <c r="BM19" s="344" t="s">
        <v>227</v>
      </c>
      <c r="BN19" s="345"/>
      <c r="BO19" s="345"/>
      <c r="BP19" s="181" t="s">
        <v>75</v>
      </c>
      <c r="BQ19" s="346" t="s">
        <v>314</v>
      </c>
      <c r="BR19" s="346"/>
      <c r="BS19" s="349"/>
      <c r="BT19" s="363" t="s">
        <v>232</v>
      </c>
      <c r="BU19" s="345"/>
      <c r="BV19" s="345"/>
      <c r="BW19" s="181" t="s">
        <v>75</v>
      </c>
      <c r="BX19" s="346" t="s">
        <v>333</v>
      </c>
      <c r="BY19" s="346"/>
      <c r="BZ19" s="349"/>
      <c r="CA19" s="344" t="s">
        <v>232</v>
      </c>
      <c r="CB19" s="345"/>
      <c r="CC19" s="345"/>
      <c r="CD19" s="181" t="s">
        <v>75</v>
      </c>
      <c r="CE19" s="346" t="s">
        <v>333</v>
      </c>
      <c r="CF19" s="346"/>
      <c r="CG19" s="349"/>
      <c r="CH19" s="344" t="s">
        <v>232</v>
      </c>
      <c r="CI19" s="345"/>
      <c r="CJ19" s="345"/>
      <c r="CK19" s="181" t="s">
        <v>75</v>
      </c>
      <c r="CL19" s="346" t="s">
        <v>333</v>
      </c>
      <c r="CM19" s="346"/>
      <c r="CN19" s="349"/>
      <c r="CO19" s="344" t="s">
        <v>232</v>
      </c>
      <c r="CP19" s="345"/>
      <c r="CQ19" s="345"/>
      <c r="CR19" s="181" t="s">
        <v>75</v>
      </c>
      <c r="CS19" s="346" t="s">
        <v>333</v>
      </c>
      <c r="CT19" s="346"/>
      <c r="CU19" s="349"/>
      <c r="CV19" s="344" t="s">
        <v>232</v>
      </c>
      <c r="CW19" s="345"/>
      <c r="CX19" s="345"/>
      <c r="CY19" s="181" t="s">
        <v>75</v>
      </c>
      <c r="CZ19" s="346" t="s">
        <v>333</v>
      </c>
      <c r="DA19" s="346"/>
      <c r="DB19" s="349"/>
      <c r="DC19" s="344" t="s">
        <v>232</v>
      </c>
      <c r="DD19" s="345"/>
      <c r="DE19" s="345"/>
      <c r="DF19" s="181" t="s">
        <v>75</v>
      </c>
      <c r="DG19" s="346" t="s">
        <v>333</v>
      </c>
      <c r="DH19" s="346"/>
      <c r="DI19" s="349"/>
      <c r="DJ19" s="344" t="s">
        <v>232</v>
      </c>
      <c r="DK19" s="345"/>
      <c r="DL19" s="345"/>
      <c r="DM19" s="181" t="s">
        <v>75</v>
      </c>
      <c r="DN19" s="346" t="s">
        <v>333</v>
      </c>
      <c r="DO19" s="346"/>
      <c r="DP19" s="349"/>
      <c r="DQ19" s="345" t="s">
        <v>232</v>
      </c>
      <c r="DR19" s="345"/>
      <c r="DS19" s="345"/>
      <c r="DT19" s="181" t="s">
        <v>75</v>
      </c>
      <c r="DU19" s="346" t="s">
        <v>333</v>
      </c>
      <c r="DV19" s="346"/>
      <c r="DW19" s="349"/>
      <c r="DX19" s="345" t="s">
        <v>232</v>
      </c>
      <c r="DY19" s="345"/>
      <c r="DZ19" s="345"/>
      <c r="EA19" s="181" t="s">
        <v>75</v>
      </c>
      <c r="EB19" s="346" t="s">
        <v>333</v>
      </c>
      <c r="EC19" s="346"/>
      <c r="ED19" s="349"/>
      <c r="EE19" s="345" t="s">
        <v>232</v>
      </c>
      <c r="EF19" s="345"/>
      <c r="EG19" s="345"/>
      <c r="EH19" s="181" t="s">
        <v>75</v>
      </c>
      <c r="EI19" s="346" t="s">
        <v>333</v>
      </c>
      <c r="EJ19" s="346"/>
      <c r="EK19" s="347"/>
      <c r="EL19" s="345" t="s">
        <v>540</v>
      </c>
      <c r="EM19" s="345"/>
      <c r="EN19" s="345"/>
      <c r="EO19" s="181" t="s">
        <v>75</v>
      </c>
      <c r="EP19" s="346" t="s">
        <v>333</v>
      </c>
      <c r="EQ19" s="346"/>
      <c r="ER19" s="347"/>
      <c r="ES19" s="345" t="s">
        <v>243</v>
      </c>
      <c r="ET19" s="345"/>
      <c r="EU19" s="345"/>
      <c r="EV19" s="181" t="s">
        <v>75</v>
      </c>
      <c r="EW19" s="346" t="s">
        <v>361</v>
      </c>
      <c r="EX19" s="346"/>
      <c r="EY19" s="349"/>
      <c r="EZ19" s="344" t="s">
        <v>243</v>
      </c>
      <c r="FA19" s="345"/>
      <c r="FB19" s="345"/>
      <c r="FC19" s="181" t="s">
        <v>75</v>
      </c>
      <c r="FD19" s="346" t="s">
        <v>361</v>
      </c>
      <c r="FE19" s="346"/>
      <c r="FF19" s="346"/>
      <c r="FG19" s="344" t="s">
        <v>243</v>
      </c>
      <c r="FH19" s="345"/>
      <c r="FI19" s="345"/>
      <c r="FJ19" s="181" t="s">
        <v>75</v>
      </c>
      <c r="FK19" s="346" t="s">
        <v>361</v>
      </c>
      <c r="FL19" s="346"/>
      <c r="FM19" s="346"/>
      <c r="FN19" s="344" t="s">
        <v>243</v>
      </c>
      <c r="FO19" s="345"/>
      <c r="FP19" s="345"/>
      <c r="FQ19" s="181" t="s">
        <v>75</v>
      </c>
      <c r="FR19" s="346" t="s">
        <v>361</v>
      </c>
      <c r="FS19" s="346"/>
      <c r="FT19" s="346"/>
      <c r="FU19" s="363" t="s">
        <v>246</v>
      </c>
      <c r="FV19" s="345"/>
      <c r="FW19" s="345"/>
      <c r="FX19" s="181" t="s">
        <v>75</v>
      </c>
      <c r="FY19" s="346" t="s">
        <v>379</v>
      </c>
      <c r="FZ19" s="346"/>
      <c r="GA19" s="346"/>
      <c r="GB19" s="344" t="s">
        <v>246</v>
      </c>
      <c r="GC19" s="345"/>
      <c r="GD19" s="345"/>
      <c r="GE19" s="181" t="s">
        <v>75</v>
      </c>
      <c r="GF19" s="346" t="s">
        <v>379</v>
      </c>
      <c r="GG19" s="346"/>
      <c r="GH19" s="349"/>
      <c r="GI19" s="344" t="s">
        <v>246</v>
      </c>
      <c r="GJ19" s="345"/>
      <c r="GK19" s="345"/>
      <c r="GL19" s="181" t="s">
        <v>75</v>
      </c>
      <c r="GM19" s="346" t="s">
        <v>379</v>
      </c>
      <c r="GN19" s="346"/>
      <c r="GO19" s="349"/>
      <c r="GP19" s="345" t="s">
        <v>246</v>
      </c>
      <c r="GQ19" s="345"/>
      <c r="GR19" s="345"/>
      <c r="GS19" s="181" t="s">
        <v>75</v>
      </c>
      <c r="GT19" s="346" t="s">
        <v>379</v>
      </c>
      <c r="GU19" s="346"/>
      <c r="GV19" s="349"/>
      <c r="GW19" s="344" t="s">
        <v>246</v>
      </c>
      <c r="GX19" s="345"/>
      <c r="GY19" s="345"/>
      <c r="GZ19" s="181" t="s">
        <v>75</v>
      </c>
      <c r="HA19" s="346" t="s">
        <v>379</v>
      </c>
      <c r="HB19" s="346"/>
      <c r="HC19" s="349"/>
      <c r="HD19" s="344" t="s">
        <v>246</v>
      </c>
      <c r="HE19" s="345"/>
      <c r="HF19" s="345"/>
      <c r="HG19" s="181" t="s">
        <v>75</v>
      </c>
      <c r="HH19" s="346" t="s">
        <v>379</v>
      </c>
      <c r="HI19" s="346"/>
      <c r="HJ19" s="347"/>
      <c r="HK19" s="345" t="s">
        <v>542</v>
      </c>
      <c r="HL19" s="345"/>
      <c r="HM19" s="345"/>
      <c r="HN19" s="181" t="s">
        <v>75</v>
      </c>
      <c r="HO19" s="346" t="s">
        <v>379</v>
      </c>
      <c r="HP19" s="346"/>
      <c r="HQ19" s="347"/>
      <c r="HR19" s="345"/>
      <c r="HS19" s="345"/>
      <c r="HT19" s="345"/>
      <c r="HU19" s="181"/>
      <c r="HV19" s="256"/>
      <c r="HW19" s="189"/>
      <c r="HX19" s="190"/>
    </row>
    <row r="20" spans="2:232" ht="15" customHeight="1" outlineLevel="1" x14ac:dyDescent="0.25">
      <c r="B20" s="147"/>
      <c r="C20" s="147"/>
      <c r="D20" s="147"/>
      <c r="E20" s="147"/>
      <c r="F20" s="157"/>
      <c r="G20" s="147"/>
      <c r="H20" s="157"/>
      <c r="I20" s="175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V20" s="161" t="s">
        <v>199</v>
      </c>
      <c r="W20" s="12"/>
      <c r="X20" s="12"/>
      <c r="Y20" s="12"/>
      <c r="Z20" s="12"/>
      <c r="AA20" s="12"/>
      <c r="AB20" s="12"/>
      <c r="AC20" s="14"/>
      <c r="AD20" s="352" t="s">
        <v>201</v>
      </c>
      <c r="AE20" s="353"/>
      <c r="AF20" s="353"/>
      <c r="AG20" s="1" t="s">
        <v>57</v>
      </c>
      <c r="AH20" s="353" t="s">
        <v>221</v>
      </c>
      <c r="AI20" s="353"/>
      <c r="AJ20" s="353"/>
      <c r="AK20" s="364" t="s">
        <v>202</v>
      </c>
      <c r="AL20" s="337"/>
      <c r="AM20" s="337"/>
      <c r="AN20" s="1" t="s">
        <v>57</v>
      </c>
      <c r="AO20" s="337" t="s">
        <v>221</v>
      </c>
      <c r="AP20" s="337"/>
      <c r="AQ20" s="338"/>
      <c r="AR20" s="350" t="s">
        <v>221</v>
      </c>
      <c r="AS20" s="337"/>
      <c r="AT20" s="337"/>
      <c r="AU20" s="1" t="s">
        <v>57</v>
      </c>
      <c r="AV20" s="337" t="s">
        <v>228</v>
      </c>
      <c r="AW20" s="337"/>
      <c r="AX20" s="338"/>
      <c r="AY20" s="350" t="s">
        <v>228</v>
      </c>
      <c r="AZ20" s="337"/>
      <c r="BA20" s="337"/>
      <c r="BB20" s="1" t="s">
        <v>57</v>
      </c>
      <c r="BC20" s="337" t="s">
        <v>352</v>
      </c>
      <c r="BD20" s="337"/>
      <c r="BE20" s="337"/>
      <c r="BF20" s="350" t="s">
        <v>556</v>
      </c>
      <c r="BG20" s="337"/>
      <c r="BH20" s="337"/>
      <c r="BJ20" s="337"/>
      <c r="BK20" s="337"/>
      <c r="BL20" s="338"/>
      <c r="BM20" s="350" t="s">
        <v>353</v>
      </c>
      <c r="BN20" s="337"/>
      <c r="BO20" s="337"/>
      <c r="BQ20" s="337"/>
      <c r="BR20" s="337"/>
      <c r="BS20" s="337"/>
      <c r="BT20" s="364" t="s">
        <v>221</v>
      </c>
      <c r="BU20" s="337"/>
      <c r="BV20" s="337"/>
      <c r="BW20" s="1" t="s">
        <v>57</v>
      </c>
      <c r="BX20" s="337" t="s">
        <v>231</v>
      </c>
      <c r="BY20" s="337"/>
      <c r="BZ20" s="338"/>
      <c r="CA20" s="337" t="s">
        <v>231</v>
      </c>
      <c r="CB20" s="337"/>
      <c r="CC20" s="337"/>
      <c r="CD20" s="1" t="s">
        <v>57</v>
      </c>
      <c r="CE20" s="337" t="s">
        <v>221</v>
      </c>
      <c r="CF20" s="337"/>
      <c r="CG20" s="337"/>
      <c r="CH20" s="350" t="s">
        <v>221</v>
      </c>
      <c r="CI20" s="337"/>
      <c r="CJ20" s="337"/>
      <c r="CK20" s="1" t="s">
        <v>57</v>
      </c>
      <c r="CL20" s="337" t="s">
        <v>234</v>
      </c>
      <c r="CM20" s="337"/>
      <c r="CN20" s="338"/>
      <c r="CO20" s="350" t="s">
        <v>262</v>
      </c>
      <c r="CP20" s="337"/>
      <c r="CQ20" s="337"/>
      <c r="CR20" s="1" t="s">
        <v>57</v>
      </c>
      <c r="CS20" s="337" t="s">
        <v>233</v>
      </c>
      <c r="CT20" s="337"/>
      <c r="CU20" s="338"/>
      <c r="CV20" s="350" t="s">
        <v>228</v>
      </c>
      <c r="CW20" s="337"/>
      <c r="CX20" s="337"/>
      <c r="CY20" s="1" t="s">
        <v>57</v>
      </c>
      <c r="CZ20" s="337" t="s">
        <v>231</v>
      </c>
      <c r="DA20" s="337"/>
      <c r="DB20" s="338"/>
      <c r="DC20" s="350" t="s">
        <v>231</v>
      </c>
      <c r="DD20" s="337"/>
      <c r="DE20" s="337"/>
      <c r="DF20" s="1" t="s">
        <v>57</v>
      </c>
      <c r="DG20" s="337" t="s">
        <v>252</v>
      </c>
      <c r="DH20" s="337"/>
      <c r="DI20" s="338"/>
      <c r="DJ20" s="350" t="s">
        <v>252</v>
      </c>
      <c r="DK20" s="337"/>
      <c r="DL20" s="337"/>
      <c r="DM20" s="1" t="s">
        <v>57</v>
      </c>
      <c r="DN20" s="337" t="s">
        <v>234</v>
      </c>
      <c r="DO20" s="337"/>
      <c r="DP20" s="338"/>
      <c r="DQ20" s="350" t="s">
        <v>233</v>
      </c>
      <c r="DR20" s="337"/>
      <c r="DS20" s="337"/>
      <c r="DT20" s="191"/>
      <c r="DU20" s="337"/>
      <c r="DV20" s="337"/>
      <c r="DW20" s="338"/>
      <c r="DX20" s="337" t="s">
        <v>252</v>
      </c>
      <c r="DY20" s="337"/>
      <c r="DZ20" s="337"/>
      <c r="EA20" s="1" t="s">
        <v>57</v>
      </c>
      <c r="EB20" s="337" t="s">
        <v>221</v>
      </c>
      <c r="EC20" s="337"/>
      <c r="ED20" s="337"/>
      <c r="EE20" s="350" t="s">
        <v>231</v>
      </c>
      <c r="EF20" s="337"/>
      <c r="EG20" s="337"/>
      <c r="EI20" s="337"/>
      <c r="EJ20" s="337"/>
      <c r="EK20" s="351"/>
      <c r="EL20" s="337" t="s">
        <v>383</v>
      </c>
      <c r="EM20" s="337"/>
      <c r="EN20" s="337"/>
      <c r="EO20" s="191"/>
      <c r="EP20" s="337"/>
      <c r="EQ20" s="337"/>
      <c r="ER20" s="351"/>
      <c r="ES20" s="337" t="s">
        <v>384</v>
      </c>
      <c r="ET20" s="337"/>
      <c r="EU20" s="337"/>
      <c r="EV20" s="1" t="s">
        <v>57</v>
      </c>
      <c r="EW20" s="337" t="s">
        <v>228</v>
      </c>
      <c r="EX20" s="337"/>
      <c r="EY20" s="338"/>
      <c r="EZ20" s="350" t="s">
        <v>228</v>
      </c>
      <c r="FA20" s="337"/>
      <c r="FB20" s="337"/>
      <c r="FC20" s="1" t="s">
        <v>57</v>
      </c>
      <c r="FD20" s="337" t="s">
        <v>352</v>
      </c>
      <c r="FE20" s="337"/>
      <c r="FF20" s="337"/>
      <c r="FG20" s="350" t="s">
        <v>352</v>
      </c>
      <c r="FH20" s="337"/>
      <c r="FI20" s="337"/>
      <c r="FJ20" s="191"/>
      <c r="FK20" s="337"/>
      <c r="FL20" s="337"/>
      <c r="FM20" s="338"/>
      <c r="FN20" s="350" t="s">
        <v>353</v>
      </c>
      <c r="FO20" s="337"/>
      <c r="FP20" s="337"/>
      <c r="FR20" s="337"/>
      <c r="FS20" s="337"/>
      <c r="FT20" s="337"/>
      <c r="FU20" s="364" t="s">
        <v>252</v>
      </c>
      <c r="FV20" s="337"/>
      <c r="FW20" s="337"/>
      <c r="FX20" s="1" t="s">
        <v>57</v>
      </c>
      <c r="FY20" s="337" t="s">
        <v>231</v>
      </c>
      <c r="FZ20" s="337"/>
      <c r="GA20" s="337"/>
      <c r="GB20" s="350" t="s">
        <v>231</v>
      </c>
      <c r="GC20" s="337"/>
      <c r="GD20" s="337"/>
      <c r="GE20" s="1" t="s">
        <v>57</v>
      </c>
      <c r="GF20" s="337" t="s">
        <v>252</v>
      </c>
      <c r="GG20" s="337"/>
      <c r="GH20" s="338"/>
      <c r="GI20" s="350" t="s">
        <v>252</v>
      </c>
      <c r="GJ20" s="337"/>
      <c r="GK20" s="337"/>
      <c r="GL20" s="1" t="s">
        <v>57</v>
      </c>
      <c r="GM20" s="337" t="s">
        <v>234</v>
      </c>
      <c r="GN20" s="337"/>
      <c r="GO20" s="338"/>
      <c r="GP20" s="337" t="s">
        <v>233</v>
      </c>
      <c r="GQ20" s="337"/>
      <c r="GR20" s="337"/>
      <c r="GS20" s="191"/>
      <c r="GT20" s="337"/>
      <c r="GU20" s="337"/>
      <c r="GV20" s="338"/>
      <c r="GW20" s="350" t="s">
        <v>382</v>
      </c>
      <c r="GX20" s="337"/>
      <c r="GY20" s="337"/>
      <c r="GZ20" s="1" t="s">
        <v>57</v>
      </c>
      <c r="HA20" s="337" t="s">
        <v>426</v>
      </c>
      <c r="HB20" s="337"/>
      <c r="HC20" s="338"/>
      <c r="HD20" s="350" t="s">
        <v>231</v>
      </c>
      <c r="HE20" s="337"/>
      <c r="HF20" s="337"/>
      <c r="HG20" s="191"/>
      <c r="HH20" s="337"/>
      <c r="HI20" s="337"/>
      <c r="HJ20" s="351"/>
      <c r="HK20" s="337" t="s">
        <v>383</v>
      </c>
      <c r="HL20" s="337"/>
      <c r="HM20" s="337"/>
      <c r="HO20" s="337"/>
      <c r="HP20" s="337"/>
      <c r="HQ20" s="351"/>
      <c r="HR20" s="337"/>
      <c r="HS20" s="337"/>
      <c r="HT20" s="337"/>
      <c r="HU20" s="191"/>
      <c r="HV20" s="337"/>
      <c r="HW20" s="337"/>
      <c r="HX20" s="338"/>
    </row>
    <row r="21" spans="2:232" ht="15" customHeight="1" outlineLevel="1" x14ac:dyDescent="0.25">
      <c r="B21" s="147"/>
      <c r="C21" s="147"/>
      <c r="D21" s="147"/>
      <c r="E21" s="147"/>
      <c r="F21" s="157"/>
      <c r="G21" s="147"/>
      <c r="H21" s="157"/>
      <c r="I21" s="175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V21" s="161" t="s">
        <v>200</v>
      </c>
      <c r="W21" s="12"/>
      <c r="X21" s="12"/>
      <c r="Y21" s="12"/>
      <c r="Z21" s="12"/>
      <c r="AA21" s="12"/>
      <c r="AB21" s="12"/>
      <c r="AC21" s="14"/>
      <c r="AD21" s="352" t="s">
        <v>201</v>
      </c>
      <c r="AE21" s="353"/>
      <c r="AF21" s="353"/>
      <c r="AG21" s="1" t="s">
        <v>57</v>
      </c>
      <c r="AH21" s="353" t="s">
        <v>220</v>
      </c>
      <c r="AI21" s="353"/>
      <c r="AJ21" s="353"/>
      <c r="AK21" s="367" t="s">
        <v>220</v>
      </c>
      <c r="AL21" s="353"/>
      <c r="AM21" s="353"/>
      <c r="AO21" s="353"/>
      <c r="AP21" s="353"/>
      <c r="AQ21" s="355"/>
      <c r="AR21" s="352" t="s">
        <v>220</v>
      </c>
      <c r="AS21" s="353"/>
      <c r="AT21" s="353"/>
      <c r="AV21" s="353"/>
      <c r="AW21" s="353"/>
      <c r="AX21" s="355"/>
      <c r="AY21" s="352" t="s">
        <v>229</v>
      </c>
      <c r="AZ21" s="353"/>
      <c r="BA21" s="353"/>
      <c r="BC21" s="353"/>
      <c r="BD21" s="353"/>
      <c r="BE21" s="353"/>
      <c r="BF21" s="352" t="s">
        <v>229</v>
      </c>
      <c r="BG21" s="353"/>
      <c r="BH21" s="353"/>
      <c r="BJ21" s="353"/>
      <c r="BK21" s="353"/>
      <c r="BL21" s="355"/>
      <c r="BM21" s="352" t="s">
        <v>220</v>
      </c>
      <c r="BN21" s="353"/>
      <c r="BO21" s="353"/>
      <c r="BP21" s="1" t="s">
        <v>57</v>
      </c>
      <c r="BQ21" s="353" t="s">
        <v>237</v>
      </c>
      <c r="BR21" s="353"/>
      <c r="BS21" s="353"/>
      <c r="BT21" s="367" t="s">
        <v>229</v>
      </c>
      <c r="BU21" s="353"/>
      <c r="BV21" s="353"/>
      <c r="BX21" s="353"/>
      <c r="BY21" s="353"/>
      <c r="BZ21" s="355"/>
      <c r="CA21" s="352" t="s">
        <v>229</v>
      </c>
      <c r="CB21" s="353"/>
      <c r="CC21" s="353"/>
      <c r="CE21" s="353"/>
      <c r="CF21" s="353"/>
      <c r="CG21" s="353"/>
      <c r="CH21" s="352" t="s">
        <v>229</v>
      </c>
      <c r="CI21" s="353"/>
      <c r="CJ21" s="353"/>
      <c r="CL21" s="353"/>
      <c r="CM21" s="353"/>
      <c r="CN21" s="355"/>
      <c r="CO21" s="352" t="s">
        <v>229</v>
      </c>
      <c r="CP21" s="353"/>
      <c r="CQ21" s="353"/>
      <c r="CS21" s="353"/>
      <c r="CT21" s="353"/>
      <c r="CU21" s="355"/>
      <c r="CV21" s="352" t="s">
        <v>229</v>
      </c>
      <c r="CW21" s="353"/>
      <c r="CX21" s="353"/>
      <c r="CZ21" s="353"/>
      <c r="DA21" s="353"/>
      <c r="DB21" s="353"/>
      <c r="DC21" s="352" t="s">
        <v>229</v>
      </c>
      <c r="DD21" s="353"/>
      <c r="DE21" s="353"/>
      <c r="DG21" s="353"/>
      <c r="DH21" s="353"/>
      <c r="DI21" s="355"/>
      <c r="DJ21" s="352" t="s">
        <v>229</v>
      </c>
      <c r="DK21" s="353"/>
      <c r="DL21" s="353"/>
      <c r="DN21" s="353"/>
      <c r="DO21" s="353"/>
      <c r="DP21" s="355"/>
      <c r="DQ21" s="352" t="s">
        <v>229</v>
      </c>
      <c r="DR21" s="353"/>
      <c r="DS21" s="353"/>
      <c r="DU21" s="353"/>
      <c r="DV21" s="353"/>
      <c r="DW21" s="355"/>
      <c r="DX21" s="353" t="s">
        <v>229</v>
      </c>
      <c r="DY21" s="353"/>
      <c r="DZ21" s="353"/>
      <c r="EB21" s="353"/>
      <c r="EC21" s="353"/>
      <c r="ED21" s="353"/>
      <c r="EE21" s="352" t="s">
        <v>229</v>
      </c>
      <c r="EF21" s="353"/>
      <c r="EG21" s="353"/>
      <c r="EI21" s="353"/>
      <c r="EJ21" s="353"/>
      <c r="EK21" s="354"/>
      <c r="EL21" s="353" t="s">
        <v>229</v>
      </c>
      <c r="EM21" s="353"/>
      <c r="EN21" s="353"/>
      <c r="EP21" s="353"/>
      <c r="EQ21" s="353"/>
      <c r="ER21" s="354"/>
      <c r="ES21" s="353" t="s">
        <v>220</v>
      </c>
      <c r="ET21" s="353"/>
      <c r="EU21" s="353"/>
      <c r="EW21" s="353"/>
      <c r="EX21" s="353"/>
      <c r="EY21" s="355"/>
      <c r="EZ21" s="352" t="s">
        <v>229</v>
      </c>
      <c r="FA21" s="353"/>
      <c r="FB21" s="353"/>
      <c r="FD21" s="353"/>
      <c r="FE21" s="353"/>
      <c r="FF21" s="353"/>
      <c r="FG21" s="352" t="s">
        <v>229</v>
      </c>
      <c r="FH21" s="353"/>
      <c r="FI21" s="353"/>
      <c r="FK21" s="353"/>
      <c r="FL21" s="353"/>
      <c r="FM21" s="355"/>
      <c r="FN21" s="352" t="s">
        <v>220</v>
      </c>
      <c r="FO21" s="353"/>
      <c r="FP21" s="353"/>
      <c r="FQ21" s="1" t="s">
        <v>57</v>
      </c>
      <c r="FR21" s="353" t="s">
        <v>237</v>
      </c>
      <c r="FS21" s="353"/>
      <c r="FT21" s="353"/>
      <c r="FU21" s="367" t="s">
        <v>229</v>
      </c>
      <c r="FV21" s="353"/>
      <c r="FW21" s="353"/>
      <c r="FY21" s="353"/>
      <c r="FZ21" s="353"/>
      <c r="GA21" s="353"/>
      <c r="GB21" s="352" t="s">
        <v>229</v>
      </c>
      <c r="GC21" s="353"/>
      <c r="GD21" s="353"/>
      <c r="GF21" s="353"/>
      <c r="GG21" s="353"/>
      <c r="GH21" s="355"/>
      <c r="GI21" s="352" t="s">
        <v>229</v>
      </c>
      <c r="GJ21" s="353"/>
      <c r="GK21" s="353"/>
      <c r="GM21" s="353"/>
      <c r="GN21" s="353"/>
      <c r="GO21" s="355"/>
      <c r="GP21" s="353" t="s">
        <v>229</v>
      </c>
      <c r="GQ21" s="353"/>
      <c r="GR21" s="353"/>
      <c r="GT21" s="353"/>
      <c r="GU21" s="353"/>
      <c r="GV21" s="355"/>
      <c r="GW21" s="352" t="s">
        <v>229</v>
      </c>
      <c r="GX21" s="353"/>
      <c r="GY21" s="353"/>
      <c r="HA21" s="353"/>
      <c r="HB21" s="353"/>
      <c r="HC21" s="355"/>
      <c r="HD21" s="352" t="s">
        <v>229</v>
      </c>
      <c r="HE21" s="353"/>
      <c r="HF21" s="353"/>
      <c r="HH21" s="353"/>
      <c r="HI21" s="353"/>
      <c r="HJ21" s="354"/>
      <c r="HK21" s="353" t="s">
        <v>229</v>
      </c>
      <c r="HL21" s="353"/>
      <c r="HM21" s="353"/>
      <c r="HO21" s="353"/>
      <c r="HP21" s="353"/>
      <c r="HQ21" s="354"/>
      <c r="HR21" s="353"/>
      <c r="HS21" s="353"/>
      <c r="HT21" s="353"/>
      <c r="HV21" s="353"/>
      <c r="HW21" s="353"/>
      <c r="HX21" s="355"/>
    </row>
    <row r="22" spans="2:232" ht="15" customHeight="1" outlineLevel="1" x14ac:dyDescent="0.25">
      <c r="B22" s="147"/>
      <c r="C22" s="147"/>
      <c r="D22" s="147"/>
      <c r="E22" s="147"/>
      <c r="F22" s="157"/>
      <c r="G22" s="147"/>
      <c r="H22" s="157"/>
      <c r="I22" s="175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V22" s="162"/>
      <c r="W22" s="159"/>
      <c r="X22" s="159"/>
      <c r="Y22" s="159"/>
      <c r="Z22" s="159"/>
      <c r="AA22" s="159"/>
      <c r="AB22" s="159"/>
      <c r="AC22" s="160"/>
      <c r="AD22" s="361"/>
      <c r="AE22" s="356"/>
      <c r="AF22" s="356"/>
      <c r="AG22" s="163"/>
      <c r="AH22" s="356"/>
      <c r="AI22" s="356"/>
      <c r="AJ22" s="356"/>
      <c r="AK22" s="368"/>
      <c r="AL22" s="356"/>
      <c r="AM22" s="356"/>
      <c r="AN22" s="163"/>
      <c r="AO22" s="356"/>
      <c r="AP22" s="356"/>
      <c r="AQ22" s="357"/>
      <c r="AR22" s="361"/>
      <c r="AS22" s="356"/>
      <c r="AT22" s="356"/>
      <c r="AU22" s="163"/>
      <c r="AV22" s="356"/>
      <c r="AW22" s="356"/>
      <c r="AX22" s="357"/>
      <c r="AY22" s="361"/>
      <c r="AZ22" s="356"/>
      <c r="BA22" s="356"/>
      <c r="BB22" s="163"/>
      <c r="BC22" s="356"/>
      <c r="BD22" s="356"/>
      <c r="BE22" s="356"/>
      <c r="BF22" s="361"/>
      <c r="BG22" s="356"/>
      <c r="BH22" s="356"/>
      <c r="BI22" s="163"/>
      <c r="BJ22" s="356"/>
      <c r="BK22" s="356"/>
      <c r="BL22" s="357"/>
      <c r="BM22" s="361"/>
      <c r="BN22" s="356"/>
      <c r="BO22" s="356"/>
      <c r="BP22" s="163"/>
      <c r="BQ22" s="356"/>
      <c r="BR22" s="356"/>
      <c r="BS22" s="356"/>
      <c r="BT22" s="368"/>
      <c r="BU22" s="356"/>
      <c r="BV22" s="356"/>
      <c r="BW22" s="163"/>
      <c r="BX22" s="356"/>
      <c r="BY22" s="356"/>
      <c r="BZ22" s="357"/>
      <c r="CA22" s="361"/>
      <c r="CB22" s="356"/>
      <c r="CC22" s="356"/>
      <c r="CD22" s="163"/>
      <c r="CE22" s="356"/>
      <c r="CF22" s="356"/>
      <c r="CG22" s="357"/>
      <c r="CH22" s="361"/>
      <c r="CI22" s="356"/>
      <c r="CJ22" s="356"/>
      <c r="CK22" s="163"/>
      <c r="CL22" s="356"/>
      <c r="CM22" s="356"/>
      <c r="CN22" s="357"/>
      <c r="CO22" s="361"/>
      <c r="CP22" s="356"/>
      <c r="CQ22" s="356"/>
      <c r="CR22" s="163"/>
      <c r="CS22" s="356"/>
      <c r="CT22" s="356"/>
      <c r="CU22" s="357"/>
      <c r="CV22" s="361"/>
      <c r="CW22" s="356"/>
      <c r="CX22" s="356"/>
      <c r="CY22" s="163"/>
      <c r="CZ22" s="356"/>
      <c r="DA22" s="356"/>
      <c r="DB22" s="357"/>
      <c r="DC22" s="361"/>
      <c r="DD22" s="356"/>
      <c r="DE22" s="356"/>
      <c r="DF22" s="163"/>
      <c r="DG22" s="356"/>
      <c r="DH22" s="356"/>
      <c r="DI22" s="357"/>
      <c r="DJ22" s="361"/>
      <c r="DK22" s="356"/>
      <c r="DL22" s="356"/>
      <c r="DM22" s="163"/>
      <c r="DN22" s="356"/>
      <c r="DO22" s="356"/>
      <c r="DP22" s="357"/>
      <c r="DQ22" s="361"/>
      <c r="DR22" s="356"/>
      <c r="DS22" s="356"/>
      <c r="DT22" s="163"/>
      <c r="DU22" s="356"/>
      <c r="DV22" s="356"/>
      <c r="DW22" s="357"/>
      <c r="DX22" s="356"/>
      <c r="DY22" s="356"/>
      <c r="DZ22" s="356"/>
      <c r="EA22" s="163"/>
      <c r="EB22" s="356"/>
      <c r="EC22" s="356"/>
      <c r="ED22" s="357"/>
      <c r="EE22" s="361"/>
      <c r="EF22" s="356"/>
      <c r="EG22" s="356"/>
      <c r="EH22" s="163"/>
      <c r="EI22" s="356"/>
      <c r="EJ22" s="356"/>
      <c r="EK22" s="359"/>
      <c r="EL22" s="356"/>
      <c r="EM22" s="356"/>
      <c r="EN22" s="356"/>
      <c r="EO22" s="163"/>
      <c r="EP22" s="356"/>
      <c r="EQ22" s="356"/>
      <c r="ER22" s="359"/>
      <c r="ES22" s="356"/>
      <c r="ET22" s="356"/>
      <c r="EU22" s="356"/>
      <c r="EV22" s="163"/>
      <c r="EW22" s="356"/>
      <c r="EX22" s="356"/>
      <c r="EY22" s="357"/>
      <c r="EZ22" s="361"/>
      <c r="FA22" s="356"/>
      <c r="FB22" s="356"/>
      <c r="FC22" s="163"/>
      <c r="FD22" s="356"/>
      <c r="FE22" s="356"/>
      <c r="FF22" s="356"/>
      <c r="FG22" s="361"/>
      <c r="FH22" s="356"/>
      <c r="FI22" s="356"/>
      <c r="FJ22" s="163"/>
      <c r="FK22" s="356"/>
      <c r="FL22" s="356"/>
      <c r="FM22" s="357"/>
      <c r="FN22" s="361"/>
      <c r="FO22" s="356"/>
      <c r="FP22" s="356"/>
      <c r="FQ22" s="163"/>
      <c r="FR22" s="356"/>
      <c r="FS22" s="356"/>
      <c r="FT22" s="356"/>
      <c r="FU22" s="368"/>
      <c r="FV22" s="356"/>
      <c r="FW22" s="356"/>
      <c r="FX22" s="163"/>
      <c r="FY22" s="356"/>
      <c r="FZ22" s="356"/>
      <c r="GA22" s="356"/>
      <c r="GB22" s="361"/>
      <c r="GC22" s="356"/>
      <c r="GD22" s="356"/>
      <c r="GE22" s="163"/>
      <c r="GF22" s="356"/>
      <c r="GG22" s="356"/>
      <c r="GH22" s="357"/>
      <c r="GI22" s="361"/>
      <c r="GJ22" s="356"/>
      <c r="GK22" s="356"/>
      <c r="GL22" s="163"/>
      <c r="GM22" s="356"/>
      <c r="GN22" s="356"/>
      <c r="GO22" s="357"/>
      <c r="GP22" s="356"/>
      <c r="GQ22" s="356"/>
      <c r="GR22" s="356"/>
      <c r="GS22" s="163"/>
      <c r="GT22" s="356"/>
      <c r="GU22" s="356"/>
      <c r="GV22" s="357"/>
      <c r="GW22" s="361"/>
      <c r="GX22" s="356"/>
      <c r="GY22" s="356"/>
      <c r="GZ22" s="163"/>
      <c r="HA22" s="356"/>
      <c r="HB22" s="356"/>
      <c r="HC22" s="357"/>
      <c r="HD22" s="361"/>
      <c r="HE22" s="356"/>
      <c r="HF22" s="356"/>
      <c r="HG22" s="163"/>
      <c r="HH22" s="356"/>
      <c r="HI22" s="356"/>
      <c r="HJ22" s="359"/>
      <c r="HK22" s="356"/>
      <c r="HL22" s="356"/>
      <c r="HM22" s="356"/>
      <c r="HN22" s="163"/>
      <c r="HO22" s="356"/>
      <c r="HP22" s="356"/>
      <c r="HQ22" s="359"/>
      <c r="HR22" s="356"/>
      <c r="HS22" s="356"/>
      <c r="HT22" s="356"/>
      <c r="HU22" s="163"/>
      <c r="HV22" s="356"/>
      <c r="HW22" s="356"/>
      <c r="HX22" s="357"/>
    </row>
    <row r="23" spans="2:232" outlineLevel="1" x14ac:dyDescent="0.25">
      <c r="B23" s="32"/>
      <c r="C23" s="333">
        <v>1</v>
      </c>
      <c r="D23" s="164" t="s">
        <v>21</v>
      </c>
      <c r="E23" s="34"/>
      <c r="F23" s="165" t="s">
        <v>530</v>
      </c>
      <c r="G23" s="165" t="s">
        <v>529</v>
      </c>
      <c r="H23" s="165" t="s">
        <v>92</v>
      </c>
      <c r="I23" s="176" t="s">
        <v>180</v>
      </c>
      <c r="J23" s="165" t="s">
        <v>171</v>
      </c>
      <c r="K23" s="165">
        <v>2031</v>
      </c>
      <c r="L23" s="165">
        <v>1</v>
      </c>
      <c r="M23" s="165"/>
      <c r="N23" s="165"/>
      <c r="O23" s="165"/>
      <c r="P23" s="165"/>
      <c r="Q23" s="165"/>
      <c r="R23" s="165"/>
      <c r="S23" s="165"/>
      <c r="T23" s="165"/>
      <c r="V23" s="11" t="s">
        <v>283</v>
      </c>
      <c r="W23" s="12"/>
      <c r="X23" s="12"/>
      <c r="Y23" s="12"/>
      <c r="Z23" s="12"/>
      <c r="AA23" s="12"/>
      <c r="AB23" s="12"/>
      <c r="AC23" s="14"/>
      <c r="AD23" s="166">
        <f>$C23</f>
        <v>1</v>
      </c>
      <c r="AE23" s="358" t="s">
        <v>175</v>
      </c>
      <c r="AF23" s="358"/>
      <c r="AG23" s="358"/>
      <c r="AH23" s="158"/>
      <c r="AI23" s="337"/>
      <c r="AJ23" s="337"/>
      <c r="AK23" s="214">
        <f>$C23</f>
        <v>1</v>
      </c>
      <c r="AL23" s="358" t="s">
        <v>175</v>
      </c>
      <c r="AM23" s="358"/>
      <c r="AN23" s="358"/>
      <c r="AO23" s="32"/>
      <c r="AP23" s="353"/>
      <c r="AQ23" s="355"/>
      <c r="AR23" s="166">
        <f>$C23</f>
        <v>1</v>
      </c>
      <c r="AS23" s="358" t="s">
        <v>532</v>
      </c>
      <c r="AT23" s="358"/>
      <c r="AU23" s="358"/>
      <c r="AV23" s="32"/>
      <c r="AW23" s="353"/>
      <c r="AX23" s="355"/>
      <c r="AY23" s="166">
        <f>$C23</f>
        <v>1</v>
      </c>
      <c r="AZ23" s="358" t="s">
        <v>531</v>
      </c>
      <c r="BA23" s="358"/>
      <c r="BB23" s="358"/>
      <c r="BC23" s="32"/>
      <c r="BD23" s="353"/>
      <c r="BE23" s="353"/>
      <c r="BF23" s="166">
        <f>$C23</f>
        <v>1</v>
      </c>
      <c r="BG23" s="358" t="s">
        <v>531</v>
      </c>
      <c r="BH23" s="358"/>
      <c r="BI23" s="358"/>
      <c r="BJ23" s="158"/>
      <c r="BK23" s="337"/>
      <c r="BL23" s="338"/>
      <c r="BM23" s="166">
        <f>$C23</f>
        <v>1</v>
      </c>
      <c r="BN23" s="358" t="s">
        <v>531</v>
      </c>
      <c r="BO23" s="358"/>
      <c r="BP23" s="358"/>
      <c r="BQ23" s="158"/>
      <c r="BR23" s="337"/>
      <c r="BS23" s="337"/>
      <c r="BT23" s="214">
        <f>$C23</f>
        <v>1</v>
      </c>
      <c r="BU23" s="358" t="s">
        <v>538</v>
      </c>
      <c r="BV23" s="358"/>
      <c r="BW23" s="358"/>
      <c r="BX23" s="158"/>
      <c r="BY23" s="337"/>
      <c r="BZ23" s="338"/>
      <c r="CA23" s="166">
        <f>$C23</f>
        <v>1</v>
      </c>
      <c r="CB23" s="358" t="s">
        <v>532</v>
      </c>
      <c r="CC23" s="358"/>
      <c r="CD23" s="358"/>
      <c r="CE23" s="158"/>
      <c r="CF23" s="337"/>
      <c r="CG23" s="338"/>
      <c r="CH23" s="166">
        <f>$C23</f>
        <v>1</v>
      </c>
      <c r="CI23" s="358" t="s">
        <v>532</v>
      </c>
      <c r="CJ23" s="358"/>
      <c r="CK23" s="358"/>
      <c r="CL23" s="158"/>
      <c r="CM23" s="337"/>
      <c r="CN23" s="338"/>
      <c r="CO23" s="166">
        <f>$C23</f>
        <v>1</v>
      </c>
      <c r="CP23" s="358" t="s">
        <v>173</v>
      </c>
      <c r="CQ23" s="358"/>
      <c r="CR23" s="358"/>
      <c r="CS23" s="158"/>
      <c r="CT23" s="337"/>
      <c r="CU23" s="338"/>
      <c r="CV23" s="166">
        <f>$C23</f>
        <v>1</v>
      </c>
      <c r="CW23" s="358" t="s">
        <v>531</v>
      </c>
      <c r="CX23" s="358"/>
      <c r="CY23" s="358"/>
      <c r="CZ23" s="158"/>
      <c r="DA23" s="337"/>
      <c r="DB23" s="338"/>
      <c r="DC23" s="166">
        <f>$C23</f>
        <v>1</v>
      </c>
      <c r="DD23" s="358" t="s">
        <v>531</v>
      </c>
      <c r="DE23" s="358"/>
      <c r="DF23" s="358"/>
      <c r="DG23" s="158"/>
      <c r="DH23" s="337"/>
      <c r="DI23" s="338"/>
      <c r="DJ23" s="166">
        <f>$C23</f>
        <v>1</v>
      </c>
      <c r="DK23" s="358" t="s">
        <v>531</v>
      </c>
      <c r="DL23" s="358"/>
      <c r="DM23" s="358"/>
      <c r="DN23" s="158"/>
      <c r="DO23" s="337"/>
      <c r="DP23" s="338"/>
      <c r="DQ23" s="166">
        <f>$C23</f>
        <v>1</v>
      </c>
      <c r="DR23" s="358" t="s">
        <v>173</v>
      </c>
      <c r="DS23" s="358"/>
      <c r="DT23" s="358"/>
      <c r="DU23" s="158"/>
      <c r="DV23" s="337"/>
      <c r="DW23" s="338"/>
      <c r="DX23" s="166">
        <f>$C23</f>
        <v>1</v>
      </c>
      <c r="DY23" s="358" t="s">
        <v>532</v>
      </c>
      <c r="DZ23" s="358"/>
      <c r="EA23" s="358"/>
      <c r="EB23" s="158"/>
      <c r="EC23" s="337"/>
      <c r="ED23" s="338"/>
      <c r="EE23" s="166">
        <f>$C23</f>
        <v>1</v>
      </c>
      <c r="EF23" s="358" t="s">
        <v>531</v>
      </c>
      <c r="EG23" s="358"/>
      <c r="EH23" s="358"/>
      <c r="EI23" s="158"/>
      <c r="EJ23" s="337"/>
      <c r="EK23" s="351"/>
      <c r="EL23" s="193">
        <f>$C23</f>
        <v>1</v>
      </c>
      <c r="EM23" s="358" t="s">
        <v>645</v>
      </c>
      <c r="EN23" s="358"/>
      <c r="EO23" s="358"/>
      <c r="EP23" s="158"/>
      <c r="EQ23" s="337"/>
      <c r="ER23" s="351"/>
      <c r="ES23" s="193">
        <f>$C23</f>
        <v>1</v>
      </c>
      <c r="ET23" s="358" t="s">
        <v>175</v>
      </c>
      <c r="EU23" s="358"/>
      <c r="EV23" s="358"/>
      <c r="EW23" s="32"/>
      <c r="EX23" s="353"/>
      <c r="EY23" s="355"/>
      <c r="EZ23" s="166">
        <f>$C23</f>
        <v>1</v>
      </c>
      <c r="FA23" s="358" t="s">
        <v>532</v>
      </c>
      <c r="FB23" s="358"/>
      <c r="FC23" s="358"/>
      <c r="FD23" s="32"/>
      <c r="FE23" s="353"/>
      <c r="FF23" s="353"/>
      <c r="FG23" s="166">
        <f>$C23</f>
        <v>1</v>
      </c>
      <c r="FH23" s="358" t="s">
        <v>532</v>
      </c>
      <c r="FI23" s="358"/>
      <c r="FJ23" s="358"/>
      <c r="FK23" s="32"/>
      <c r="FL23" s="337"/>
      <c r="FM23" s="338"/>
      <c r="FN23" s="166">
        <f>$C23</f>
        <v>1</v>
      </c>
      <c r="FO23" s="358" t="s">
        <v>532</v>
      </c>
      <c r="FP23" s="358"/>
      <c r="FQ23" s="358"/>
      <c r="FR23" s="32"/>
      <c r="FS23" s="337"/>
      <c r="FT23" s="337"/>
      <c r="FU23" s="214">
        <f>$C23</f>
        <v>1</v>
      </c>
      <c r="FV23" s="358" t="s">
        <v>532</v>
      </c>
      <c r="FW23" s="358"/>
      <c r="FX23" s="358"/>
      <c r="FY23" s="32"/>
      <c r="FZ23" s="337"/>
      <c r="GA23" s="337"/>
      <c r="GB23" s="166">
        <f>$C23</f>
        <v>1</v>
      </c>
      <c r="GC23" s="358" t="s">
        <v>532</v>
      </c>
      <c r="GD23" s="358"/>
      <c r="GE23" s="358"/>
      <c r="GF23" s="32"/>
      <c r="GG23" s="337"/>
      <c r="GH23" s="338"/>
      <c r="GI23" s="166">
        <f>$C23</f>
        <v>1</v>
      </c>
      <c r="GJ23" s="358" t="s">
        <v>532</v>
      </c>
      <c r="GK23" s="358"/>
      <c r="GL23" s="358"/>
      <c r="GM23" s="32"/>
      <c r="GN23" s="337"/>
      <c r="GO23" s="338"/>
      <c r="GP23" s="193">
        <f>$C23</f>
        <v>1</v>
      </c>
      <c r="GQ23" s="358" t="s">
        <v>175</v>
      </c>
      <c r="GR23" s="358"/>
      <c r="GS23" s="358"/>
      <c r="GT23" s="32"/>
      <c r="GU23" s="337"/>
      <c r="GV23" s="338"/>
      <c r="GW23" s="166">
        <f>$C23</f>
        <v>1</v>
      </c>
      <c r="GX23" s="358" t="s">
        <v>175</v>
      </c>
      <c r="GY23" s="358"/>
      <c r="GZ23" s="358"/>
      <c r="HA23" s="32"/>
      <c r="HB23" s="337"/>
      <c r="HC23" s="338"/>
      <c r="HD23" s="166">
        <f>$C23</f>
        <v>1</v>
      </c>
      <c r="HE23" s="358" t="s">
        <v>532</v>
      </c>
      <c r="HF23" s="358"/>
      <c r="HG23" s="358"/>
      <c r="HH23" s="32"/>
      <c r="HI23" s="337"/>
      <c r="HJ23" s="351"/>
      <c r="HK23" s="193">
        <f>$C23</f>
        <v>1</v>
      </c>
      <c r="HL23" s="358" t="s">
        <v>645</v>
      </c>
      <c r="HM23" s="358"/>
      <c r="HN23" s="358"/>
      <c r="HO23" s="32"/>
      <c r="HP23" s="337"/>
      <c r="HQ23" s="351"/>
      <c r="HR23" s="193"/>
      <c r="HS23" s="358"/>
      <c r="HT23" s="358"/>
      <c r="HU23" s="358"/>
      <c r="HV23" s="257"/>
      <c r="HW23" s="337"/>
      <c r="HX23" s="338"/>
    </row>
    <row r="24" spans="2:232" outlineLevel="1" x14ac:dyDescent="0.25">
      <c r="B24" s="32"/>
      <c r="C24" s="167"/>
      <c r="D24" s="167"/>
      <c r="E24" s="34"/>
      <c r="F24" s="168"/>
      <c r="G24" s="167"/>
      <c r="H24" s="168"/>
      <c r="I24" s="177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V24" s="107"/>
      <c r="W24" s="108"/>
      <c r="X24" s="108"/>
      <c r="Y24" s="108"/>
      <c r="Z24" s="108"/>
      <c r="AA24" s="108"/>
      <c r="AB24" s="108"/>
      <c r="AC24" s="109"/>
      <c r="AD24" s="169"/>
      <c r="AE24" s="365"/>
      <c r="AF24" s="365"/>
      <c r="AG24" s="365"/>
      <c r="AH24" s="30"/>
      <c r="AI24" s="340"/>
      <c r="AJ24" s="340"/>
      <c r="AK24" s="215"/>
      <c r="AL24" s="339"/>
      <c r="AM24" s="339"/>
      <c r="AN24" s="339"/>
      <c r="AO24" s="30"/>
      <c r="AP24" s="340"/>
      <c r="AQ24" s="341"/>
      <c r="AR24" s="169"/>
      <c r="AS24" s="339"/>
      <c r="AT24" s="339"/>
      <c r="AU24" s="339"/>
      <c r="AV24" s="30"/>
      <c r="AW24" s="340"/>
      <c r="AX24" s="341"/>
      <c r="AY24" s="169"/>
      <c r="AZ24" s="339"/>
      <c r="BA24" s="339"/>
      <c r="BB24" s="339"/>
      <c r="BC24" s="30"/>
      <c r="BD24" s="340"/>
      <c r="BE24" s="340"/>
      <c r="BF24" s="169"/>
      <c r="BG24" s="339"/>
      <c r="BH24" s="339"/>
      <c r="BI24" s="339"/>
      <c r="BJ24" s="30"/>
      <c r="BK24" s="340"/>
      <c r="BL24" s="341"/>
      <c r="BM24" s="169"/>
      <c r="BN24" s="339"/>
      <c r="BO24" s="339"/>
      <c r="BP24" s="339"/>
      <c r="BQ24" s="30"/>
      <c r="BR24" s="340"/>
      <c r="BS24" s="340"/>
      <c r="BT24" s="215"/>
      <c r="BU24" s="339"/>
      <c r="BV24" s="339"/>
      <c r="BW24" s="339"/>
      <c r="BX24" s="30"/>
      <c r="BY24" s="340"/>
      <c r="BZ24" s="341"/>
      <c r="CA24" s="169"/>
      <c r="CB24" s="339"/>
      <c r="CC24" s="339"/>
      <c r="CD24" s="339"/>
      <c r="CE24" s="30"/>
      <c r="CF24" s="340"/>
      <c r="CG24" s="341"/>
      <c r="CH24" s="169"/>
      <c r="CI24" s="339"/>
      <c r="CJ24" s="339"/>
      <c r="CK24" s="339"/>
      <c r="CL24" s="30"/>
      <c r="CM24" s="340"/>
      <c r="CN24" s="341"/>
      <c r="CO24" s="169"/>
      <c r="CP24" s="339"/>
      <c r="CQ24" s="339"/>
      <c r="CR24" s="339"/>
      <c r="CS24" s="30"/>
      <c r="CT24" s="340"/>
      <c r="CU24" s="341"/>
      <c r="CV24" s="169"/>
      <c r="CW24" s="339"/>
      <c r="CX24" s="339"/>
      <c r="CY24" s="339"/>
      <c r="CZ24" s="30"/>
      <c r="DA24" s="340"/>
      <c r="DB24" s="341"/>
      <c r="DC24" s="169"/>
      <c r="DD24" s="339"/>
      <c r="DE24" s="339"/>
      <c r="DF24" s="339"/>
      <c r="DG24" s="30"/>
      <c r="DH24" s="340"/>
      <c r="DI24" s="341"/>
      <c r="DJ24" s="169"/>
      <c r="DK24" s="339"/>
      <c r="DL24" s="339"/>
      <c r="DM24" s="339"/>
      <c r="DN24" s="30"/>
      <c r="DO24" s="340"/>
      <c r="DP24" s="341"/>
      <c r="DQ24" s="169"/>
      <c r="DR24" s="339"/>
      <c r="DS24" s="339"/>
      <c r="DT24" s="339"/>
      <c r="DU24" s="30"/>
      <c r="DV24" s="340"/>
      <c r="DW24" s="341"/>
      <c r="DX24" s="192"/>
      <c r="DY24" s="339"/>
      <c r="DZ24" s="339"/>
      <c r="EA24" s="339"/>
      <c r="EB24" s="30"/>
      <c r="EC24" s="340"/>
      <c r="ED24" s="341"/>
      <c r="EE24" s="169"/>
      <c r="EF24" s="339"/>
      <c r="EG24" s="339"/>
      <c r="EH24" s="339"/>
      <c r="EI24" s="30"/>
      <c r="EJ24" s="340"/>
      <c r="EK24" s="360"/>
      <c r="EL24" s="192"/>
      <c r="EM24" s="339"/>
      <c r="EN24" s="339"/>
      <c r="EO24" s="339"/>
      <c r="EP24" s="30"/>
      <c r="EQ24" s="340"/>
      <c r="ER24" s="360"/>
      <c r="ES24" s="192"/>
      <c r="ET24" s="339"/>
      <c r="EU24" s="339"/>
      <c r="EV24" s="339"/>
      <c r="EW24" s="30"/>
      <c r="EX24" s="340"/>
      <c r="EY24" s="341"/>
      <c r="EZ24" s="169"/>
      <c r="FA24" s="339"/>
      <c r="FB24" s="339"/>
      <c r="FC24" s="339"/>
      <c r="FD24" s="30"/>
      <c r="FE24" s="340"/>
      <c r="FF24" s="340"/>
      <c r="FG24" s="169"/>
      <c r="FH24" s="339"/>
      <c r="FI24" s="339"/>
      <c r="FJ24" s="339"/>
      <c r="FK24" s="30"/>
      <c r="FL24" s="340"/>
      <c r="FM24" s="341"/>
      <c r="FN24" s="169"/>
      <c r="FO24" s="339"/>
      <c r="FP24" s="339"/>
      <c r="FQ24" s="339"/>
      <c r="FR24" s="30"/>
      <c r="FS24" s="340"/>
      <c r="FT24" s="340"/>
      <c r="FU24" s="215"/>
      <c r="FV24" s="339"/>
      <c r="FW24" s="339"/>
      <c r="FX24" s="339"/>
      <c r="FY24" s="30"/>
      <c r="FZ24" s="340"/>
      <c r="GA24" s="340"/>
      <c r="GB24" s="169"/>
      <c r="GC24" s="339"/>
      <c r="GD24" s="339"/>
      <c r="GE24" s="339"/>
      <c r="GF24" s="30"/>
      <c r="GG24" s="340"/>
      <c r="GH24" s="341"/>
      <c r="GI24" s="169"/>
      <c r="GJ24" s="339"/>
      <c r="GK24" s="339"/>
      <c r="GL24" s="339"/>
      <c r="GM24" s="30"/>
      <c r="GN24" s="340"/>
      <c r="GO24" s="341"/>
      <c r="GP24" s="192"/>
      <c r="GQ24" s="339"/>
      <c r="GR24" s="339"/>
      <c r="GS24" s="339"/>
      <c r="GT24" s="30"/>
      <c r="GU24" s="340"/>
      <c r="GV24" s="341"/>
      <c r="GW24" s="169"/>
      <c r="GX24" s="339"/>
      <c r="GY24" s="339"/>
      <c r="GZ24" s="339"/>
      <c r="HA24" s="30"/>
      <c r="HB24" s="340"/>
      <c r="HC24" s="341"/>
      <c r="HD24" s="169"/>
      <c r="HE24" s="339"/>
      <c r="HF24" s="339"/>
      <c r="HG24" s="339"/>
      <c r="HH24" s="30"/>
      <c r="HI24" s="340"/>
      <c r="HJ24" s="360"/>
      <c r="HK24" s="192"/>
      <c r="HL24" s="339"/>
      <c r="HM24" s="339"/>
      <c r="HN24" s="339"/>
      <c r="HO24" s="30"/>
      <c r="HP24" s="340"/>
      <c r="HQ24" s="360"/>
      <c r="HR24" s="192"/>
      <c r="HS24" s="339"/>
      <c r="HT24" s="339"/>
      <c r="HU24" s="339"/>
      <c r="HV24" s="258"/>
      <c r="HW24" s="340"/>
      <c r="HX24" s="341"/>
    </row>
    <row r="25" spans="2:232" ht="15" customHeight="1" outlineLevel="1" x14ac:dyDescent="0.25">
      <c r="B25" s="147"/>
      <c r="C25" s="147"/>
      <c r="D25" s="148"/>
      <c r="E25" s="147"/>
      <c r="F25" s="149"/>
      <c r="G25" s="148"/>
      <c r="H25" s="149"/>
      <c r="I25" s="174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V25" s="150" t="s">
        <v>170</v>
      </c>
      <c r="W25" s="151"/>
      <c r="X25" s="151"/>
      <c r="Y25" s="151"/>
      <c r="Z25" s="151"/>
      <c r="AA25" s="151"/>
      <c r="AB25" s="369"/>
      <c r="AC25" s="370"/>
      <c r="AD25" s="342" t="s">
        <v>217</v>
      </c>
      <c r="AE25" s="343"/>
      <c r="AF25" s="343"/>
      <c r="AG25" s="343"/>
      <c r="AH25" s="343"/>
      <c r="AI25" s="152"/>
      <c r="AJ25" s="194">
        <f>COUNTA(AD30:AD31)</f>
        <v>1</v>
      </c>
      <c r="AK25" s="366" t="s">
        <v>217</v>
      </c>
      <c r="AL25" s="343"/>
      <c r="AM25" s="343"/>
      <c r="AN25" s="343"/>
      <c r="AO25" s="343"/>
      <c r="AP25" s="152"/>
      <c r="AQ25" s="155">
        <f>COUNTA(AK30:AK31)</f>
        <v>1</v>
      </c>
      <c r="AR25" s="342" t="s">
        <v>217</v>
      </c>
      <c r="AS25" s="343"/>
      <c r="AT25" s="343"/>
      <c r="AU25" s="343"/>
      <c r="AV25" s="343"/>
      <c r="AW25" s="152"/>
      <c r="AX25" s="155">
        <f>COUNTA(AR30:AR31)</f>
        <v>1</v>
      </c>
      <c r="AY25" s="342" t="s">
        <v>217</v>
      </c>
      <c r="AZ25" s="343"/>
      <c r="BA25" s="343"/>
      <c r="BB25" s="343"/>
      <c r="BC25" s="343"/>
      <c r="BD25" s="152"/>
      <c r="BE25" s="194">
        <f>COUNTA(AY30:AY31)</f>
        <v>1</v>
      </c>
      <c r="BF25" s="342" t="s">
        <v>217</v>
      </c>
      <c r="BG25" s="343"/>
      <c r="BH25" s="343"/>
      <c r="BI25" s="343"/>
      <c r="BJ25" s="343"/>
      <c r="BK25" s="152"/>
      <c r="BL25" s="155">
        <f>COUNTA(BF30:BF31)</f>
        <v>1</v>
      </c>
      <c r="BM25" s="156"/>
      <c r="BN25" s="152"/>
      <c r="BO25" s="153"/>
      <c r="BP25" s="152"/>
      <c r="BQ25" s="154"/>
      <c r="BR25" s="152"/>
      <c r="BS25" s="194">
        <f>COUNTA(BM30:BM31)</f>
        <v>1</v>
      </c>
      <c r="BT25" s="366" t="s">
        <v>217</v>
      </c>
      <c r="BU25" s="343"/>
      <c r="BV25" s="343"/>
      <c r="BW25" s="343"/>
      <c r="BX25" s="343"/>
      <c r="BY25" s="152"/>
      <c r="BZ25" s="155">
        <f>COUNTA(BT30:BT31)</f>
        <v>1</v>
      </c>
      <c r="CA25" s="342" t="s">
        <v>217</v>
      </c>
      <c r="CB25" s="343"/>
      <c r="CC25" s="343"/>
      <c r="CD25" s="343"/>
      <c r="CE25" s="343"/>
      <c r="CF25" s="152"/>
      <c r="CG25" s="155">
        <f>COUNTA(CA30:CA31)</f>
        <v>1</v>
      </c>
      <c r="CH25" s="342" t="s">
        <v>217</v>
      </c>
      <c r="CI25" s="343"/>
      <c r="CJ25" s="343"/>
      <c r="CK25" s="343"/>
      <c r="CL25" s="343"/>
      <c r="CM25" s="152"/>
      <c r="CN25" s="155">
        <f>COUNTA(CH30:CH31)</f>
        <v>1</v>
      </c>
      <c r="CO25" s="342" t="s">
        <v>217</v>
      </c>
      <c r="CP25" s="343"/>
      <c r="CQ25" s="343"/>
      <c r="CR25" s="343"/>
      <c r="CS25" s="343"/>
      <c r="CT25" s="152"/>
      <c r="CU25" s="155">
        <f>COUNTA(CO30:CO31)</f>
        <v>1</v>
      </c>
      <c r="CV25" s="342" t="s">
        <v>217</v>
      </c>
      <c r="CW25" s="343"/>
      <c r="CX25" s="343"/>
      <c r="CY25" s="343"/>
      <c r="CZ25" s="343"/>
      <c r="DA25" s="152"/>
      <c r="DB25" s="155">
        <f>COUNTA(CV30:CV31)</f>
        <v>1</v>
      </c>
      <c r="DC25" s="342" t="s">
        <v>217</v>
      </c>
      <c r="DD25" s="343"/>
      <c r="DE25" s="343"/>
      <c r="DF25" s="343"/>
      <c r="DG25" s="343"/>
      <c r="DH25" s="152"/>
      <c r="DI25" s="155">
        <f>COUNTA(DC30:DC31)</f>
        <v>1</v>
      </c>
      <c r="DJ25" s="342" t="s">
        <v>217</v>
      </c>
      <c r="DK25" s="343"/>
      <c r="DL25" s="343"/>
      <c r="DM25" s="343"/>
      <c r="DN25" s="343"/>
      <c r="DO25" s="152"/>
      <c r="DP25" s="155">
        <f>COUNTA(DJ30:DJ31)</f>
        <v>1</v>
      </c>
      <c r="DQ25" s="342" t="s">
        <v>217</v>
      </c>
      <c r="DR25" s="343"/>
      <c r="DS25" s="343"/>
      <c r="DT25" s="343"/>
      <c r="DU25" s="343"/>
      <c r="DV25" s="152"/>
      <c r="DW25" s="155">
        <f>COUNTA(DQ30:DQ31)</f>
        <v>1</v>
      </c>
      <c r="DX25" s="343" t="s">
        <v>217</v>
      </c>
      <c r="DY25" s="343"/>
      <c r="DZ25" s="343"/>
      <c r="EA25" s="343"/>
      <c r="EB25" s="343"/>
      <c r="EC25" s="152"/>
      <c r="ED25" s="155">
        <f>COUNTA(DX30:DX31)</f>
        <v>1</v>
      </c>
      <c r="EE25" s="342" t="s">
        <v>217</v>
      </c>
      <c r="EF25" s="343"/>
      <c r="EG25" s="343"/>
      <c r="EH25" s="343"/>
      <c r="EI25" s="343"/>
      <c r="EJ25" s="152"/>
      <c r="EK25" s="218">
        <f>COUNTA(EE30:EE31)</f>
        <v>1</v>
      </c>
      <c r="EL25" s="343" t="s">
        <v>217</v>
      </c>
      <c r="EM25" s="343"/>
      <c r="EN25" s="343"/>
      <c r="EO25" s="343"/>
      <c r="EP25" s="343"/>
      <c r="EQ25" s="152"/>
      <c r="ER25" s="218">
        <f>COUNTA(EL30:EL31)</f>
        <v>1</v>
      </c>
      <c r="ES25" s="343" t="s">
        <v>217</v>
      </c>
      <c r="ET25" s="343"/>
      <c r="EU25" s="343"/>
      <c r="EV25" s="343"/>
      <c r="EW25" s="343"/>
      <c r="EX25" s="152"/>
      <c r="EY25" s="155">
        <f>COUNTA(ES30:ES31)</f>
        <v>1</v>
      </c>
      <c r="EZ25" s="342" t="s">
        <v>217</v>
      </c>
      <c r="FA25" s="343"/>
      <c r="FB25" s="343"/>
      <c r="FC25" s="343"/>
      <c r="FD25" s="343"/>
      <c r="FE25" s="152"/>
      <c r="FF25" s="194">
        <f>COUNTA(EZ30:EZ31)</f>
        <v>1</v>
      </c>
      <c r="FG25" s="342" t="s">
        <v>217</v>
      </c>
      <c r="FH25" s="343"/>
      <c r="FI25" s="343"/>
      <c r="FJ25" s="343"/>
      <c r="FK25" s="343"/>
      <c r="FL25" s="152"/>
      <c r="FM25" s="155">
        <f>COUNTA(FG30:FG31)</f>
        <v>1</v>
      </c>
      <c r="FN25" s="156"/>
      <c r="FO25" s="152"/>
      <c r="FP25" s="153"/>
      <c r="FQ25" s="152"/>
      <c r="FR25" s="154"/>
      <c r="FS25" s="152"/>
      <c r="FT25" s="194">
        <f>COUNTA(FN30:FN31)</f>
        <v>1</v>
      </c>
      <c r="FU25" s="366" t="s">
        <v>217</v>
      </c>
      <c r="FV25" s="343"/>
      <c r="FW25" s="343"/>
      <c r="FX25" s="343"/>
      <c r="FY25" s="343"/>
      <c r="FZ25" s="152"/>
      <c r="GA25" s="194">
        <f>COUNTA(FU30:FU31)</f>
        <v>1</v>
      </c>
      <c r="GB25" s="342" t="s">
        <v>217</v>
      </c>
      <c r="GC25" s="343"/>
      <c r="GD25" s="343"/>
      <c r="GE25" s="343"/>
      <c r="GF25" s="343"/>
      <c r="GG25" s="152"/>
      <c r="GH25" s="155">
        <f>COUNTA(GB30:GB31)</f>
        <v>1</v>
      </c>
      <c r="GI25" s="342" t="s">
        <v>217</v>
      </c>
      <c r="GJ25" s="343"/>
      <c r="GK25" s="343"/>
      <c r="GL25" s="343"/>
      <c r="GM25" s="343"/>
      <c r="GN25" s="152"/>
      <c r="GO25" s="155">
        <f>COUNTA(GI30:GI31)</f>
        <v>1</v>
      </c>
      <c r="GP25" s="343" t="s">
        <v>217</v>
      </c>
      <c r="GQ25" s="343"/>
      <c r="GR25" s="343"/>
      <c r="GS25" s="343"/>
      <c r="GT25" s="343"/>
      <c r="GU25" s="152"/>
      <c r="GV25" s="155">
        <f>COUNTA(GP30:GP31)</f>
        <v>1</v>
      </c>
      <c r="GW25" s="342" t="s">
        <v>217</v>
      </c>
      <c r="GX25" s="343"/>
      <c r="GY25" s="343"/>
      <c r="GZ25" s="343"/>
      <c r="HA25" s="343"/>
      <c r="HB25" s="152"/>
      <c r="HC25" s="155">
        <f>COUNTA(GW30:GW31)</f>
        <v>1</v>
      </c>
      <c r="HD25" s="342" t="s">
        <v>217</v>
      </c>
      <c r="HE25" s="343"/>
      <c r="HF25" s="343"/>
      <c r="HG25" s="343"/>
      <c r="HH25" s="343"/>
      <c r="HI25" s="152"/>
      <c r="HJ25" s="218">
        <f>COUNTA(HD30:HD31)</f>
        <v>1</v>
      </c>
      <c r="HK25" s="343" t="s">
        <v>217</v>
      </c>
      <c r="HL25" s="343"/>
      <c r="HM25" s="343"/>
      <c r="HN25" s="343"/>
      <c r="HO25" s="343"/>
      <c r="HP25" s="152"/>
      <c r="HQ25" s="218">
        <f>COUNTA(HK30:HK31)</f>
        <v>1</v>
      </c>
      <c r="HR25" s="152"/>
      <c r="HS25" s="152"/>
      <c r="HT25" s="153"/>
      <c r="HU25" s="152"/>
      <c r="HV25" s="255"/>
      <c r="HW25" s="152"/>
      <c r="HX25" s="155">
        <f>COUNTA(HR30:HR31)</f>
        <v>0</v>
      </c>
    </row>
    <row r="26" spans="2:232" ht="15" customHeight="1" outlineLevel="1" x14ac:dyDescent="0.25">
      <c r="B26" s="147"/>
      <c r="C26" s="147"/>
      <c r="D26" s="147"/>
      <c r="E26" s="147"/>
      <c r="F26" s="157"/>
      <c r="G26" s="147"/>
      <c r="H26" s="157"/>
      <c r="I26" s="175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V26" s="185" t="s">
        <v>224</v>
      </c>
      <c r="W26" s="186"/>
      <c r="X26" s="186"/>
      <c r="Y26" s="186"/>
      <c r="Z26" s="186"/>
      <c r="AA26" s="186"/>
      <c r="AB26" s="187"/>
      <c r="AC26" s="188"/>
      <c r="AD26" s="344" t="s">
        <v>225</v>
      </c>
      <c r="AE26" s="345"/>
      <c r="AF26" s="345"/>
      <c r="AG26" s="181" t="s">
        <v>75</v>
      </c>
      <c r="AH26" s="346" t="s">
        <v>285</v>
      </c>
      <c r="AI26" s="346"/>
      <c r="AJ26" s="346"/>
      <c r="AK26" s="363" t="s">
        <v>227</v>
      </c>
      <c r="AL26" s="345"/>
      <c r="AM26" s="345"/>
      <c r="AN26" s="181" t="s">
        <v>75</v>
      </c>
      <c r="AO26" s="346" t="s">
        <v>315</v>
      </c>
      <c r="AP26" s="346"/>
      <c r="AQ26" s="349"/>
      <c r="AR26" s="344" t="s">
        <v>227</v>
      </c>
      <c r="AS26" s="345"/>
      <c r="AT26" s="345"/>
      <c r="AU26" s="181" t="s">
        <v>75</v>
      </c>
      <c r="AV26" s="346" t="s">
        <v>315</v>
      </c>
      <c r="AW26" s="346"/>
      <c r="AX26" s="349"/>
      <c r="AY26" s="344" t="s">
        <v>227</v>
      </c>
      <c r="AZ26" s="345"/>
      <c r="BA26" s="345"/>
      <c r="BB26" s="181" t="s">
        <v>75</v>
      </c>
      <c r="BC26" s="346" t="s">
        <v>315</v>
      </c>
      <c r="BD26" s="346"/>
      <c r="BE26" s="349"/>
      <c r="BF26" s="344" t="s">
        <v>227</v>
      </c>
      <c r="BG26" s="345"/>
      <c r="BH26" s="345"/>
      <c r="BI26" s="181" t="s">
        <v>75</v>
      </c>
      <c r="BJ26" s="346" t="s">
        <v>315</v>
      </c>
      <c r="BK26" s="346"/>
      <c r="BL26" s="349"/>
      <c r="BM26" s="180"/>
      <c r="BN26" s="181"/>
      <c r="BO26" s="182"/>
      <c r="BP26" s="181"/>
      <c r="BQ26" s="183"/>
      <c r="BR26" s="181"/>
      <c r="BS26" s="210"/>
      <c r="BT26" s="363" t="s">
        <v>232</v>
      </c>
      <c r="BU26" s="345"/>
      <c r="BV26" s="345"/>
      <c r="BW26" s="181" t="s">
        <v>75</v>
      </c>
      <c r="BX26" s="346" t="s">
        <v>334</v>
      </c>
      <c r="BY26" s="346"/>
      <c r="BZ26" s="349"/>
      <c r="CA26" s="344" t="s">
        <v>232</v>
      </c>
      <c r="CB26" s="345"/>
      <c r="CC26" s="345"/>
      <c r="CD26" s="181" t="s">
        <v>75</v>
      </c>
      <c r="CE26" s="346" t="s">
        <v>334</v>
      </c>
      <c r="CF26" s="346"/>
      <c r="CG26" s="349"/>
      <c r="CH26" s="344" t="s">
        <v>232</v>
      </c>
      <c r="CI26" s="345"/>
      <c r="CJ26" s="345"/>
      <c r="CK26" s="181" t="s">
        <v>75</v>
      </c>
      <c r="CL26" s="346" t="s">
        <v>334</v>
      </c>
      <c r="CM26" s="346"/>
      <c r="CN26" s="349"/>
      <c r="CO26" s="344" t="s">
        <v>232</v>
      </c>
      <c r="CP26" s="345"/>
      <c r="CQ26" s="345"/>
      <c r="CR26" s="181" t="s">
        <v>75</v>
      </c>
      <c r="CS26" s="346" t="s">
        <v>334</v>
      </c>
      <c r="CT26" s="346"/>
      <c r="CU26" s="349"/>
      <c r="CV26" s="344" t="s">
        <v>232</v>
      </c>
      <c r="CW26" s="345"/>
      <c r="CX26" s="345"/>
      <c r="CY26" s="181" t="s">
        <v>75</v>
      </c>
      <c r="CZ26" s="346" t="s">
        <v>334</v>
      </c>
      <c r="DA26" s="346"/>
      <c r="DB26" s="349"/>
      <c r="DC26" s="344" t="s">
        <v>232</v>
      </c>
      <c r="DD26" s="345"/>
      <c r="DE26" s="345"/>
      <c r="DF26" s="181" t="s">
        <v>75</v>
      </c>
      <c r="DG26" s="346" t="s">
        <v>334</v>
      </c>
      <c r="DH26" s="346"/>
      <c r="DI26" s="349"/>
      <c r="DJ26" s="344" t="s">
        <v>232</v>
      </c>
      <c r="DK26" s="345"/>
      <c r="DL26" s="345"/>
      <c r="DM26" s="181" t="s">
        <v>75</v>
      </c>
      <c r="DN26" s="346" t="s">
        <v>334</v>
      </c>
      <c r="DO26" s="346"/>
      <c r="DP26" s="349"/>
      <c r="DQ26" s="345" t="s">
        <v>232</v>
      </c>
      <c r="DR26" s="345"/>
      <c r="DS26" s="345"/>
      <c r="DT26" s="181" t="s">
        <v>75</v>
      </c>
      <c r="DU26" s="346" t="s">
        <v>334</v>
      </c>
      <c r="DV26" s="346"/>
      <c r="DW26" s="349"/>
      <c r="DX26" s="345" t="s">
        <v>232</v>
      </c>
      <c r="DY26" s="345"/>
      <c r="DZ26" s="345"/>
      <c r="EA26" s="181" t="s">
        <v>75</v>
      </c>
      <c r="EB26" s="346" t="s">
        <v>334</v>
      </c>
      <c r="EC26" s="346"/>
      <c r="ED26" s="349"/>
      <c r="EE26" s="345" t="s">
        <v>232</v>
      </c>
      <c r="EF26" s="345"/>
      <c r="EG26" s="345"/>
      <c r="EH26" s="181" t="s">
        <v>75</v>
      </c>
      <c r="EI26" s="346" t="s">
        <v>334</v>
      </c>
      <c r="EJ26" s="346"/>
      <c r="EK26" s="347"/>
      <c r="EL26" s="345" t="s">
        <v>539</v>
      </c>
      <c r="EM26" s="345"/>
      <c r="EN26" s="345"/>
      <c r="EO26" s="181" t="s">
        <v>75</v>
      </c>
      <c r="EP26" s="346" t="s">
        <v>334</v>
      </c>
      <c r="EQ26" s="346"/>
      <c r="ER26" s="347"/>
      <c r="ES26" s="345" t="s">
        <v>243</v>
      </c>
      <c r="ET26" s="345"/>
      <c r="EU26" s="345"/>
      <c r="EV26" s="181" t="s">
        <v>75</v>
      </c>
      <c r="EW26" s="346" t="s">
        <v>362</v>
      </c>
      <c r="EX26" s="346"/>
      <c r="EY26" s="349"/>
      <c r="EZ26" s="344" t="s">
        <v>243</v>
      </c>
      <c r="FA26" s="345"/>
      <c r="FB26" s="345"/>
      <c r="FC26" s="181" t="s">
        <v>75</v>
      </c>
      <c r="FD26" s="346" t="s">
        <v>362</v>
      </c>
      <c r="FE26" s="346"/>
      <c r="FF26" s="346"/>
      <c r="FG26" s="344" t="s">
        <v>243</v>
      </c>
      <c r="FH26" s="345"/>
      <c r="FI26" s="345"/>
      <c r="FJ26" s="181" t="s">
        <v>75</v>
      </c>
      <c r="FK26" s="346" t="s">
        <v>362</v>
      </c>
      <c r="FL26" s="346"/>
      <c r="FM26" s="346"/>
      <c r="FN26" s="180"/>
      <c r="FO26" s="181"/>
      <c r="FP26" s="182"/>
      <c r="FQ26" s="181"/>
      <c r="FR26" s="183"/>
      <c r="FS26" s="181"/>
      <c r="FT26" s="210"/>
      <c r="FU26" s="363" t="s">
        <v>246</v>
      </c>
      <c r="FV26" s="345"/>
      <c r="FW26" s="345"/>
      <c r="FX26" s="181" t="s">
        <v>75</v>
      </c>
      <c r="FY26" s="346" t="s">
        <v>385</v>
      </c>
      <c r="FZ26" s="346"/>
      <c r="GA26" s="346"/>
      <c r="GB26" s="344" t="s">
        <v>246</v>
      </c>
      <c r="GC26" s="345"/>
      <c r="GD26" s="345"/>
      <c r="GE26" s="181" t="s">
        <v>75</v>
      </c>
      <c r="GF26" s="346" t="s">
        <v>385</v>
      </c>
      <c r="GG26" s="346"/>
      <c r="GH26" s="349"/>
      <c r="GI26" s="344" t="s">
        <v>246</v>
      </c>
      <c r="GJ26" s="345"/>
      <c r="GK26" s="345"/>
      <c r="GL26" s="181" t="s">
        <v>75</v>
      </c>
      <c r="GM26" s="346" t="s">
        <v>385</v>
      </c>
      <c r="GN26" s="346"/>
      <c r="GO26" s="349"/>
      <c r="GP26" s="345" t="s">
        <v>246</v>
      </c>
      <c r="GQ26" s="345"/>
      <c r="GR26" s="345"/>
      <c r="GS26" s="181" t="s">
        <v>75</v>
      </c>
      <c r="GT26" s="346" t="s">
        <v>385</v>
      </c>
      <c r="GU26" s="346"/>
      <c r="GV26" s="349"/>
      <c r="GW26" s="344" t="s">
        <v>246</v>
      </c>
      <c r="GX26" s="345"/>
      <c r="GY26" s="345"/>
      <c r="GZ26" s="181" t="s">
        <v>75</v>
      </c>
      <c r="HA26" s="346" t="s">
        <v>385</v>
      </c>
      <c r="HB26" s="346"/>
      <c r="HC26" s="349"/>
      <c r="HD26" s="344" t="s">
        <v>246</v>
      </c>
      <c r="HE26" s="345"/>
      <c r="HF26" s="345"/>
      <c r="HG26" s="181" t="s">
        <v>75</v>
      </c>
      <c r="HH26" s="346" t="s">
        <v>385</v>
      </c>
      <c r="HI26" s="346"/>
      <c r="HJ26" s="347"/>
      <c r="HK26" s="345" t="s">
        <v>541</v>
      </c>
      <c r="HL26" s="345"/>
      <c r="HM26" s="345"/>
      <c r="HN26" s="181" t="s">
        <v>75</v>
      </c>
      <c r="HO26" s="346" t="s">
        <v>385</v>
      </c>
      <c r="HP26" s="346"/>
      <c r="HQ26" s="347"/>
      <c r="HR26" s="181"/>
      <c r="HS26" s="181"/>
      <c r="HT26" s="182"/>
      <c r="HU26" s="181"/>
      <c r="HV26" s="256"/>
      <c r="HW26" s="181"/>
      <c r="HX26" s="184"/>
    </row>
    <row r="27" spans="2:232" ht="15" customHeight="1" outlineLevel="1" x14ac:dyDescent="0.25">
      <c r="B27" s="147"/>
      <c r="C27" s="147"/>
      <c r="D27" s="147"/>
      <c r="E27" s="147"/>
      <c r="F27" s="157"/>
      <c r="G27" s="147"/>
      <c r="H27" s="157"/>
      <c r="I27" s="175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V27" s="161" t="s">
        <v>199</v>
      </c>
      <c r="W27" s="12"/>
      <c r="X27" s="12"/>
      <c r="Y27" s="12"/>
      <c r="Z27" s="12"/>
      <c r="AA27" s="12"/>
      <c r="AB27" s="12"/>
      <c r="AC27" s="14"/>
      <c r="AD27" s="352" t="s">
        <v>201</v>
      </c>
      <c r="AE27" s="353"/>
      <c r="AF27" s="353"/>
      <c r="AG27" s="1" t="s">
        <v>57</v>
      </c>
      <c r="AH27" s="337" t="s">
        <v>221</v>
      </c>
      <c r="AI27" s="337"/>
      <c r="AJ27" s="337"/>
      <c r="AK27" s="364" t="s">
        <v>202</v>
      </c>
      <c r="AL27" s="337"/>
      <c r="AM27" s="337"/>
      <c r="AN27" s="1" t="s">
        <v>57</v>
      </c>
      <c r="AO27" s="337" t="s">
        <v>221</v>
      </c>
      <c r="AP27" s="337"/>
      <c r="AQ27" s="338"/>
      <c r="AR27" s="350" t="s">
        <v>221</v>
      </c>
      <c r="AS27" s="337"/>
      <c r="AT27" s="337"/>
      <c r="AU27" s="1" t="s">
        <v>57</v>
      </c>
      <c r="AV27" s="337" t="s">
        <v>228</v>
      </c>
      <c r="AW27" s="337"/>
      <c r="AX27" s="338"/>
      <c r="AY27" s="350" t="s">
        <v>228</v>
      </c>
      <c r="AZ27" s="337"/>
      <c r="BA27" s="337"/>
      <c r="BB27" s="1" t="s">
        <v>57</v>
      </c>
      <c r="BC27" s="337" t="s">
        <v>352</v>
      </c>
      <c r="BD27" s="337"/>
      <c r="BE27" s="337"/>
      <c r="BF27" s="350" t="s">
        <v>556</v>
      </c>
      <c r="BG27" s="337"/>
      <c r="BH27" s="337"/>
      <c r="BI27" s="191"/>
      <c r="BJ27" s="337"/>
      <c r="BK27" s="337"/>
      <c r="BL27" s="338"/>
      <c r="BM27" s="350"/>
      <c r="BN27" s="337"/>
      <c r="BO27" s="337"/>
      <c r="BQ27" s="337"/>
      <c r="BR27" s="337"/>
      <c r="BS27" s="337"/>
      <c r="BT27" s="364" t="s">
        <v>221</v>
      </c>
      <c r="BU27" s="337"/>
      <c r="BV27" s="337"/>
      <c r="BW27" s="1" t="s">
        <v>57</v>
      </c>
      <c r="BX27" s="337" t="s">
        <v>231</v>
      </c>
      <c r="BY27" s="337"/>
      <c r="BZ27" s="338"/>
      <c r="CA27" s="337" t="s">
        <v>231</v>
      </c>
      <c r="CB27" s="337"/>
      <c r="CC27" s="337"/>
      <c r="CD27" s="1" t="s">
        <v>57</v>
      </c>
      <c r="CE27" s="337" t="s">
        <v>221</v>
      </c>
      <c r="CF27" s="337"/>
      <c r="CG27" s="337"/>
      <c r="CH27" s="350" t="s">
        <v>221</v>
      </c>
      <c r="CI27" s="337"/>
      <c r="CJ27" s="337"/>
      <c r="CK27" s="1" t="s">
        <v>57</v>
      </c>
      <c r="CL27" s="337" t="s">
        <v>234</v>
      </c>
      <c r="CM27" s="337"/>
      <c r="CN27" s="338"/>
      <c r="CO27" s="350" t="s">
        <v>262</v>
      </c>
      <c r="CP27" s="337"/>
      <c r="CQ27" s="337"/>
      <c r="CR27" s="1" t="s">
        <v>57</v>
      </c>
      <c r="CS27" s="337" t="s">
        <v>233</v>
      </c>
      <c r="CT27" s="337"/>
      <c r="CU27" s="338"/>
      <c r="CV27" s="350" t="s">
        <v>228</v>
      </c>
      <c r="CW27" s="337"/>
      <c r="CX27" s="337"/>
      <c r="CY27" s="1" t="s">
        <v>57</v>
      </c>
      <c r="CZ27" s="337" t="s">
        <v>231</v>
      </c>
      <c r="DA27" s="337"/>
      <c r="DB27" s="338"/>
      <c r="DC27" s="350" t="s">
        <v>231</v>
      </c>
      <c r="DD27" s="337"/>
      <c r="DE27" s="337"/>
      <c r="DF27" s="1" t="s">
        <v>57</v>
      </c>
      <c r="DG27" s="337" t="s">
        <v>252</v>
      </c>
      <c r="DH27" s="337"/>
      <c r="DI27" s="338"/>
      <c r="DJ27" s="350" t="s">
        <v>252</v>
      </c>
      <c r="DK27" s="337"/>
      <c r="DL27" s="337"/>
      <c r="DM27" s="1" t="s">
        <v>57</v>
      </c>
      <c r="DN27" s="337" t="s">
        <v>234</v>
      </c>
      <c r="DO27" s="337"/>
      <c r="DP27" s="338"/>
      <c r="DQ27" s="350" t="s">
        <v>233</v>
      </c>
      <c r="DR27" s="337"/>
      <c r="DS27" s="337"/>
      <c r="DT27" s="191"/>
      <c r="DU27" s="337"/>
      <c r="DV27" s="337"/>
      <c r="DW27" s="338"/>
      <c r="DX27" s="337" t="s">
        <v>252</v>
      </c>
      <c r="DY27" s="337"/>
      <c r="DZ27" s="337"/>
      <c r="EA27" s="1" t="s">
        <v>57</v>
      </c>
      <c r="EB27" s="337" t="s">
        <v>221</v>
      </c>
      <c r="EC27" s="337"/>
      <c r="ED27" s="337"/>
      <c r="EE27" s="350" t="s">
        <v>231</v>
      </c>
      <c r="EF27" s="337"/>
      <c r="EG27" s="337"/>
      <c r="EH27" s="191"/>
      <c r="EI27" s="337"/>
      <c r="EJ27" s="337"/>
      <c r="EK27" s="351"/>
      <c r="EL27" s="337" t="s">
        <v>383</v>
      </c>
      <c r="EM27" s="337"/>
      <c r="EN27" s="337"/>
      <c r="EO27" s="191"/>
      <c r="EP27" s="337"/>
      <c r="EQ27" s="337"/>
      <c r="ER27" s="351"/>
      <c r="ES27" s="337" t="s">
        <v>384</v>
      </c>
      <c r="ET27" s="337"/>
      <c r="EU27" s="337"/>
      <c r="EV27" s="1" t="s">
        <v>57</v>
      </c>
      <c r="EW27" s="337" t="s">
        <v>228</v>
      </c>
      <c r="EX27" s="337"/>
      <c r="EY27" s="338"/>
      <c r="EZ27" s="350" t="s">
        <v>228</v>
      </c>
      <c r="FA27" s="337"/>
      <c r="FB27" s="337"/>
      <c r="FC27" s="1" t="s">
        <v>57</v>
      </c>
      <c r="FD27" s="337" t="s">
        <v>352</v>
      </c>
      <c r="FE27" s="337"/>
      <c r="FF27" s="337"/>
      <c r="FG27" s="350" t="s">
        <v>352</v>
      </c>
      <c r="FH27" s="337"/>
      <c r="FI27" s="337"/>
      <c r="FJ27" s="191"/>
      <c r="FK27" s="337"/>
      <c r="FL27" s="337"/>
      <c r="FM27" s="338"/>
      <c r="FN27" s="350"/>
      <c r="FO27" s="337"/>
      <c r="FP27" s="337"/>
      <c r="FR27" s="337"/>
      <c r="FS27" s="337"/>
      <c r="FT27" s="337"/>
      <c r="FU27" s="364" t="s">
        <v>252</v>
      </c>
      <c r="FV27" s="337"/>
      <c r="FW27" s="337"/>
      <c r="FX27" s="1" t="s">
        <v>57</v>
      </c>
      <c r="FY27" s="337" t="s">
        <v>231</v>
      </c>
      <c r="FZ27" s="337"/>
      <c r="GA27" s="337"/>
      <c r="GB27" s="350" t="s">
        <v>231</v>
      </c>
      <c r="GC27" s="337"/>
      <c r="GD27" s="337"/>
      <c r="GE27" s="1" t="s">
        <v>57</v>
      </c>
      <c r="GF27" s="337" t="s">
        <v>252</v>
      </c>
      <c r="GG27" s="337"/>
      <c r="GH27" s="338"/>
      <c r="GI27" s="350" t="s">
        <v>252</v>
      </c>
      <c r="GJ27" s="337"/>
      <c r="GK27" s="337"/>
      <c r="GL27" s="1" t="s">
        <v>57</v>
      </c>
      <c r="GM27" s="337" t="s">
        <v>234</v>
      </c>
      <c r="GN27" s="337"/>
      <c r="GO27" s="338"/>
      <c r="GP27" s="337" t="s">
        <v>233</v>
      </c>
      <c r="GQ27" s="337"/>
      <c r="GR27" s="337"/>
      <c r="GS27" s="191"/>
      <c r="GT27" s="337"/>
      <c r="GU27" s="337"/>
      <c r="GV27" s="338"/>
      <c r="GW27" s="350" t="s">
        <v>382</v>
      </c>
      <c r="GX27" s="337"/>
      <c r="GY27" s="337"/>
      <c r="GZ27" s="1" t="s">
        <v>57</v>
      </c>
      <c r="HA27" s="337" t="s">
        <v>426</v>
      </c>
      <c r="HB27" s="337"/>
      <c r="HC27" s="338"/>
      <c r="HD27" s="350" t="s">
        <v>231</v>
      </c>
      <c r="HE27" s="337"/>
      <c r="HF27" s="337"/>
      <c r="HG27" s="191"/>
      <c r="HH27" s="337"/>
      <c r="HI27" s="337"/>
      <c r="HJ27" s="351"/>
      <c r="HK27" s="337" t="s">
        <v>383</v>
      </c>
      <c r="HL27" s="337"/>
      <c r="HM27" s="337"/>
      <c r="HO27" s="337"/>
      <c r="HP27" s="337"/>
      <c r="HQ27" s="351"/>
      <c r="HR27" s="337"/>
      <c r="HS27" s="337"/>
      <c r="HT27" s="337"/>
      <c r="HV27" s="337"/>
      <c r="HW27" s="337"/>
      <c r="HX27" s="338"/>
    </row>
    <row r="28" spans="2:232" ht="15" customHeight="1" outlineLevel="1" x14ac:dyDescent="0.25">
      <c r="B28" s="147"/>
      <c r="C28" s="147"/>
      <c r="D28" s="147"/>
      <c r="E28" s="147"/>
      <c r="F28" s="157"/>
      <c r="G28" s="147"/>
      <c r="H28" s="157"/>
      <c r="I28" s="175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V28" s="161" t="s">
        <v>200</v>
      </c>
      <c r="W28" s="12"/>
      <c r="X28" s="12"/>
      <c r="Y28" s="12"/>
      <c r="Z28" s="12"/>
      <c r="AA28" s="12"/>
      <c r="AB28" s="12"/>
      <c r="AC28" s="14"/>
      <c r="AD28" s="352" t="s">
        <v>201</v>
      </c>
      <c r="AE28" s="353"/>
      <c r="AF28" s="353"/>
      <c r="AG28" s="1" t="s">
        <v>57</v>
      </c>
      <c r="AH28" s="353" t="s">
        <v>220</v>
      </c>
      <c r="AI28" s="353"/>
      <c r="AJ28" s="353"/>
      <c r="AK28" s="367" t="s">
        <v>220</v>
      </c>
      <c r="AL28" s="353"/>
      <c r="AM28" s="353"/>
      <c r="AO28" s="353"/>
      <c r="AP28" s="353"/>
      <c r="AQ28" s="355"/>
      <c r="AR28" s="352" t="s">
        <v>220</v>
      </c>
      <c r="AS28" s="353"/>
      <c r="AT28" s="353"/>
      <c r="AV28" s="353"/>
      <c r="AW28" s="353"/>
      <c r="AX28" s="355"/>
      <c r="AY28" s="352" t="s">
        <v>229</v>
      </c>
      <c r="AZ28" s="353"/>
      <c r="BA28" s="353"/>
      <c r="BC28" s="353"/>
      <c r="BD28" s="353"/>
      <c r="BE28" s="353"/>
      <c r="BF28" s="352" t="s">
        <v>229</v>
      </c>
      <c r="BG28" s="353"/>
      <c r="BH28" s="353"/>
      <c r="BJ28" s="353"/>
      <c r="BK28" s="353"/>
      <c r="BL28" s="355"/>
      <c r="BM28" s="352"/>
      <c r="BN28" s="353"/>
      <c r="BO28" s="353"/>
      <c r="BQ28" s="353"/>
      <c r="BR28" s="353"/>
      <c r="BS28" s="353"/>
      <c r="BT28" s="367" t="s">
        <v>229</v>
      </c>
      <c r="BU28" s="353"/>
      <c r="BV28" s="353"/>
      <c r="BX28" s="353"/>
      <c r="BY28" s="353"/>
      <c r="BZ28" s="355"/>
      <c r="CA28" s="352" t="s">
        <v>229</v>
      </c>
      <c r="CB28" s="353"/>
      <c r="CC28" s="353"/>
      <c r="CE28" s="353"/>
      <c r="CF28" s="353"/>
      <c r="CG28" s="353"/>
      <c r="CH28" s="352" t="s">
        <v>229</v>
      </c>
      <c r="CI28" s="353"/>
      <c r="CJ28" s="353"/>
      <c r="CL28" s="353"/>
      <c r="CM28" s="353"/>
      <c r="CN28" s="355"/>
      <c r="CO28" s="352" t="s">
        <v>229</v>
      </c>
      <c r="CP28" s="353"/>
      <c r="CQ28" s="353"/>
      <c r="CS28" s="353"/>
      <c r="CT28" s="353"/>
      <c r="CU28" s="355"/>
      <c r="CV28" s="352" t="s">
        <v>229</v>
      </c>
      <c r="CW28" s="353"/>
      <c r="CX28" s="353"/>
      <c r="CZ28" s="353"/>
      <c r="DA28" s="353"/>
      <c r="DB28" s="353"/>
      <c r="DC28" s="352" t="s">
        <v>229</v>
      </c>
      <c r="DD28" s="353"/>
      <c r="DE28" s="353"/>
      <c r="DG28" s="353"/>
      <c r="DH28" s="353"/>
      <c r="DI28" s="355"/>
      <c r="DJ28" s="352" t="s">
        <v>229</v>
      </c>
      <c r="DK28" s="353"/>
      <c r="DL28" s="353"/>
      <c r="DN28" s="353"/>
      <c r="DO28" s="353"/>
      <c r="DP28" s="355"/>
      <c r="DQ28" s="352" t="s">
        <v>229</v>
      </c>
      <c r="DR28" s="353"/>
      <c r="DS28" s="353"/>
      <c r="DU28" s="353"/>
      <c r="DV28" s="353"/>
      <c r="DW28" s="355"/>
      <c r="DX28" s="353" t="s">
        <v>229</v>
      </c>
      <c r="DY28" s="353"/>
      <c r="DZ28" s="353"/>
      <c r="EB28" s="353"/>
      <c r="EC28" s="353"/>
      <c r="ED28" s="353"/>
      <c r="EE28" s="352" t="s">
        <v>229</v>
      </c>
      <c r="EF28" s="353"/>
      <c r="EG28" s="353"/>
      <c r="EI28" s="353"/>
      <c r="EJ28" s="353"/>
      <c r="EK28" s="354"/>
      <c r="EL28" s="353" t="s">
        <v>229</v>
      </c>
      <c r="EM28" s="353"/>
      <c r="EN28" s="353"/>
      <c r="EP28" s="353"/>
      <c r="EQ28" s="353"/>
      <c r="ER28" s="354"/>
      <c r="ES28" s="353" t="s">
        <v>220</v>
      </c>
      <c r="ET28" s="353"/>
      <c r="EU28" s="353"/>
      <c r="EW28" s="353"/>
      <c r="EX28" s="353"/>
      <c r="EY28" s="355"/>
      <c r="EZ28" s="352" t="s">
        <v>229</v>
      </c>
      <c r="FA28" s="353"/>
      <c r="FB28" s="353"/>
      <c r="FD28" s="353"/>
      <c r="FE28" s="353"/>
      <c r="FF28" s="353"/>
      <c r="FG28" s="352" t="s">
        <v>229</v>
      </c>
      <c r="FH28" s="353"/>
      <c r="FI28" s="353"/>
      <c r="FK28" s="353"/>
      <c r="FL28" s="353"/>
      <c r="FM28" s="355"/>
      <c r="FN28" s="352"/>
      <c r="FO28" s="353"/>
      <c r="FP28" s="353"/>
      <c r="FR28" s="353"/>
      <c r="FS28" s="353"/>
      <c r="FT28" s="353"/>
      <c r="FU28" s="367" t="s">
        <v>229</v>
      </c>
      <c r="FV28" s="353"/>
      <c r="FW28" s="353"/>
      <c r="FY28" s="353"/>
      <c r="FZ28" s="353"/>
      <c r="GA28" s="353"/>
      <c r="GB28" s="352" t="s">
        <v>229</v>
      </c>
      <c r="GC28" s="353"/>
      <c r="GD28" s="353"/>
      <c r="GF28" s="353"/>
      <c r="GG28" s="353"/>
      <c r="GH28" s="355"/>
      <c r="GI28" s="352" t="s">
        <v>229</v>
      </c>
      <c r="GJ28" s="353"/>
      <c r="GK28" s="353"/>
      <c r="GM28" s="353"/>
      <c r="GN28" s="353"/>
      <c r="GO28" s="355"/>
      <c r="GP28" s="353" t="s">
        <v>229</v>
      </c>
      <c r="GQ28" s="353"/>
      <c r="GR28" s="353"/>
      <c r="GT28" s="353"/>
      <c r="GU28" s="353"/>
      <c r="GV28" s="355"/>
      <c r="GW28" s="352" t="s">
        <v>229</v>
      </c>
      <c r="GX28" s="353"/>
      <c r="GY28" s="353"/>
      <c r="HA28" s="353"/>
      <c r="HB28" s="353"/>
      <c r="HC28" s="355"/>
      <c r="HD28" s="352" t="s">
        <v>229</v>
      </c>
      <c r="HE28" s="353"/>
      <c r="HF28" s="353"/>
      <c r="HH28" s="353"/>
      <c r="HI28" s="353"/>
      <c r="HJ28" s="354"/>
      <c r="HK28" s="353" t="s">
        <v>229</v>
      </c>
      <c r="HL28" s="353"/>
      <c r="HM28" s="353"/>
      <c r="HO28" s="353"/>
      <c r="HP28" s="353"/>
      <c r="HQ28" s="354"/>
      <c r="HR28" s="353"/>
      <c r="HS28" s="353"/>
      <c r="HT28" s="353"/>
      <c r="HV28" s="353"/>
      <c r="HW28" s="353"/>
      <c r="HX28" s="355"/>
    </row>
    <row r="29" spans="2:232" ht="15" customHeight="1" outlineLevel="1" x14ac:dyDescent="0.25">
      <c r="B29" s="147"/>
      <c r="C29" s="147"/>
      <c r="D29" s="147"/>
      <c r="E29" s="147"/>
      <c r="F29" s="157"/>
      <c r="G29" s="147"/>
      <c r="H29" s="157"/>
      <c r="I29" s="175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V29" s="162"/>
      <c r="W29" s="159"/>
      <c r="X29" s="159"/>
      <c r="Y29" s="159"/>
      <c r="Z29" s="159"/>
      <c r="AA29" s="159"/>
      <c r="AB29" s="159"/>
      <c r="AC29" s="160"/>
      <c r="AD29" s="361"/>
      <c r="AE29" s="356"/>
      <c r="AF29" s="356"/>
      <c r="AG29" s="163"/>
      <c r="AH29" s="356"/>
      <c r="AI29" s="356"/>
      <c r="AJ29" s="356"/>
      <c r="AK29" s="368"/>
      <c r="AL29" s="356"/>
      <c r="AM29" s="356"/>
      <c r="AN29" s="163"/>
      <c r="AO29" s="356"/>
      <c r="AP29" s="356"/>
      <c r="AQ29" s="357"/>
      <c r="AR29" s="361"/>
      <c r="AS29" s="356"/>
      <c r="AT29" s="356"/>
      <c r="AU29" s="163"/>
      <c r="AV29" s="356"/>
      <c r="AW29" s="356"/>
      <c r="AX29" s="357"/>
      <c r="AY29" s="361"/>
      <c r="AZ29" s="356"/>
      <c r="BA29" s="356"/>
      <c r="BB29" s="163"/>
      <c r="BC29" s="356"/>
      <c r="BD29" s="356"/>
      <c r="BE29" s="356"/>
      <c r="BF29" s="361"/>
      <c r="BG29" s="356"/>
      <c r="BH29" s="356"/>
      <c r="BI29" s="163"/>
      <c r="BJ29" s="356"/>
      <c r="BK29" s="356"/>
      <c r="BL29" s="357"/>
      <c r="BM29" s="361"/>
      <c r="BN29" s="356"/>
      <c r="BO29" s="356"/>
      <c r="BP29" s="163"/>
      <c r="BQ29" s="356"/>
      <c r="BR29" s="356"/>
      <c r="BS29" s="356"/>
      <c r="BT29" s="368"/>
      <c r="BU29" s="356"/>
      <c r="BV29" s="356"/>
      <c r="BW29" s="163"/>
      <c r="BX29" s="356"/>
      <c r="BY29" s="356"/>
      <c r="BZ29" s="357"/>
      <c r="CA29" s="361"/>
      <c r="CB29" s="356"/>
      <c r="CC29" s="356"/>
      <c r="CD29" s="163"/>
      <c r="CE29" s="356"/>
      <c r="CF29" s="356"/>
      <c r="CG29" s="357"/>
      <c r="CH29" s="361"/>
      <c r="CI29" s="356"/>
      <c r="CJ29" s="356"/>
      <c r="CK29" s="163"/>
      <c r="CL29" s="356"/>
      <c r="CM29" s="356"/>
      <c r="CN29" s="357"/>
      <c r="CO29" s="361"/>
      <c r="CP29" s="356"/>
      <c r="CQ29" s="356"/>
      <c r="CR29" s="163"/>
      <c r="CS29" s="356"/>
      <c r="CT29" s="356"/>
      <c r="CU29" s="357"/>
      <c r="CV29" s="361"/>
      <c r="CW29" s="356"/>
      <c r="CX29" s="356"/>
      <c r="CY29" s="163"/>
      <c r="CZ29" s="356"/>
      <c r="DA29" s="356"/>
      <c r="DB29" s="357"/>
      <c r="DC29" s="361"/>
      <c r="DD29" s="356"/>
      <c r="DE29" s="356"/>
      <c r="DF29" s="163"/>
      <c r="DG29" s="356"/>
      <c r="DH29" s="356"/>
      <c r="DI29" s="357"/>
      <c r="DJ29" s="361"/>
      <c r="DK29" s="356"/>
      <c r="DL29" s="356"/>
      <c r="DM29" s="163"/>
      <c r="DN29" s="356"/>
      <c r="DO29" s="356"/>
      <c r="DP29" s="357"/>
      <c r="DQ29" s="361"/>
      <c r="DR29" s="356"/>
      <c r="DS29" s="356"/>
      <c r="DT29" s="163"/>
      <c r="DU29" s="356"/>
      <c r="DV29" s="356"/>
      <c r="DW29" s="357"/>
      <c r="DX29" s="356"/>
      <c r="DY29" s="356"/>
      <c r="DZ29" s="356"/>
      <c r="EA29" s="163"/>
      <c r="EB29" s="356"/>
      <c r="EC29" s="356"/>
      <c r="ED29" s="357"/>
      <c r="EE29" s="361"/>
      <c r="EF29" s="356"/>
      <c r="EG29" s="356"/>
      <c r="EH29" s="163"/>
      <c r="EI29" s="356"/>
      <c r="EJ29" s="356"/>
      <c r="EK29" s="359"/>
      <c r="EL29" s="356"/>
      <c r="EM29" s="356"/>
      <c r="EN29" s="356"/>
      <c r="EO29" s="163"/>
      <c r="EP29" s="356"/>
      <c r="EQ29" s="356"/>
      <c r="ER29" s="359"/>
      <c r="ES29" s="356"/>
      <c r="ET29" s="356"/>
      <c r="EU29" s="356"/>
      <c r="EV29" s="163"/>
      <c r="EW29" s="356"/>
      <c r="EX29" s="356"/>
      <c r="EY29" s="357"/>
      <c r="EZ29" s="361"/>
      <c r="FA29" s="356"/>
      <c r="FB29" s="356"/>
      <c r="FC29" s="163"/>
      <c r="FD29" s="356"/>
      <c r="FE29" s="356"/>
      <c r="FF29" s="356"/>
      <c r="FG29" s="361"/>
      <c r="FH29" s="356"/>
      <c r="FI29" s="356"/>
      <c r="FJ29" s="163"/>
      <c r="FK29" s="356"/>
      <c r="FL29" s="356"/>
      <c r="FM29" s="357"/>
      <c r="FN29" s="361"/>
      <c r="FO29" s="356"/>
      <c r="FP29" s="356"/>
      <c r="FQ29" s="163"/>
      <c r="FR29" s="356"/>
      <c r="FS29" s="356"/>
      <c r="FT29" s="356"/>
      <c r="FU29" s="368"/>
      <c r="FV29" s="356"/>
      <c r="FW29" s="356"/>
      <c r="FX29" s="163"/>
      <c r="FY29" s="356"/>
      <c r="FZ29" s="356"/>
      <c r="GA29" s="356"/>
      <c r="GB29" s="361"/>
      <c r="GC29" s="356"/>
      <c r="GD29" s="356"/>
      <c r="GE29" s="163"/>
      <c r="GF29" s="356"/>
      <c r="GG29" s="356"/>
      <c r="GH29" s="357"/>
      <c r="GI29" s="361"/>
      <c r="GJ29" s="356"/>
      <c r="GK29" s="356"/>
      <c r="GL29" s="163"/>
      <c r="GM29" s="356"/>
      <c r="GN29" s="356"/>
      <c r="GO29" s="357"/>
      <c r="GP29" s="356"/>
      <c r="GQ29" s="356"/>
      <c r="GR29" s="356"/>
      <c r="GS29" s="163"/>
      <c r="GT29" s="356"/>
      <c r="GU29" s="356"/>
      <c r="GV29" s="357"/>
      <c r="GW29" s="361"/>
      <c r="GX29" s="356"/>
      <c r="GY29" s="356"/>
      <c r="GZ29" s="163"/>
      <c r="HA29" s="356"/>
      <c r="HB29" s="356"/>
      <c r="HC29" s="357"/>
      <c r="HD29" s="361"/>
      <c r="HE29" s="356"/>
      <c r="HF29" s="356"/>
      <c r="HG29" s="163"/>
      <c r="HH29" s="356"/>
      <c r="HI29" s="356"/>
      <c r="HJ29" s="359"/>
      <c r="HK29" s="356"/>
      <c r="HL29" s="356"/>
      <c r="HM29" s="356"/>
      <c r="HN29" s="163"/>
      <c r="HO29" s="356"/>
      <c r="HP29" s="356"/>
      <c r="HQ29" s="359"/>
      <c r="HR29" s="356"/>
      <c r="HS29" s="356"/>
      <c r="HT29" s="356"/>
      <c r="HU29" s="163"/>
      <c r="HV29" s="356"/>
      <c r="HW29" s="356"/>
      <c r="HX29" s="357"/>
    </row>
    <row r="30" spans="2:232" outlineLevel="1" x14ac:dyDescent="0.25">
      <c r="B30" s="32"/>
      <c r="C30" s="333">
        <f>MAX(C23:C24)+1</f>
        <v>2</v>
      </c>
      <c r="D30" s="164" t="s">
        <v>21</v>
      </c>
      <c r="E30" s="34"/>
      <c r="F30" s="165" t="s">
        <v>529</v>
      </c>
      <c r="G30" s="165" t="s">
        <v>529</v>
      </c>
      <c r="H30" s="165" t="s">
        <v>179</v>
      </c>
      <c r="I30" s="176" t="s">
        <v>85</v>
      </c>
      <c r="J30" s="165" t="s">
        <v>171</v>
      </c>
      <c r="K30" s="165">
        <v>2031</v>
      </c>
      <c r="L30" s="165">
        <v>1</v>
      </c>
      <c r="M30" s="165"/>
      <c r="N30" s="165"/>
      <c r="O30" s="165"/>
      <c r="P30" s="165"/>
      <c r="Q30" s="165"/>
      <c r="R30" s="165"/>
      <c r="S30" s="165"/>
      <c r="T30" s="165"/>
      <c r="V30" s="11" t="s">
        <v>283</v>
      </c>
      <c r="W30" s="12"/>
      <c r="X30" s="12"/>
      <c r="Y30" s="12"/>
      <c r="Z30" s="12"/>
      <c r="AA30" s="12"/>
      <c r="AB30" s="12"/>
      <c r="AC30" s="14"/>
      <c r="AD30" s="166">
        <f>$C30</f>
        <v>2</v>
      </c>
      <c r="AE30" s="358" t="s">
        <v>175</v>
      </c>
      <c r="AF30" s="358"/>
      <c r="AG30" s="358"/>
      <c r="AH30" s="158"/>
      <c r="AI30" s="337"/>
      <c r="AJ30" s="337"/>
      <c r="AK30" s="214">
        <f>$C30</f>
        <v>2</v>
      </c>
      <c r="AL30" s="358" t="s">
        <v>175</v>
      </c>
      <c r="AM30" s="358"/>
      <c r="AN30" s="358"/>
      <c r="AO30" s="32"/>
      <c r="AP30" s="353"/>
      <c r="AQ30" s="355"/>
      <c r="AR30" s="166">
        <f>$C30</f>
        <v>2</v>
      </c>
      <c r="AS30" s="358" t="s">
        <v>532</v>
      </c>
      <c r="AT30" s="358"/>
      <c r="AU30" s="358"/>
      <c r="AV30" s="32"/>
      <c r="AW30" s="353"/>
      <c r="AX30" s="355"/>
      <c r="AY30" s="166">
        <f>$C30</f>
        <v>2</v>
      </c>
      <c r="AZ30" s="358" t="s">
        <v>531</v>
      </c>
      <c r="BA30" s="358"/>
      <c r="BB30" s="358"/>
      <c r="BC30" s="32"/>
      <c r="BD30" s="353"/>
      <c r="BE30" s="353"/>
      <c r="BF30" s="166">
        <f>$C30</f>
        <v>2</v>
      </c>
      <c r="BG30" s="358" t="s">
        <v>531</v>
      </c>
      <c r="BH30" s="358"/>
      <c r="BI30" s="358"/>
      <c r="BJ30" s="158"/>
      <c r="BK30" s="337"/>
      <c r="BL30" s="338"/>
      <c r="BM30" s="166">
        <f>$C30</f>
        <v>2</v>
      </c>
      <c r="BN30" s="358" t="s">
        <v>531</v>
      </c>
      <c r="BO30" s="358"/>
      <c r="BP30" s="358"/>
      <c r="BQ30" s="158"/>
      <c r="BR30" s="337"/>
      <c r="BS30" s="337"/>
      <c r="BT30" s="214">
        <f>$C30</f>
        <v>2</v>
      </c>
      <c r="BU30" s="358" t="s">
        <v>538</v>
      </c>
      <c r="BV30" s="358"/>
      <c r="BW30" s="358"/>
      <c r="BX30" s="158"/>
      <c r="BY30" s="337"/>
      <c r="BZ30" s="338"/>
      <c r="CA30" s="166">
        <f>$C30</f>
        <v>2</v>
      </c>
      <c r="CB30" s="358" t="s">
        <v>532</v>
      </c>
      <c r="CC30" s="358"/>
      <c r="CD30" s="358"/>
      <c r="CE30" s="158"/>
      <c r="CF30" s="337"/>
      <c r="CG30" s="338"/>
      <c r="CH30" s="166">
        <f>$C30</f>
        <v>2</v>
      </c>
      <c r="CI30" s="358" t="s">
        <v>532</v>
      </c>
      <c r="CJ30" s="358"/>
      <c r="CK30" s="358"/>
      <c r="CL30" s="158"/>
      <c r="CM30" s="337"/>
      <c r="CN30" s="338"/>
      <c r="CO30" s="166">
        <f>$C30</f>
        <v>2</v>
      </c>
      <c r="CP30" s="358" t="s">
        <v>173</v>
      </c>
      <c r="CQ30" s="358"/>
      <c r="CR30" s="358"/>
      <c r="CS30" s="158"/>
      <c r="CT30" s="337"/>
      <c r="CU30" s="338"/>
      <c r="CV30" s="166">
        <f>$C30</f>
        <v>2</v>
      </c>
      <c r="CW30" s="358" t="s">
        <v>531</v>
      </c>
      <c r="CX30" s="358"/>
      <c r="CY30" s="358"/>
      <c r="CZ30" s="158"/>
      <c r="DA30" s="337"/>
      <c r="DB30" s="338"/>
      <c r="DC30" s="166">
        <f>$C30</f>
        <v>2</v>
      </c>
      <c r="DD30" s="358" t="s">
        <v>531</v>
      </c>
      <c r="DE30" s="358"/>
      <c r="DF30" s="358"/>
      <c r="DG30" s="158"/>
      <c r="DH30" s="337"/>
      <c r="DI30" s="338"/>
      <c r="DJ30" s="166">
        <f>$C30</f>
        <v>2</v>
      </c>
      <c r="DK30" s="358" t="s">
        <v>531</v>
      </c>
      <c r="DL30" s="358"/>
      <c r="DM30" s="358"/>
      <c r="DN30" s="158"/>
      <c r="DO30" s="337"/>
      <c r="DP30" s="338"/>
      <c r="DQ30" s="166">
        <f>$C30</f>
        <v>2</v>
      </c>
      <c r="DR30" s="358" t="s">
        <v>173</v>
      </c>
      <c r="DS30" s="358"/>
      <c r="DT30" s="358"/>
      <c r="DU30" s="158"/>
      <c r="DV30" s="337"/>
      <c r="DW30" s="338"/>
      <c r="DX30" s="166">
        <f>$C30</f>
        <v>2</v>
      </c>
      <c r="DY30" s="358" t="s">
        <v>532</v>
      </c>
      <c r="DZ30" s="358"/>
      <c r="EA30" s="358"/>
      <c r="EB30" s="158"/>
      <c r="EC30" s="337"/>
      <c r="ED30" s="338"/>
      <c r="EE30" s="166">
        <f>$C30</f>
        <v>2</v>
      </c>
      <c r="EF30" s="358" t="s">
        <v>531</v>
      </c>
      <c r="EG30" s="358"/>
      <c r="EH30" s="358"/>
      <c r="EI30" s="158"/>
      <c r="EJ30" s="337"/>
      <c r="EK30" s="351"/>
      <c r="EL30" s="193">
        <f>$C30</f>
        <v>2</v>
      </c>
      <c r="EM30" s="358" t="s">
        <v>645</v>
      </c>
      <c r="EN30" s="358"/>
      <c r="EO30" s="358"/>
      <c r="EP30" s="158"/>
      <c r="EQ30" s="337"/>
      <c r="ER30" s="351"/>
      <c r="ES30" s="193">
        <f>$C30</f>
        <v>2</v>
      </c>
      <c r="ET30" s="358" t="s">
        <v>175</v>
      </c>
      <c r="EU30" s="358"/>
      <c r="EV30" s="358"/>
      <c r="EW30" s="32"/>
      <c r="EX30" s="353"/>
      <c r="EY30" s="355"/>
      <c r="EZ30" s="166">
        <f>$C30</f>
        <v>2</v>
      </c>
      <c r="FA30" s="358" t="s">
        <v>532</v>
      </c>
      <c r="FB30" s="358"/>
      <c r="FC30" s="358"/>
      <c r="FD30" s="32"/>
      <c r="FE30" s="353"/>
      <c r="FF30" s="353"/>
      <c r="FG30" s="166">
        <f>$C30</f>
        <v>2</v>
      </c>
      <c r="FH30" s="358" t="s">
        <v>532</v>
      </c>
      <c r="FI30" s="358"/>
      <c r="FJ30" s="358"/>
      <c r="FK30" s="32"/>
      <c r="FL30" s="337"/>
      <c r="FM30" s="338"/>
      <c r="FN30" s="166">
        <f>$C30</f>
        <v>2</v>
      </c>
      <c r="FO30" s="358" t="s">
        <v>532</v>
      </c>
      <c r="FP30" s="358"/>
      <c r="FQ30" s="358"/>
      <c r="FR30" s="32"/>
      <c r="FS30" s="337"/>
      <c r="FT30" s="337"/>
      <c r="FU30" s="214">
        <f>$C30</f>
        <v>2</v>
      </c>
      <c r="FV30" s="358" t="s">
        <v>532</v>
      </c>
      <c r="FW30" s="358"/>
      <c r="FX30" s="358"/>
      <c r="FY30" s="32"/>
      <c r="FZ30" s="337"/>
      <c r="GA30" s="337"/>
      <c r="GB30" s="166">
        <f>$C30</f>
        <v>2</v>
      </c>
      <c r="GC30" s="358" t="s">
        <v>532</v>
      </c>
      <c r="GD30" s="358"/>
      <c r="GE30" s="358"/>
      <c r="GF30" s="32"/>
      <c r="GG30" s="337"/>
      <c r="GH30" s="338"/>
      <c r="GI30" s="166">
        <f>$C30</f>
        <v>2</v>
      </c>
      <c r="GJ30" s="358" t="s">
        <v>532</v>
      </c>
      <c r="GK30" s="358"/>
      <c r="GL30" s="358"/>
      <c r="GM30" s="32"/>
      <c r="GN30" s="337"/>
      <c r="GO30" s="338"/>
      <c r="GP30" s="193">
        <f>$C30</f>
        <v>2</v>
      </c>
      <c r="GQ30" s="358" t="s">
        <v>175</v>
      </c>
      <c r="GR30" s="358"/>
      <c r="GS30" s="358"/>
      <c r="GT30" s="32"/>
      <c r="GU30" s="337"/>
      <c r="GV30" s="338"/>
      <c r="GW30" s="166">
        <f>$C30</f>
        <v>2</v>
      </c>
      <c r="GX30" s="358" t="s">
        <v>175</v>
      </c>
      <c r="GY30" s="358"/>
      <c r="GZ30" s="358"/>
      <c r="HA30" s="32"/>
      <c r="HB30" s="337"/>
      <c r="HC30" s="338"/>
      <c r="HD30" s="166">
        <f>$C30</f>
        <v>2</v>
      </c>
      <c r="HE30" s="358" t="s">
        <v>532</v>
      </c>
      <c r="HF30" s="358"/>
      <c r="HG30" s="358"/>
      <c r="HH30" s="32"/>
      <c r="HI30" s="337"/>
      <c r="HJ30" s="351"/>
      <c r="HK30" s="193">
        <f>$C30</f>
        <v>2</v>
      </c>
      <c r="HL30" s="358" t="s">
        <v>645</v>
      </c>
      <c r="HM30" s="358"/>
      <c r="HN30" s="358"/>
      <c r="HO30" s="32"/>
      <c r="HP30" s="337"/>
      <c r="HQ30" s="351"/>
      <c r="HR30" s="193"/>
      <c r="HS30" s="362"/>
      <c r="HT30" s="362"/>
      <c r="HU30" s="362"/>
      <c r="HV30" s="257"/>
      <c r="HW30" s="337"/>
      <c r="HX30" s="338"/>
    </row>
    <row r="31" spans="2:232" outlineLevel="1" x14ac:dyDescent="0.25">
      <c r="B31" s="32"/>
      <c r="C31" s="167"/>
      <c r="D31" s="167"/>
      <c r="E31" s="34"/>
      <c r="F31" s="168"/>
      <c r="G31" s="167"/>
      <c r="H31" s="168"/>
      <c r="I31" s="177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V31" s="107"/>
      <c r="W31" s="108"/>
      <c r="X31" s="108"/>
      <c r="Y31" s="108"/>
      <c r="Z31" s="108"/>
      <c r="AA31" s="108"/>
      <c r="AB31" s="108"/>
      <c r="AC31" s="109"/>
      <c r="AD31" s="169"/>
      <c r="AE31" s="365"/>
      <c r="AF31" s="365"/>
      <c r="AG31" s="365"/>
      <c r="AH31" s="30"/>
      <c r="AI31" s="340"/>
      <c r="AJ31" s="340"/>
      <c r="AK31" s="215"/>
      <c r="AL31" s="339"/>
      <c r="AM31" s="339"/>
      <c r="AN31" s="339"/>
      <c r="AO31" s="30"/>
      <c r="AP31" s="340"/>
      <c r="AQ31" s="341"/>
      <c r="AR31" s="169"/>
      <c r="AS31" s="339"/>
      <c r="AT31" s="339"/>
      <c r="AU31" s="339"/>
      <c r="AV31" s="30"/>
      <c r="AW31" s="340"/>
      <c r="AX31" s="341"/>
      <c r="AY31" s="169"/>
      <c r="AZ31" s="339"/>
      <c r="BA31" s="339"/>
      <c r="BB31" s="339"/>
      <c r="BC31" s="30"/>
      <c r="BD31" s="340"/>
      <c r="BE31" s="340"/>
      <c r="BF31" s="169"/>
      <c r="BG31" s="339"/>
      <c r="BH31" s="339"/>
      <c r="BI31" s="339"/>
      <c r="BJ31" s="30"/>
      <c r="BK31" s="340"/>
      <c r="BL31" s="341"/>
      <c r="BM31" s="169"/>
      <c r="BN31" s="339"/>
      <c r="BO31" s="339"/>
      <c r="BP31" s="339"/>
      <c r="BQ31" s="30"/>
      <c r="BR31" s="340"/>
      <c r="BS31" s="340"/>
      <c r="BT31" s="215"/>
      <c r="BU31" s="339"/>
      <c r="BV31" s="339"/>
      <c r="BW31" s="339"/>
      <c r="BX31" s="30"/>
      <c r="BY31" s="340"/>
      <c r="BZ31" s="341"/>
      <c r="CA31" s="169"/>
      <c r="CB31" s="339"/>
      <c r="CC31" s="339"/>
      <c r="CD31" s="339"/>
      <c r="CE31" s="30"/>
      <c r="CF31" s="340"/>
      <c r="CG31" s="341"/>
      <c r="CH31" s="169"/>
      <c r="CI31" s="339"/>
      <c r="CJ31" s="339"/>
      <c r="CK31" s="339"/>
      <c r="CL31" s="30"/>
      <c r="CM31" s="340"/>
      <c r="CN31" s="341"/>
      <c r="CO31" s="169"/>
      <c r="CP31" s="339"/>
      <c r="CQ31" s="339"/>
      <c r="CR31" s="339"/>
      <c r="CS31" s="30"/>
      <c r="CT31" s="340"/>
      <c r="CU31" s="341"/>
      <c r="CV31" s="169"/>
      <c r="CW31" s="339"/>
      <c r="CX31" s="339"/>
      <c r="CY31" s="339"/>
      <c r="CZ31" s="30"/>
      <c r="DA31" s="340"/>
      <c r="DB31" s="341"/>
      <c r="DC31" s="169"/>
      <c r="DD31" s="339"/>
      <c r="DE31" s="339"/>
      <c r="DF31" s="339"/>
      <c r="DG31" s="30"/>
      <c r="DH31" s="340"/>
      <c r="DI31" s="341"/>
      <c r="DJ31" s="169"/>
      <c r="DK31" s="339"/>
      <c r="DL31" s="339"/>
      <c r="DM31" s="339"/>
      <c r="DN31" s="30"/>
      <c r="DO31" s="340"/>
      <c r="DP31" s="341"/>
      <c r="DQ31" s="169"/>
      <c r="DR31" s="339"/>
      <c r="DS31" s="339"/>
      <c r="DT31" s="339"/>
      <c r="DU31" s="30"/>
      <c r="DV31" s="340"/>
      <c r="DW31" s="341"/>
      <c r="DX31" s="192"/>
      <c r="DY31" s="339"/>
      <c r="DZ31" s="339"/>
      <c r="EA31" s="339"/>
      <c r="EB31" s="30"/>
      <c r="EC31" s="340"/>
      <c r="ED31" s="341"/>
      <c r="EE31" s="169"/>
      <c r="EF31" s="339"/>
      <c r="EG31" s="339"/>
      <c r="EH31" s="339"/>
      <c r="EI31" s="30"/>
      <c r="EJ31" s="340"/>
      <c r="EK31" s="360"/>
      <c r="EL31" s="192"/>
      <c r="EM31" s="339"/>
      <c r="EN31" s="339"/>
      <c r="EO31" s="339"/>
      <c r="EP31" s="30"/>
      <c r="EQ31" s="340"/>
      <c r="ER31" s="360"/>
      <c r="ES31" s="192"/>
      <c r="ET31" s="339"/>
      <c r="EU31" s="339"/>
      <c r="EV31" s="339"/>
      <c r="EW31" s="30"/>
      <c r="EX31" s="340"/>
      <c r="EY31" s="341"/>
      <c r="EZ31" s="169"/>
      <c r="FA31" s="339"/>
      <c r="FB31" s="339"/>
      <c r="FC31" s="339"/>
      <c r="FD31" s="30"/>
      <c r="FE31" s="340"/>
      <c r="FF31" s="340"/>
      <c r="FG31" s="169"/>
      <c r="FH31" s="339"/>
      <c r="FI31" s="339"/>
      <c r="FJ31" s="339"/>
      <c r="FK31" s="30"/>
      <c r="FL31" s="340"/>
      <c r="FM31" s="341"/>
      <c r="FN31" s="169"/>
      <c r="FO31" s="339"/>
      <c r="FP31" s="339"/>
      <c r="FQ31" s="339"/>
      <c r="FR31" s="30"/>
      <c r="FS31" s="340"/>
      <c r="FT31" s="340"/>
      <c r="FU31" s="215"/>
      <c r="FV31" s="339"/>
      <c r="FW31" s="339"/>
      <c r="FX31" s="339"/>
      <c r="FY31" s="30"/>
      <c r="FZ31" s="340"/>
      <c r="GA31" s="340"/>
      <c r="GB31" s="169"/>
      <c r="GC31" s="339"/>
      <c r="GD31" s="339"/>
      <c r="GE31" s="339"/>
      <c r="GF31" s="30"/>
      <c r="GG31" s="340"/>
      <c r="GH31" s="341"/>
      <c r="GI31" s="169"/>
      <c r="GJ31" s="339"/>
      <c r="GK31" s="339"/>
      <c r="GL31" s="339"/>
      <c r="GM31" s="30"/>
      <c r="GN31" s="340"/>
      <c r="GO31" s="341"/>
      <c r="GP31" s="192"/>
      <c r="GQ31" s="339"/>
      <c r="GR31" s="339"/>
      <c r="GS31" s="339"/>
      <c r="GT31" s="30"/>
      <c r="GU31" s="340"/>
      <c r="GV31" s="341"/>
      <c r="GW31" s="169"/>
      <c r="GX31" s="339"/>
      <c r="GY31" s="339"/>
      <c r="GZ31" s="339"/>
      <c r="HA31" s="30"/>
      <c r="HB31" s="340"/>
      <c r="HC31" s="341"/>
      <c r="HD31" s="169"/>
      <c r="HE31" s="339"/>
      <c r="HF31" s="339"/>
      <c r="HG31" s="339"/>
      <c r="HH31" s="30"/>
      <c r="HI31" s="340"/>
      <c r="HJ31" s="360"/>
      <c r="HK31" s="192"/>
      <c r="HL31" s="339"/>
      <c r="HM31" s="339"/>
      <c r="HN31" s="339"/>
      <c r="HO31" s="30"/>
      <c r="HP31" s="340"/>
      <c r="HQ31" s="360"/>
      <c r="HR31" s="192"/>
      <c r="HS31" s="339"/>
      <c r="HT31" s="339"/>
      <c r="HU31" s="339"/>
      <c r="HV31" s="258"/>
      <c r="HW31" s="340"/>
      <c r="HX31" s="341"/>
    </row>
    <row r="32" spans="2:232" ht="15" customHeight="1" outlineLevel="1" x14ac:dyDescent="0.25">
      <c r="B32" s="147"/>
      <c r="C32" s="147"/>
      <c r="D32" s="148"/>
      <c r="E32" s="147"/>
      <c r="F32" s="149"/>
      <c r="G32" s="148"/>
      <c r="H32" s="149"/>
      <c r="I32" s="174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V32" s="150" t="s">
        <v>170</v>
      </c>
      <c r="W32" s="151"/>
      <c r="X32" s="151"/>
      <c r="Y32" s="151"/>
      <c r="Z32" s="151"/>
      <c r="AA32" s="151"/>
      <c r="AB32" s="369"/>
      <c r="AC32" s="370"/>
      <c r="AD32" s="342" t="s">
        <v>217</v>
      </c>
      <c r="AE32" s="343"/>
      <c r="AF32" s="343"/>
      <c r="AG32" s="343"/>
      <c r="AH32" s="343"/>
      <c r="AI32" s="152"/>
      <c r="AJ32" s="194">
        <f>COUNTA(AD37:AD38)</f>
        <v>1</v>
      </c>
      <c r="AK32" s="366" t="s">
        <v>217</v>
      </c>
      <c r="AL32" s="343"/>
      <c r="AM32" s="343"/>
      <c r="AN32" s="343"/>
      <c r="AO32" s="343"/>
      <c r="AP32" s="152"/>
      <c r="AQ32" s="155">
        <f>COUNTA(AK37:AK38)</f>
        <v>1</v>
      </c>
      <c r="AR32" s="342" t="s">
        <v>217</v>
      </c>
      <c r="AS32" s="343"/>
      <c r="AT32" s="343"/>
      <c r="AU32" s="343"/>
      <c r="AV32" s="343"/>
      <c r="AW32" s="152"/>
      <c r="AX32" s="155">
        <f>COUNTA(AR37:AR38)</f>
        <v>1</v>
      </c>
      <c r="AY32" s="342" t="s">
        <v>217</v>
      </c>
      <c r="AZ32" s="343"/>
      <c r="BA32" s="343"/>
      <c r="BB32" s="343"/>
      <c r="BC32" s="343"/>
      <c r="BD32" s="152"/>
      <c r="BE32" s="194">
        <f>COUNTA(AY37:AY38)</f>
        <v>1</v>
      </c>
      <c r="BF32" s="342" t="s">
        <v>217</v>
      </c>
      <c r="BG32" s="343"/>
      <c r="BH32" s="343"/>
      <c r="BI32" s="343"/>
      <c r="BJ32" s="343"/>
      <c r="BK32" s="152"/>
      <c r="BL32" s="155">
        <f>COUNTA(BF37:BF38)</f>
        <v>1</v>
      </c>
      <c r="BM32" s="156"/>
      <c r="BN32" s="152"/>
      <c r="BO32" s="153"/>
      <c r="BP32" s="152"/>
      <c r="BQ32" s="154"/>
      <c r="BR32" s="152"/>
      <c r="BS32" s="194">
        <f>COUNTA(BM37:BM38)</f>
        <v>1</v>
      </c>
      <c r="BT32" s="366" t="s">
        <v>217</v>
      </c>
      <c r="BU32" s="343"/>
      <c r="BV32" s="343"/>
      <c r="BW32" s="343"/>
      <c r="BX32" s="343"/>
      <c r="BY32" s="152"/>
      <c r="BZ32" s="155">
        <f>COUNTA(BT37:BT38)</f>
        <v>1</v>
      </c>
      <c r="CA32" s="342" t="s">
        <v>217</v>
      </c>
      <c r="CB32" s="343"/>
      <c r="CC32" s="343"/>
      <c r="CD32" s="343"/>
      <c r="CE32" s="343"/>
      <c r="CF32" s="152"/>
      <c r="CG32" s="155">
        <f>COUNTA(CA37:CA38)</f>
        <v>1</v>
      </c>
      <c r="CH32" s="342" t="s">
        <v>217</v>
      </c>
      <c r="CI32" s="343"/>
      <c r="CJ32" s="343"/>
      <c r="CK32" s="343"/>
      <c r="CL32" s="343"/>
      <c r="CM32" s="152"/>
      <c r="CN32" s="155">
        <f>COUNTA(CH37:CH38)</f>
        <v>1</v>
      </c>
      <c r="CO32" s="342" t="s">
        <v>217</v>
      </c>
      <c r="CP32" s="343"/>
      <c r="CQ32" s="343"/>
      <c r="CR32" s="343"/>
      <c r="CS32" s="343"/>
      <c r="CT32" s="152"/>
      <c r="CU32" s="155">
        <f>COUNTA(CO37:CO38)</f>
        <v>1</v>
      </c>
      <c r="CV32" s="342" t="s">
        <v>217</v>
      </c>
      <c r="CW32" s="343"/>
      <c r="CX32" s="343"/>
      <c r="CY32" s="343"/>
      <c r="CZ32" s="343"/>
      <c r="DA32" s="152"/>
      <c r="DB32" s="155">
        <f>COUNTA(CV37:CV38)</f>
        <v>1</v>
      </c>
      <c r="DC32" s="342" t="s">
        <v>217</v>
      </c>
      <c r="DD32" s="343"/>
      <c r="DE32" s="343"/>
      <c r="DF32" s="343"/>
      <c r="DG32" s="343"/>
      <c r="DH32" s="152"/>
      <c r="DI32" s="155">
        <f>COUNTA(DC37:DC38)</f>
        <v>1</v>
      </c>
      <c r="DJ32" s="342" t="s">
        <v>217</v>
      </c>
      <c r="DK32" s="343"/>
      <c r="DL32" s="343"/>
      <c r="DM32" s="343"/>
      <c r="DN32" s="343"/>
      <c r="DO32" s="152"/>
      <c r="DP32" s="155">
        <f>COUNTA(DJ37:DJ38)</f>
        <v>1</v>
      </c>
      <c r="DQ32" s="342" t="s">
        <v>217</v>
      </c>
      <c r="DR32" s="343"/>
      <c r="DS32" s="343"/>
      <c r="DT32" s="343"/>
      <c r="DU32" s="343"/>
      <c r="DV32" s="152"/>
      <c r="DW32" s="155">
        <f>COUNTA(DQ37:DQ38)</f>
        <v>1</v>
      </c>
      <c r="DX32" s="343" t="s">
        <v>217</v>
      </c>
      <c r="DY32" s="343"/>
      <c r="DZ32" s="343"/>
      <c r="EA32" s="343"/>
      <c r="EB32" s="343"/>
      <c r="EC32" s="152"/>
      <c r="ED32" s="155">
        <f>COUNTA(DX37:DX38)</f>
        <v>1</v>
      </c>
      <c r="EE32" s="342" t="s">
        <v>217</v>
      </c>
      <c r="EF32" s="343"/>
      <c r="EG32" s="343"/>
      <c r="EH32" s="343"/>
      <c r="EI32" s="343"/>
      <c r="EJ32" s="152"/>
      <c r="EK32" s="218">
        <f>COUNTA(EE37:EE38)</f>
        <v>1</v>
      </c>
      <c r="EL32" s="343" t="s">
        <v>217</v>
      </c>
      <c r="EM32" s="343"/>
      <c r="EN32" s="343"/>
      <c r="EO32" s="343"/>
      <c r="EP32" s="343"/>
      <c r="EQ32" s="152"/>
      <c r="ER32" s="218">
        <f>COUNTA(EL37:EL38)</f>
        <v>1</v>
      </c>
      <c r="ES32" s="343" t="s">
        <v>217</v>
      </c>
      <c r="ET32" s="343"/>
      <c r="EU32" s="343"/>
      <c r="EV32" s="343"/>
      <c r="EW32" s="343"/>
      <c r="EX32" s="152"/>
      <c r="EY32" s="155">
        <f>COUNTA(ES37:ES38)</f>
        <v>1</v>
      </c>
      <c r="EZ32" s="342" t="s">
        <v>217</v>
      </c>
      <c r="FA32" s="343"/>
      <c r="FB32" s="343"/>
      <c r="FC32" s="343"/>
      <c r="FD32" s="343"/>
      <c r="FE32" s="152"/>
      <c r="FF32" s="194">
        <f>COUNTA(EZ37:EZ38)</f>
        <v>1</v>
      </c>
      <c r="FG32" s="342" t="s">
        <v>217</v>
      </c>
      <c r="FH32" s="343"/>
      <c r="FI32" s="343"/>
      <c r="FJ32" s="343"/>
      <c r="FK32" s="343"/>
      <c r="FL32" s="152"/>
      <c r="FM32" s="155">
        <f>COUNTA(FG37:FG38)</f>
        <v>1</v>
      </c>
      <c r="FN32" s="156"/>
      <c r="FO32" s="152"/>
      <c r="FP32" s="153"/>
      <c r="FQ32" s="152"/>
      <c r="FR32" s="154"/>
      <c r="FS32" s="152"/>
      <c r="FT32" s="194">
        <f>COUNTA(FN37:FN38)</f>
        <v>1</v>
      </c>
      <c r="FU32" s="366" t="s">
        <v>217</v>
      </c>
      <c r="FV32" s="343"/>
      <c r="FW32" s="343"/>
      <c r="FX32" s="343"/>
      <c r="FY32" s="343"/>
      <c r="FZ32" s="152"/>
      <c r="GA32" s="194">
        <f>COUNTA(FU37:FU38)</f>
        <v>1</v>
      </c>
      <c r="GB32" s="342" t="s">
        <v>217</v>
      </c>
      <c r="GC32" s="343"/>
      <c r="GD32" s="343"/>
      <c r="GE32" s="343"/>
      <c r="GF32" s="343"/>
      <c r="GG32" s="152"/>
      <c r="GH32" s="155">
        <f>COUNTA(GB37:GB38)</f>
        <v>1</v>
      </c>
      <c r="GI32" s="342" t="s">
        <v>217</v>
      </c>
      <c r="GJ32" s="343"/>
      <c r="GK32" s="343"/>
      <c r="GL32" s="343"/>
      <c r="GM32" s="343"/>
      <c r="GN32" s="152"/>
      <c r="GO32" s="155">
        <f>COUNTA(GI37:GI38)</f>
        <v>1</v>
      </c>
      <c r="GP32" s="343" t="s">
        <v>217</v>
      </c>
      <c r="GQ32" s="343"/>
      <c r="GR32" s="343"/>
      <c r="GS32" s="343"/>
      <c r="GT32" s="343"/>
      <c r="GU32" s="152"/>
      <c r="GV32" s="155">
        <f>COUNTA(GP37:GP38)</f>
        <v>1</v>
      </c>
      <c r="GW32" s="342" t="s">
        <v>217</v>
      </c>
      <c r="GX32" s="343"/>
      <c r="GY32" s="343"/>
      <c r="GZ32" s="343"/>
      <c r="HA32" s="343"/>
      <c r="HB32" s="152"/>
      <c r="HC32" s="155">
        <f>COUNTA(GW37:GW38)</f>
        <v>1</v>
      </c>
      <c r="HD32" s="342" t="s">
        <v>217</v>
      </c>
      <c r="HE32" s="343"/>
      <c r="HF32" s="343"/>
      <c r="HG32" s="343"/>
      <c r="HH32" s="343"/>
      <c r="HI32" s="152"/>
      <c r="HJ32" s="218">
        <f>COUNTA(HD37:HD38)</f>
        <v>1</v>
      </c>
      <c r="HK32" s="343" t="s">
        <v>217</v>
      </c>
      <c r="HL32" s="343"/>
      <c r="HM32" s="343"/>
      <c r="HN32" s="343"/>
      <c r="HO32" s="343"/>
      <c r="HP32" s="152"/>
      <c r="HQ32" s="218">
        <f>COUNTA(HK37:HK38)</f>
        <v>1</v>
      </c>
      <c r="HR32" s="152"/>
      <c r="HS32" s="152"/>
      <c r="HT32" s="153"/>
      <c r="HU32" s="152"/>
      <c r="HV32" s="255"/>
      <c r="HW32" s="152"/>
      <c r="HX32" s="155">
        <f>COUNTA(HR37:HR38)</f>
        <v>0</v>
      </c>
    </row>
    <row r="33" spans="2:232" ht="15" customHeight="1" outlineLevel="1" x14ac:dyDescent="0.25">
      <c r="B33" s="147"/>
      <c r="C33" s="147"/>
      <c r="D33" s="147"/>
      <c r="E33" s="147"/>
      <c r="F33" s="157"/>
      <c r="G33" s="147"/>
      <c r="H33" s="157"/>
      <c r="I33" s="175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V33" s="185" t="s">
        <v>224</v>
      </c>
      <c r="W33" s="186"/>
      <c r="X33" s="186"/>
      <c r="Y33" s="186"/>
      <c r="Z33" s="186"/>
      <c r="AA33" s="186"/>
      <c r="AB33" s="187"/>
      <c r="AC33" s="188"/>
      <c r="AD33" s="344" t="s">
        <v>225</v>
      </c>
      <c r="AE33" s="345"/>
      <c r="AF33" s="345"/>
      <c r="AG33" s="181" t="s">
        <v>75</v>
      </c>
      <c r="AH33" s="346" t="s">
        <v>286</v>
      </c>
      <c r="AI33" s="346"/>
      <c r="AJ33" s="346"/>
      <c r="AK33" s="363" t="s">
        <v>227</v>
      </c>
      <c r="AL33" s="345"/>
      <c r="AM33" s="345"/>
      <c r="AN33" s="181" t="s">
        <v>75</v>
      </c>
      <c r="AO33" s="346" t="s">
        <v>316</v>
      </c>
      <c r="AP33" s="346"/>
      <c r="AQ33" s="349"/>
      <c r="AR33" s="344" t="s">
        <v>227</v>
      </c>
      <c r="AS33" s="345"/>
      <c r="AT33" s="345"/>
      <c r="AU33" s="181" t="s">
        <v>75</v>
      </c>
      <c r="AV33" s="346" t="s">
        <v>316</v>
      </c>
      <c r="AW33" s="346"/>
      <c r="AX33" s="349"/>
      <c r="AY33" s="344" t="s">
        <v>227</v>
      </c>
      <c r="AZ33" s="345"/>
      <c r="BA33" s="345"/>
      <c r="BB33" s="181" t="s">
        <v>75</v>
      </c>
      <c r="BC33" s="346" t="s">
        <v>316</v>
      </c>
      <c r="BD33" s="346"/>
      <c r="BE33" s="349"/>
      <c r="BF33" s="344" t="s">
        <v>227</v>
      </c>
      <c r="BG33" s="345"/>
      <c r="BH33" s="345"/>
      <c r="BI33" s="181" t="s">
        <v>75</v>
      </c>
      <c r="BJ33" s="346" t="s">
        <v>316</v>
      </c>
      <c r="BK33" s="346"/>
      <c r="BL33" s="349"/>
      <c r="BM33" s="180"/>
      <c r="BN33" s="181"/>
      <c r="BO33" s="182"/>
      <c r="BP33" s="181"/>
      <c r="BQ33" s="183"/>
      <c r="BR33" s="181"/>
      <c r="BS33" s="210"/>
      <c r="BT33" s="363" t="s">
        <v>232</v>
      </c>
      <c r="BU33" s="345"/>
      <c r="BV33" s="345"/>
      <c r="BW33" s="181" t="s">
        <v>75</v>
      </c>
      <c r="BX33" s="346" t="s">
        <v>335</v>
      </c>
      <c r="BY33" s="346"/>
      <c r="BZ33" s="349"/>
      <c r="CA33" s="344" t="s">
        <v>232</v>
      </c>
      <c r="CB33" s="345"/>
      <c r="CC33" s="345"/>
      <c r="CD33" s="181" t="s">
        <v>75</v>
      </c>
      <c r="CE33" s="346" t="s">
        <v>335</v>
      </c>
      <c r="CF33" s="346"/>
      <c r="CG33" s="349"/>
      <c r="CH33" s="344" t="s">
        <v>232</v>
      </c>
      <c r="CI33" s="345"/>
      <c r="CJ33" s="345"/>
      <c r="CK33" s="181" t="s">
        <v>75</v>
      </c>
      <c r="CL33" s="346" t="s">
        <v>335</v>
      </c>
      <c r="CM33" s="346"/>
      <c r="CN33" s="349"/>
      <c r="CO33" s="344" t="s">
        <v>232</v>
      </c>
      <c r="CP33" s="345"/>
      <c r="CQ33" s="345"/>
      <c r="CR33" s="181" t="s">
        <v>75</v>
      </c>
      <c r="CS33" s="346" t="s">
        <v>335</v>
      </c>
      <c r="CT33" s="346"/>
      <c r="CU33" s="349"/>
      <c r="CV33" s="344" t="s">
        <v>232</v>
      </c>
      <c r="CW33" s="345"/>
      <c r="CX33" s="345"/>
      <c r="CY33" s="181" t="s">
        <v>75</v>
      </c>
      <c r="CZ33" s="346" t="s">
        <v>335</v>
      </c>
      <c r="DA33" s="346"/>
      <c r="DB33" s="349"/>
      <c r="DC33" s="344" t="s">
        <v>232</v>
      </c>
      <c r="DD33" s="345"/>
      <c r="DE33" s="345"/>
      <c r="DF33" s="181" t="s">
        <v>75</v>
      </c>
      <c r="DG33" s="346" t="s">
        <v>335</v>
      </c>
      <c r="DH33" s="346"/>
      <c r="DI33" s="349"/>
      <c r="DJ33" s="344" t="s">
        <v>232</v>
      </c>
      <c r="DK33" s="345"/>
      <c r="DL33" s="345"/>
      <c r="DM33" s="181" t="s">
        <v>75</v>
      </c>
      <c r="DN33" s="346" t="s">
        <v>335</v>
      </c>
      <c r="DO33" s="346"/>
      <c r="DP33" s="349"/>
      <c r="DQ33" s="345" t="s">
        <v>232</v>
      </c>
      <c r="DR33" s="345"/>
      <c r="DS33" s="345"/>
      <c r="DT33" s="181" t="s">
        <v>75</v>
      </c>
      <c r="DU33" s="346" t="s">
        <v>335</v>
      </c>
      <c r="DV33" s="346"/>
      <c r="DW33" s="349"/>
      <c r="DX33" s="345" t="s">
        <v>232</v>
      </c>
      <c r="DY33" s="345"/>
      <c r="DZ33" s="345"/>
      <c r="EA33" s="181" t="s">
        <v>75</v>
      </c>
      <c r="EB33" s="346" t="s">
        <v>335</v>
      </c>
      <c r="EC33" s="346"/>
      <c r="ED33" s="349"/>
      <c r="EE33" s="345" t="s">
        <v>232</v>
      </c>
      <c r="EF33" s="345"/>
      <c r="EG33" s="345"/>
      <c r="EH33" s="181" t="s">
        <v>75</v>
      </c>
      <c r="EI33" s="346" t="s">
        <v>335</v>
      </c>
      <c r="EJ33" s="346"/>
      <c r="EK33" s="347"/>
      <c r="EL33" s="345" t="s">
        <v>539</v>
      </c>
      <c r="EM33" s="345"/>
      <c r="EN33" s="345"/>
      <c r="EO33" s="181" t="s">
        <v>75</v>
      </c>
      <c r="EP33" s="346" t="s">
        <v>335</v>
      </c>
      <c r="EQ33" s="346"/>
      <c r="ER33" s="347"/>
      <c r="ES33" s="345" t="s">
        <v>243</v>
      </c>
      <c r="ET33" s="345"/>
      <c r="EU33" s="345"/>
      <c r="EV33" s="181" t="s">
        <v>75</v>
      </c>
      <c r="EW33" s="346" t="s">
        <v>363</v>
      </c>
      <c r="EX33" s="346"/>
      <c r="EY33" s="349"/>
      <c r="EZ33" s="344" t="s">
        <v>243</v>
      </c>
      <c r="FA33" s="345"/>
      <c r="FB33" s="345"/>
      <c r="FC33" s="181" t="s">
        <v>75</v>
      </c>
      <c r="FD33" s="346" t="s">
        <v>363</v>
      </c>
      <c r="FE33" s="346"/>
      <c r="FF33" s="346"/>
      <c r="FG33" s="344" t="s">
        <v>243</v>
      </c>
      <c r="FH33" s="345"/>
      <c r="FI33" s="345"/>
      <c r="FJ33" s="181" t="s">
        <v>75</v>
      </c>
      <c r="FK33" s="346" t="s">
        <v>363</v>
      </c>
      <c r="FL33" s="346"/>
      <c r="FM33" s="346"/>
      <c r="FN33" s="180"/>
      <c r="FO33" s="181"/>
      <c r="FP33" s="182"/>
      <c r="FQ33" s="181"/>
      <c r="FR33" s="183"/>
      <c r="FS33" s="181"/>
      <c r="FT33" s="210"/>
      <c r="FU33" s="363" t="s">
        <v>246</v>
      </c>
      <c r="FV33" s="345"/>
      <c r="FW33" s="345"/>
      <c r="FX33" s="181" t="s">
        <v>75</v>
      </c>
      <c r="FY33" s="346" t="s">
        <v>386</v>
      </c>
      <c r="FZ33" s="346"/>
      <c r="GA33" s="346"/>
      <c r="GB33" s="344" t="s">
        <v>246</v>
      </c>
      <c r="GC33" s="345"/>
      <c r="GD33" s="345"/>
      <c r="GE33" s="181" t="s">
        <v>75</v>
      </c>
      <c r="GF33" s="346" t="s">
        <v>386</v>
      </c>
      <c r="GG33" s="346"/>
      <c r="GH33" s="349"/>
      <c r="GI33" s="344" t="s">
        <v>246</v>
      </c>
      <c r="GJ33" s="345"/>
      <c r="GK33" s="345"/>
      <c r="GL33" s="181" t="s">
        <v>75</v>
      </c>
      <c r="GM33" s="346" t="s">
        <v>386</v>
      </c>
      <c r="GN33" s="346"/>
      <c r="GO33" s="349"/>
      <c r="GP33" s="345" t="s">
        <v>246</v>
      </c>
      <c r="GQ33" s="345"/>
      <c r="GR33" s="345"/>
      <c r="GS33" s="181" t="s">
        <v>75</v>
      </c>
      <c r="GT33" s="346" t="s">
        <v>386</v>
      </c>
      <c r="GU33" s="346"/>
      <c r="GV33" s="349"/>
      <c r="GW33" s="344" t="s">
        <v>246</v>
      </c>
      <c r="GX33" s="345"/>
      <c r="GY33" s="345"/>
      <c r="GZ33" s="181" t="s">
        <v>75</v>
      </c>
      <c r="HA33" s="346" t="s">
        <v>386</v>
      </c>
      <c r="HB33" s="346"/>
      <c r="HC33" s="349"/>
      <c r="HD33" s="344" t="s">
        <v>246</v>
      </c>
      <c r="HE33" s="345"/>
      <c r="HF33" s="345"/>
      <c r="HG33" s="181" t="s">
        <v>75</v>
      </c>
      <c r="HH33" s="346" t="s">
        <v>386</v>
      </c>
      <c r="HI33" s="346"/>
      <c r="HJ33" s="347"/>
      <c r="HK33" s="345" t="s">
        <v>541</v>
      </c>
      <c r="HL33" s="345"/>
      <c r="HM33" s="345"/>
      <c r="HN33" s="181" t="s">
        <v>75</v>
      </c>
      <c r="HO33" s="346" t="s">
        <v>386</v>
      </c>
      <c r="HP33" s="346"/>
      <c r="HQ33" s="347"/>
      <c r="HR33" s="181"/>
      <c r="HS33" s="181"/>
      <c r="HT33" s="182"/>
      <c r="HU33" s="181"/>
      <c r="HV33" s="256"/>
      <c r="HW33" s="181"/>
      <c r="HX33" s="184"/>
    </row>
    <row r="34" spans="2:232" ht="15" customHeight="1" outlineLevel="1" x14ac:dyDescent="0.25">
      <c r="B34" s="147"/>
      <c r="C34" s="147"/>
      <c r="D34" s="147"/>
      <c r="E34" s="147"/>
      <c r="F34" s="157"/>
      <c r="G34" s="147"/>
      <c r="H34" s="157"/>
      <c r="I34" s="175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V34" s="161" t="s">
        <v>199</v>
      </c>
      <c r="W34" s="12"/>
      <c r="X34" s="12"/>
      <c r="Y34" s="12"/>
      <c r="Z34" s="12"/>
      <c r="AA34" s="12"/>
      <c r="AB34" s="12"/>
      <c r="AC34" s="14"/>
      <c r="AD34" s="352" t="s">
        <v>201</v>
      </c>
      <c r="AE34" s="353"/>
      <c r="AF34" s="353"/>
      <c r="AG34" s="1" t="s">
        <v>57</v>
      </c>
      <c r="AH34" s="337" t="s">
        <v>221</v>
      </c>
      <c r="AI34" s="337"/>
      <c r="AJ34" s="337"/>
      <c r="AK34" s="364" t="s">
        <v>202</v>
      </c>
      <c r="AL34" s="337"/>
      <c r="AM34" s="337"/>
      <c r="AN34" s="1" t="s">
        <v>57</v>
      </c>
      <c r="AO34" s="337" t="s">
        <v>221</v>
      </c>
      <c r="AP34" s="337"/>
      <c r="AQ34" s="338"/>
      <c r="AR34" s="350" t="s">
        <v>221</v>
      </c>
      <c r="AS34" s="337"/>
      <c r="AT34" s="337"/>
      <c r="AU34" s="1" t="s">
        <v>57</v>
      </c>
      <c r="AV34" s="337" t="s">
        <v>228</v>
      </c>
      <c r="AW34" s="337"/>
      <c r="AX34" s="338"/>
      <c r="AY34" s="350" t="s">
        <v>228</v>
      </c>
      <c r="AZ34" s="337"/>
      <c r="BA34" s="337"/>
      <c r="BB34" s="1" t="s">
        <v>57</v>
      </c>
      <c r="BC34" s="337" t="s">
        <v>352</v>
      </c>
      <c r="BD34" s="337"/>
      <c r="BE34" s="337"/>
      <c r="BF34" s="350" t="s">
        <v>556</v>
      </c>
      <c r="BG34" s="337"/>
      <c r="BH34" s="337"/>
      <c r="BI34" s="191"/>
      <c r="BJ34" s="337"/>
      <c r="BK34" s="337"/>
      <c r="BL34" s="338"/>
      <c r="BM34" s="350"/>
      <c r="BN34" s="337"/>
      <c r="BO34" s="337"/>
      <c r="BQ34" s="337"/>
      <c r="BR34" s="337"/>
      <c r="BS34" s="337"/>
      <c r="BT34" s="364" t="s">
        <v>221</v>
      </c>
      <c r="BU34" s="337"/>
      <c r="BV34" s="337"/>
      <c r="BW34" s="1" t="s">
        <v>57</v>
      </c>
      <c r="BX34" s="337" t="s">
        <v>231</v>
      </c>
      <c r="BY34" s="337"/>
      <c r="BZ34" s="338"/>
      <c r="CA34" s="337" t="s">
        <v>231</v>
      </c>
      <c r="CB34" s="337"/>
      <c r="CC34" s="337"/>
      <c r="CD34" s="1" t="s">
        <v>57</v>
      </c>
      <c r="CE34" s="337" t="s">
        <v>221</v>
      </c>
      <c r="CF34" s="337"/>
      <c r="CG34" s="337"/>
      <c r="CH34" s="350" t="s">
        <v>221</v>
      </c>
      <c r="CI34" s="337"/>
      <c r="CJ34" s="337"/>
      <c r="CK34" s="1" t="s">
        <v>57</v>
      </c>
      <c r="CL34" s="337" t="s">
        <v>234</v>
      </c>
      <c r="CM34" s="337"/>
      <c r="CN34" s="338"/>
      <c r="CO34" s="350" t="s">
        <v>262</v>
      </c>
      <c r="CP34" s="337"/>
      <c r="CQ34" s="337"/>
      <c r="CR34" s="1" t="s">
        <v>57</v>
      </c>
      <c r="CS34" s="337" t="s">
        <v>233</v>
      </c>
      <c r="CT34" s="337"/>
      <c r="CU34" s="338"/>
      <c r="CV34" s="350" t="s">
        <v>228</v>
      </c>
      <c r="CW34" s="337"/>
      <c r="CX34" s="337"/>
      <c r="CY34" s="1" t="s">
        <v>57</v>
      </c>
      <c r="CZ34" s="337" t="s">
        <v>231</v>
      </c>
      <c r="DA34" s="337"/>
      <c r="DB34" s="338"/>
      <c r="DC34" s="350" t="s">
        <v>231</v>
      </c>
      <c r="DD34" s="337"/>
      <c r="DE34" s="337"/>
      <c r="DF34" s="1" t="s">
        <v>57</v>
      </c>
      <c r="DG34" s="337" t="s">
        <v>252</v>
      </c>
      <c r="DH34" s="337"/>
      <c r="DI34" s="338"/>
      <c r="DJ34" s="350" t="s">
        <v>252</v>
      </c>
      <c r="DK34" s="337"/>
      <c r="DL34" s="337"/>
      <c r="DM34" s="1" t="s">
        <v>57</v>
      </c>
      <c r="DN34" s="337" t="s">
        <v>234</v>
      </c>
      <c r="DO34" s="337"/>
      <c r="DP34" s="338"/>
      <c r="DQ34" s="350" t="s">
        <v>233</v>
      </c>
      <c r="DR34" s="337"/>
      <c r="DS34" s="337"/>
      <c r="DT34" s="191"/>
      <c r="DU34" s="337"/>
      <c r="DV34" s="337"/>
      <c r="DW34" s="338"/>
      <c r="DX34" s="337" t="s">
        <v>252</v>
      </c>
      <c r="DY34" s="337"/>
      <c r="DZ34" s="337"/>
      <c r="EA34" s="1" t="s">
        <v>57</v>
      </c>
      <c r="EB34" s="337" t="s">
        <v>221</v>
      </c>
      <c r="EC34" s="337"/>
      <c r="ED34" s="337"/>
      <c r="EE34" s="350" t="s">
        <v>231</v>
      </c>
      <c r="EF34" s="337"/>
      <c r="EG34" s="337"/>
      <c r="EH34" s="191"/>
      <c r="EI34" s="337"/>
      <c r="EJ34" s="337"/>
      <c r="EK34" s="351"/>
      <c r="EL34" s="337" t="s">
        <v>383</v>
      </c>
      <c r="EM34" s="337"/>
      <c r="EN34" s="337"/>
      <c r="EO34" s="191"/>
      <c r="EP34" s="337"/>
      <c r="EQ34" s="337"/>
      <c r="ER34" s="351"/>
      <c r="ES34" s="337" t="s">
        <v>384</v>
      </c>
      <c r="ET34" s="337"/>
      <c r="EU34" s="337"/>
      <c r="EV34" s="1" t="s">
        <v>57</v>
      </c>
      <c r="EW34" s="337" t="s">
        <v>228</v>
      </c>
      <c r="EX34" s="337"/>
      <c r="EY34" s="338"/>
      <c r="EZ34" s="350" t="s">
        <v>228</v>
      </c>
      <c r="FA34" s="337"/>
      <c r="FB34" s="337"/>
      <c r="FC34" s="1" t="s">
        <v>57</v>
      </c>
      <c r="FD34" s="337" t="s">
        <v>352</v>
      </c>
      <c r="FE34" s="337"/>
      <c r="FF34" s="337"/>
      <c r="FG34" s="350" t="s">
        <v>352</v>
      </c>
      <c r="FH34" s="337"/>
      <c r="FI34" s="337"/>
      <c r="FJ34" s="191"/>
      <c r="FK34" s="337"/>
      <c r="FL34" s="337"/>
      <c r="FM34" s="338"/>
      <c r="FN34" s="350"/>
      <c r="FO34" s="337"/>
      <c r="FP34" s="337"/>
      <c r="FR34" s="337"/>
      <c r="FS34" s="337"/>
      <c r="FT34" s="337"/>
      <c r="FU34" s="364" t="s">
        <v>252</v>
      </c>
      <c r="FV34" s="337"/>
      <c r="FW34" s="337"/>
      <c r="FX34" s="1" t="s">
        <v>57</v>
      </c>
      <c r="FY34" s="337" t="s">
        <v>231</v>
      </c>
      <c r="FZ34" s="337"/>
      <c r="GA34" s="337"/>
      <c r="GB34" s="350" t="s">
        <v>231</v>
      </c>
      <c r="GC34" s="337"/>
      <c r="GD34" s="337"/>
      <c r="GE34" s="1" t="s">
        <v>57</v>
      </c>
      <c r="GF34" s="337" t="s">
        <v>252</v>
      </c>
      <c r="GG34" s="337"/>
      <c r="GH34" s="338"/>
      <c r="GI34" s="350" t="s">
        <v>252</v>
      </c>
      <c r="GJ34" s="337"/>
      <c r="GK34" s="337"/>
      <c r="GL34" s="1" t="s">
        <v>57</v>
      </c>
      <c r="GM34" s="337" t="s">
        <v>234</v>
      </c>
      <c r="GN34" s="337"/>
      <c r="GO34" s="338"/>
      <c r="GP34" s="337" t="s">
        <v>233</v>
      </c>
      <c r="GQ34" s="337"/>
      <c r="GR34" s="337"/>
      <c r="GS34" s="191"/>
      <c r="GT34" s="337"/>
      <c r="GU34" s="337"/>
      <c r="GV34" s="338"/>
      <c r="GW34" s="350" t="s">
        <v>382</v>
      </c>
      <c r="GX34" s="337"/>
      <c r="GY34" s="337"/>
      <c r="GZ34" s="1" t="s">
        <v>57</v>
      </c>
      <c r="HA34" s="337" t="s">
        <v>426</v>
      </c>
      <c r="HB34" s="337"/>
      <c r="HC34" s="338"/>
      <c r="HD34" s="350" t="s">
        <v>231</v>
      </c>
      <c r="HE34" s="337"/>
      <c r="HF34" s="337"/>
      <c r="HG34" s="191"/>
      <c r="HH34" s="337"/>
      <c r="HI34" s="337"/>
      <c r="HJ34" s="351"/>
      <c r="HK34" s="337" t="s">
        <v>383</v>
      </c>
      <c r="HL34" s="337"/>
      <c r="HM34" s="337"/>
      <c r="HO34" s="337"/>
      <c r="HP34" s="337"/>
      <c r="HQ34" s="351"/>
      <c r="HR34" s="337"/>
      <c r="HS34" s="337"/>
      <c r="HT34" s="337"/>
      <c r="HV34" s="337"/>
      <c r="HW34" s="337"/>
      <c r="HX34" s="338"/>
    </row>
    <row r="35" spans="2:232" ht="15" customHeight="1" outlineLevel="1" x14ac:dyDescent="0.25">
      <c r="B35" s="147"/>
      <c r="C35" s="147"/>
      <c r="D35" s="147"/>
      <c r="E35" s="147"/>
      <c r="F35" s="157"/>
      <c r="G35" s="147"/>
      <c r="H35" s="157"/>
      <c r="I35" s="175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V35" s="161" t="s">
        <v>200</v>
      </c>
      <c r="W35" s="12"/>
      <c r="X35" s="12"/>
      <c r="Y35" s="12"/>
      <c r="Z35" s="12"/>
      <c r="AA35" s="12"/>
      <c r="AB35" s="12"/>
      <c r="AC35" s="14"/>
      <c r="AD35" s="352" t="s">
        <v>201</v>
      </c>
      <c r="AE35" s="353"/>
      <c r="AF35" s="353"/>
      <c r="AG35" s="1" t="s">
        <v>57</v>
      </c>
      <c r="AH35" s="353" t="s">
        <v>220</v>
      </c>
      <c r="AI35" s="353"/>
      <c r="AJ35" s="353"/>
      <c r="AK35" s="367" t="s">
        <v>220</v>
      </c>
      <c r="AL35" s="353"/>
      <c r="AM35" s="353"/>
      <c r="AO35" s="353"/>
      <c r="AP35" s="353"/>
      <c r="AQ35" s="355"/>
      <c r="AR35" s="352" t="s">
        <v>220</v>
      </c>
      <c r="AS35" s="353"/>
      <c r="AT35" s="353"/>
      <c r="AV35" s="353"/>
      <c r="AW35" s="353"/>
      <c r="AX35" s="355"/>
      <c r="AY35" s="352" t="s">
        <v>229</v>
      </c>
      <c r="AZ35" s="353"/>
      <c r="BA35" s="353"/>
      <c r="BC35" s="353"/>
      <c r="BD35" s="353"/>
      <c r="BE35" s="353"/>
      <c r="BF35" s="352" t="s">
        <v>229</v>
      </c>
      <c r="BG35" s="353"/>
      <c r="BH35" s="353"/>
      <c r="BJ35" s="353"/>
      <c r="BK35" s="353"/>
      <c r="BL35" s="355"/>
      <c r="BM35" s="352"/>
      <c r="BN35" s="353"/>
      <c r="BO35" s="353"/>
      <c r="BQ35" s="353"/>
      <c r="BR35" s="353"/>
      <c r="BS35" s="353"/>
      <c r="BT35" s="367" t="s">
        <v>229</v>
      </c>
      <c r="BU35" s="353"/>
      <c r="BV35" s="353"/>
      <c r="BX35" s="353"/>
      <c r="BY35" s="353"/>
      <c r="BZ35" s="355"/>
      <c r="CA35" s="352" t="s">
        <v>229</v>
      </c>
      <c r="CB35" s="353"/>
      <c r="CC35" s="353"/>
      <c r="CE35" s="353"/>
      <c r="CF35" s="353"/>
      <c r="CG35" s="353"/>
      <c r="CH35" s="352" t="s">
        <v>229</v>
      </c>
      <c r="CI35" s="353"/>
      <c r="CJ35" s="353"/>
      <c r="CL35" s="353"/>
      <c r="CM35" s="353"/>
      <c r="CN35" s="355"/>
      <c r="CO35" s="352" t="s">
        <v>229</v>
      </c>
      <c r="CP35" s="353"/>
      <c r="CQ35" s="353"/>
      <c r="CS35" s="353"/>
      <c r="CT35" s="353"/>
      <c r="CU35" s="355"/>
      <c r="CV35" s="352" t="s">
        <v>229</v>
      </c>
      <c r="CW35" s="353"/>
      <c r="CX35" s="353"/>
      <c r="CZ35" s="353"/>
      <c r="DA35" s="353"/>
      <c r="DB35" s="353"/>
      <c r="DC35" s="352" t="s">
        <v>229</v>
      </c>
      <c r="DD35" s="353"/>
      <c r="DE35" s="353"/>
      <c r="DG35" s="353"/>
      <c r="DH35" s="353"/>
      <c r="DI35" s="355"/>
      <c r="DJ35" s="352" t="s">
        <v>229</v>
      </c>
      <c r="DK35" s="353"/>
      <c r="DL35" s="353"/>
      <c r="DN35" s="353"/>
      <c r="DO35" s="353"/>
      <c r="DP35" s="355"/>
      <c r="DQ35" s="352" t="s">
        <v>229</v>
      </c>
      <c r="DR35" s="353"/>
      <c r="DS35" s="353"/>
      <c r="DU35" s="353"/>
      <c r="DV35" s="353"/>
      <c r="DW35" s="355"/>
      <c r="DX35" s="353" t="s">
        <v>229</v>
      </c>
      <c r="DY35" s="353"/>
      <c r="DZ35" s="353"/>
      <c r="EB35" s="353"/>
      <c r="EC35" s="353"/>
      <c r="ED35" s="353"/>
      <c r="EE35" s="352" t="s">
        <v>229</v>
      </c>
      <c r="EF35" s="353"/>
      <c r="EG35" s="353"/>
      <c r="EI35" s="353"/>
      <c r="EJ35" s="353"/>
      <c r="EK35" s="354"/>
      <c r="EL35" s="353" t="s">
        <v>229</v>
      </c>
      <c r="EM35" s="353"/>
      <c r="EN35" s="353"/>
      <c r="EP35" s="353"/>
      <c r="EQ35" s="353"/>
      <c r="ER35" s="354"/>
      <c r="ES35" s="353" t="s">
        <v>220</v>
      </c>
      <c r="ET35" s="353"/>
      <c r="EU35" s="353"/>
      <c r="EW35" s="353"/>
      <c r="EX35" s="353"/>
      <c r="EY35" s="355"/>
      <c r="EZ35" s="352" t="s">
        <v>229</v>
      </c>
      <c r="FA35" s="353"/>
      <c r="FB35" s="353"/>
      <c r="FD35" s="353"/>
      <c r="FE35" s="353"/>
      <c r="FF35" s="353"/>
      <c r="FG35" s="352" t="s">
        <v>229</v>
      </c>
      <c r="FH35" s="353"/>
      <c r="FI35" s="353"/>
      <c r="FK35" s="353"/>
      <c r="FL35" s="353"/>
      <c r="FM35" s="355"/>
      <c r="FN35" s="352"/>
      <c r="FO35" s="353"/>
      <c r="FP35" s="353"/>
      <c r="FR35" s="353"/>
      <c r="FS35" s="353"/>
      <c r="FT35" s="353"/>
      <c r="FU35" s="367" t="s">
        <v>229</v>
      </c>
      <c r="FV35" s="353"/>
      <c r="FW35" s="353"/>
      <c r="FY35" s="353"/>
      <c r="FZ35" s="353"/>
      <c r="GA35" s="353"/>
      <c r="GB35" s="352" t="s">
        <v>229</v>
      </c>
      <c r="GC35" s="353"/>
      <c r="GD35" s="353"/>
      <c r="GF35" s="353"/>
      <c r="GG35" s="353"/>
      <c r="GH35" s="355"/>
      <c r="GI35" s="352" t="s">
        <v>229</v>
      </c>
      <c r="GJ35" s="353"/>
      <c r="GK35" s="353"/>
      <c r="GM35" s="353"/>
      <c r="GN35" s="353"/>
      <c r="GO35" s="355"/>
      <c r="GP35" s="353" t="s">
        <v>229</v>
      </c>
      <c r="GQ35" s="353"/>
      <c r="GR35" s="353"/>
      <c r="GT35" s="353"/>
      <c r="GU35" s="353"/>
      <c r="GV35" s="355"/>
      <c r="GW35" s="352" t="s">
        <v>229</v>
      </c>
      <c r="GX35" s="353"/>
      <c r="GY35" s="353"/>
      <c r="HA35" s="353"/>
      <c r="HB35" s="353"/>
      <c r="HC35" s="355"/>
      <c r="HD35" s="352" t="s">
        <v>229</v>
      </c>
      <c r="HE35" s="353"/>
      <c r="HF35" s="353"/>
      <c r="HH35" s="353"/>
      <c r="HI35" s="353"/>
      <c r="HJ35" s="354"/>
      <c r="HK35" s="353" t="s">
        <v>229</v>
      </c>
      <c r="HL35" s="353"/>
      <c r="HM35" s="353"/>
      <c r="HO35" s="353"/>
      <c r="HP35" s="353"/>
      <c r="HQ35" s="354"/>
      <c r="HR35" s="353"/>
      <c r="HS35" s="353"/>
      <c r="HT35" s="353"/>
      <c r="HV35" s="353"/>
      <c r="HW35" s="353"/>
      <c r="HX35" s="355"/>
    </row>
    <row r="36" spans="2:232" ht="15" customHeight="1" outlineLevel="1" x14ac:dyDescent="0.25">
      <c r="B36" s="147"/>
      <c r="C36" s="147"/>
      <c r="D36" s="147"/>
      <c r="E36" s="147"/>
      <c r="F36" s="157"/>
      <c r="G36" s="147"/>
      <c r="H36" s="157"/>
      <c r="I36" s="175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V36" s="162"/>
      <c r="W36" s="159"/>
      <c r="X36" s="159"/>
      <c r="Y36" s="159"/>
      <c r="Z36" s="159"/>
      <c r="AA36" s="159"/>
      <c r="AB36" s="159"/>
      <c r="AC36" s="160"/>
      <c r="AD36" s="361"/>
      <c r="AE36" s="356"/>
      <c r="AF36" s="356"/>
      <c r="AG36" s="163"/>
      <c r="AH36" s="356"/>
      <c r="AI36" s="356"/>
      <c r="AJ36" s="356"/>
      <c r="AK36" s="368"/>
      <c r="AL36" s="356"/>
      <c r="AM36" s="356"/>
      <c r="AN36" s="163"/>
      <c r="AO36" s="356"/>
      <c r="AP36" s="356"/>
      <c r="AQ36" s="357"/>
      <c r="AR36" s="361"/>
      <c r="AS36" s="356"/>
      <c r="AT36" s="356"/>
      <c r="AU36" s="163"/>
      <c r="AV36" s="356"/>
      <c r="AW36" s="356"/>
      <c r="AX36" s="357"/>
      <c r="AY36" s="361"/>
      <c r="AZ36" s="356"/>
      <c r="BA36" s="356"/>
      <c r="BB36" s="163"/>
      <c r="BC36" s="356"/>
      <c r="BD36" s="356"/>
      <c r="BE36" s="356"/>
      <c r="BF36" s="361"/>
      <c r="BG36" s="356"/>
      <c r="BH36" s="356"/>
      <c r="BI36" s="163"/>
      <c r="BJ36" s="356"/>
      <c r="BK36" s="356"/>
      <c r="BL36" s="357"/>
      <c r="BM36" s="361"/>
      <c r="BN36" s="356"/>
      <c r="BO36" s="356"/>
      <c r="BP36" s="163"/>
      <c r="BQ36" s="356"/>
      <c r="BR36" s="356"/>
      <c r="BS36" s="356"/>
      <c r="BT36" s="368"/>
      <c r="BU36" s="356"/>
      <c r="BV36" s="356"/>
      <c r="BW36" s="163"/>
      <c r="BX36" s="356"/>
      <c r="BY36" s="356"/>
      <c r="BZ36" s="357"/>
      <c r="CA36" s="361"/>
      <c r="CB36" s="356"/>
      <c r="CC36" s="356"/>
      <c r="CD36" s="163"/>
      <c r="CE36" s="356"/>
      <c r="CF36" s="356"/>
      <c r="CG36" s="357"/>
      <c r="CH36" s="361"/>
      <c r="CI36" s="356"/>
      <c r="CJ36" s="356"/>
      <c r="CK36" s="163"/>
      <c r="CL36" s="356"/>
      <c r="CM36" s="356"/>
      <c r="CN36" s="357"/>
      <c r="CO36" s="361"/>
      <c r="CP36" s="356"/>
      <c r="CQ36" s="356"/>
      <c r="CR36" s="163"/>
      <c r="CS36" s="356"/>
      <c r="CT36" s="356"/>
      <c r="CU36" s="357"/>
      <c r="CV36" s="361"/>
      <c r="CW36" s="356"/>
      <c r="CX36" s="356"/>
      <c r="CY36" s="163"/>
      <c r="CZ36" s="356"/>
      <c r="DA36" s="356"/>
      <c r="DB36" s="357"/>
      <c r="DC36" s="356"/>
      <c r="DD36" s="356"/>
      <c r="DE36" s="356"/>
      <c r="DF36" s="163"/>
      <c r="DG36" s="356"/>
      <c r="DH36" s="356"/>
      <c r="DI36" s="357"/>
      <c r="DJ36" s="361"/>
      <c r="DK36" s="356"/>
      <c r="DL36" s="356"/>
      <c r="DM36" s="163"/>
      <c r="DN36" s="356"/>
      <c r="DO36" s="356"/>
      <c r="DP36" s="357"/>
      <c r="DQ36" s="361"/>
      <c r="DR36" s="356"/>
      <c r="DS36" s="356"/>
      <c r="DT36" s="163"/>
      <c r="DU36" s="356"/>
      <c r="DV36" s="356"/>
      <c r="DW36" s="357"/>
      <c r="DX36" s="356"/>
      <c r="DY36" s="356"/>
      <c r="DZ36" s="356"/>
      <c r="EA36" s="163"/>
      <c r="EB36" s="356"/>
      <c r="EC36" s="356"/>
      <c r="ED36" s="357"/>
      <c r="EE36" s="361"/>
      <c r="EF36" s="356"/>
      <c r="EG36" s="356"/>
      <c r="EH36" s="163"/>
      <c r="EI36" s="356"/>
      <c r="EJ36" s="356"/>
      <c r="EK36" s="359"/>
      <c r="EL36" s="356"/>
      <c r="EM36" s="356"/>
      <c r="EN36" s="356"/>
      <c r="EO36" s="163"/>
      <c r="EP36" s="356"/>
      <c r="EQ36" s="356"/>
      <c r="ER36" s="359"/>
      <c r="ES36" s="356"/>
      <c r="ET36" s="356"/>
      <c r="EU36" s="356"/>
      <c r="EV36" s="163"/>
      <c r="EW36" s="356"/>
      <c r="EX36" s="356"/>
      <c r="EY36" s="357"/>
      <c r="EZ36" s="361"/>
      <c r="FA36" s="356"/>
      <c r="FB36" s="356"/>
      <c r="FC36" s="163"/>
      <c r="FD36" s="356"/>
      <c r="FE36" s="356"/>
      <c r="FF36" s="356"/>
      <c r="FG36" s="361"/>
      <c r="FH36" s="356"/>
      <c r="FI36" s="356"/>
      <c r="FJ36" s="163"/>
      <c r="FK36" s="356"/>
      <c r="FL36" s="356"/>
      <c r="FM36" s="357"/>
      <c r="FN36" s="361"/>
      <c r="FO36" s="356"/>
      <c r="FP36" s="356"/>
      <c r="FQ36" s="163"/>
      <c r="FR36" s="356"/>
      <c r="FS36" s="356"/>
      <c r="FT36" s="356"/>
      <c r="FU36" s="368"/>
      <c r="FV36" s="356"/>
      <c r="FW36" s="356"/>
      <c r="FX36" s="163"/>
      <c r="FY36" s="356"/>
      <c r="FZ36" s="356"/>
      <c r="GA36" s="356"/>
      <c r="GB36" s="361"/>
      <c r="GC36" s="356"/>
      <c r="GD36" s="356"/>
      <c r="GE36" s="163"/>
      <c r="GF36" s="356"/>
      <c r="GG36" s="356"/>
      <c r="GH36" s="357"/>
      <c r="GI36" s="361"/>
      <c r="GJ36" s="356"/>
      <c r="GK36" s="356"/>
      <c r="GL36" s="163"/>
      <c r="GM36" s="356"/>
      <c r="GN36" s="356"/>
      <c r="GO36" s="357"/>
      <c r="GP36" s="356"/>
      <c r="GQ36" s="356"/>
      <c r="GR36" s="356"/>
      <c r="GS36" s="163"/>
      <c r="GT36" s="356"/>
      <c r="GU36" s="356"/>
      <c r="GV36" s="357"/>
      <c r="GW36" s="361"/>
      <c r="GX36" s="356"/>
      <c r="GY36" s="356"/>
      <c r="GZ36" s="163"/>
      <c r="HA36" s="356"/>
      <c r="HB36" s="356"/>
      <c r="HC36" s="357"/>
      <c r="HD36" s="361"/>
      <c r="HE36" s="356"/>
      <c r="HF36" s="356"/>
      <c r="HG36" s="163"/>
      <c r="HH36" s="356"/>
      <c r="HI36" s="356"/>
      <c r="HJ36" s="359"/>
      <c r="HK36" s="356"/>
      <c r="HL36" s="356"/>
      <c r="HM36" s="356"/>
      <c r="HN36" s="163"/>
      <c r="HO36" s="356"/>
      <c r="HP36" s="356"/>
      <c r="HQ36" s="359"/>
      <c r="HR36" s="356"/>
      <c r="HS36" s="356"/>
      <c r="HT36" s="356"/>
      <c r="HU36" s="163"/>
      <c r="HV36" s="356"/>
      <c r="HW36" s="356"/>
      <c r="HX36" s="357"/>
    </row>
    <row r="37" spans="2:232" outlineLevel="1" x14ac:dyDescent="0.25">
      <c r="B37" s="32"/>
      <c r="C37" s="333">
        <f>MAX(C30:C31)+1</f>
        <v>3</v>
      </c>
      <c r="D37" s="164" t="s">
        <v>21</v>
      </c>
      <c r="E37" s="34"/>
      <c r="F37" s="165" t="s">
        <v>529</v>
      </c>
      <c r="G37" s="165" t="s">
        <v>529</v>
      </c>
      <c r="H37" s="165" t="s">
        <v>95</v>
      </c>
      <c r="I37" s="176" t="s">
        <v>181</v>
      </c>
      <c r="J37" s="165" t="s">
        <v>171</v>
      </c>
      <c r="K37" s="165">
        <v>2031</v>
      </c>
      <c r="L37" s="165">
        <v>1</v>
      </c>
      <c r="M37" s="165"/>
      <c r="N37" s="165"/>
      <c r="O37" s="165"/>
      <c r="P37" s="165"/>
      <c r="Q37" s="165"/>
      <c r="R37" s="165"/>
      <c r="S37" s="165"/>
      <c r="T37" s="165"/>
      <c r="V37" s="11" t="s">
        <v>283</v>
      </c>
      <c r="W37" s="12"/>
      <c r="X37" s="12"/>
      <c r="Y37" s="12"/>
      <c r="Z37" s="12"/>
      <c r="AA37" s="12"/>
      <c r="AB37" s="12"/>
      <c r="AC37" s="14"/>
      <c r="AD37" s="166">
        <f>$C37</f>
        <v>3</v>
      </c>
      <c r="AE37" s="358" t="s">
        <v>175</v>
      </c>
      <c r="AF37" s="358"/>
      <c r="AG37" s="358"/>
      <c r="AH37" s="158"/>
      <c r="AI37" s="337"/>
      <c r="AJ37" s="337"/>
      <c r="AK37" s="214">
        <f>$C37</f>
        <v>3</v>
      </c>
      <c r="AL37" s="358" t="s">
        <v>175</v>
      </c>
      <c r="AM37" s="358"/>
      <c r="AN37" s="358"/>
      <c r="AO37" s="32"/>
      <c r="AP37" s="353"/>
      <c r="AQ37" s="355"/>
      <c r="AR37" s="166">
        <f>$C37</f>
        <v>3</v>
      </c>
      <c r="AS37" s="358" t="s">
        <v>532</v>
      </c>
      <c r="AT37" s="358"/>
      <c r="AU37" s="358"/>
      <c r="AV37" s="32"/>
      <c r="AW37" s="353"/>
      <c r="AX37" s="355"/>
      <c r="AY37" s="166">
        <f>$C37</f>
        <v>3</v>
      </c>
      <c r="AZ37" s="358" t="s">
        <v>531</v>
      </c>
      <c r="BA37" s="358"/>
      <c r="BB37" s="358"/>
      <c r="BC37" s="32"/>
      <c r="BD37" s="353"/>
      <c r="BE37" s="353"/>
      <c r="BF37" s="166">
        <f>$C37</f>
        <v>3</v>
      </c>
      <c r="BG37" s="358" t="s">
        <v>531</v>
      </c>
      <c r="BH37" s="358"/>
      <c r="BI37" s="358"/>
      <c r="BJ37" s="158"/>
      <c r="BK37" s="337"/>
      <c r="BL37" s="338"/>
      <c r="BM37" s="166">
        <f>$C37</f>
        <v>3</v>
      </c>
      <c r="BN37" s="358" t="s">
        <v>531</v>
      </c>
      <c r="BO37" s="358"/>
      <c r="BP37" s="358"/>
      <c r="BQ37" s="158"/>
      <c r="BR37" s="337"/>
      <c r="BS37" s="337"/>
      <c r="BT37" s="214">
        <f>$C37</f>
        <v>3</v>
      </c>
      <c r="BU37" s="358" t="s">
        <v>538</v>
      </c>
      <c r="BV37" s="358"/>
      <c r="BW37" s="358"/>
      <c r="BX37" s="158"/>
      <c r="BY37" s="337"/>
      <c r="BZ37" s="338"/>
      <c r="CA37" s="166">
        <f>$C37</f>
        <v>3</v>
      </c>
      <c r="CB37" s="358" t="s">
        <v>532</v>
      </c>
      <c r="CC37" s="358"/>
      <c r="CD37" s="358"/>
      <c r="CE37" s="158"/>
      <c r="CF37" s="337"/>
      <c r="CG37" s="338"/>
      <c r="CH37" s="166">
        <f>$C37</f>
        <v>3</v>
      </c>
      <c r="CI37" s="358" t="s">
        <v>532</v>
      </c>
      <c r="CJ37" s="358"/>
      <c r="CK37" s="358"/>
      <c r="CL37" s="158"/>
      <c r="CM37" s="337"/>
      <c r="CN37" s="338"/>
      <c r="CO37" s="166">
        <f>$C37</f>
        <v>3</v>
      </c>
      <c r="CP37" s="358" t="s">
        <v>173</v>
      </c>
      <c r="CQ37" s="358"/>
      <c r="CR37" s="358"/>
      <c r="CS37" s="158"/>
      <c r="CT37" s="337"/>
      <c r="CU37" s="338"/>
      <c r="CV37" s="166">
        <f>$C37</f>
        <v>3</v>
      </c>
      <c r="CW37" s="358" t="s">
        <v>531</v>
      </c>
      <c r="CX37" s="358"/>
      <c r="CY37" s="358"/>
      <c r="CZ37" s="158"/>
      <c r="DA37" s="337"/>
      <c r="DB37" s="338"/>
      <c r="DC37" s="166">
        <f>$C37</f>
        <v>3</v>
      </c>
      <c r="DD37" s="358" t="s">
        <v>531</v>
      </c>
      <c r="DE37" s="358"/>
      <c r="DF37" s="358"/>
      <c r="DG37" s="158"/>
      <c r="DH37" s="337"/>
      <c r="DI37" s="338"/>
      <c r="DJ37" s="166">
        <f>$C37</f>
        <v>3</v>
      </c>
      <c r="DK37" s="358" t="s">
        <v>531</v>
      </c>
      <c r="DL37" s="358"/>
      <c r="DM37" s="358"/>
      <c r="DN37" s="158"/>
      <c r="DO37" s="337"/>
      <c r="DP37" s="338"/>
      <c r="DQ37" s="166">
        <f>$C37</f>
        <v>3</v>
      </c>
      <c r="DR37" s="358" t="s">
        <v>173</v>
      </c>
      <c r="DS37" s="358"/>
      <c r="DT37" s="358"/>
      <c r="DU37" s="158"/>
      <c r="DV37" s="337"/>
      <c r="DW37" s="338"/>
      <c r="DX37" s="166">
        <f>$C37</f>
        <v>3</v>
      </c>
      <c r="DY37" s="358" t="s">
        <v>532</v>
      </c>
      <c r="DZ37" s="358"/>
      <c r="EA37" s="358"/>
      <c r="EB37" s="158"/>
      <c r="EC37" s="337"/>
      <c r="ED37" s="338"/>
      <c r="EE37" s="166">
        <f>$C37</f>
        <v>3</v>
      </c>
      <c r="EF37" s="358" t="s">
        <v>531</v>
      </c>
      <c r="EG37" s="358"/>
      <c r="EH37" s="358"/>
      <c r="EI37" s="158"/>
      <c r="EJ37" s="337"/>
      <c r="EK37" s="351"/>
      <c r="EL37" s="193">
        <f>$C37</f>
        <v>3</v>
      </c>
      <c r="EM37" s="358" t="s">
        <v>645</v>
      </c>
      <c r="EN37" s="358"/>
      <c r="EO37" s="358"/>
      <c r="EP37" s="158"/>
      <c r="EQ37" s="337"/>
      <c r="ER37" s="351"/>
      <c r="ES37" s="193">
        <f>$C37</f>
        <v>3</v>
      </c>
      <c r="ET37" s="358" t="s">
        <v>175</v>
      </c>
      <c r="EU37" s="358"/>
      <c r="EV37" s="358"/>
      <c r="EW37" s="32"/>
      <c r="EX37" s="353"/>
      <c r="EY37" s="355"/>
      <c r="EZ37" s="166">
        <f>$C37</f>
        <v>3</v>
      </c>
      <c r="FA37" s="358" t="s">
        <v>532</v>
      </c>
      <c r="FB37" s="358"/>
      <c r="FC37" s="358"/>
      <c r="FD37" s="32"/>
      <c r="FE37" s="353"/>
      <c r="FF37" s="353"/>
      <c r="FG37" s="166">
        <f>$C37</f>
        <v>3</v>
      </c>
      <c r="FH37" s="358" t="s">
        <v>532</v>
      </c>
      <c r="FI37" s="358"/>
      <c r="FJ37" s="358"/>
      <c r="FK37" s="32"/>
      <c r="FL37" s="337"/>
      <c r="FM37" s="338"/>
      <c r="FN37" s="166">
        <f>$C37</f>
        <v>3</v>
      </c>
      <c r="FO37" s="358" t="s">
        <v>532</v>
      </c>
      <c r="FP37" s="358"/>
      <c r="FQ37" s="358"/>
      <c r="FR37" s="32"/>
      <c r="FS37" s="337"/>
      <c r="FT37" s="337"/>
      <c r="FU37" s="214">
        <f>$C37</f>
        <v>3</v>
      </c>
      <c r="FV37" s="358" t="s">
        <v>532</v>
      </c>
      <c r="FW37" s="358"/>
      <c r="FX37" s="358"/>
      <c r="FY37" s="32"/>
      <c r="FZ37" s="337"/>
      <c r="GA37" s="337"/>
      <c r="GB37" s="166">
        <f>$C37</f>
        <v>3</v>
      </c>
      <c r="GC37" s="358" t="s">
        <v>532</v>
      </c>
      <c r="GD37" s="358"/>
      <c r="GE37" s="358"/>
      <c r="GF37" s="32"/>
      <c r="GG37" s="337"/>
      <c r="GH37" s="338"/>
      <c r="GI37" s="166">
        <f>$C37</f>
        <v>3</v>
      </c>
      <c r="GJ37" s="358" t="s">
        <v>532</v>
      </c>
      <c r="GK37" s="358"/>
      <c r="GL37" s="358"/>
      <c r="GM37" s="32"/>
      <c r="GN37" s="337"/>
      <c r="GO37" s="338"/>
      <c r="GP37" s="193">
        <f>$C37</f>
        <v>3</v>
      </c>
      <c r="GQ37" s="358" t="s">
        <v>175</v>
      </c>
      <c r="GR37" s="358"/>
      <c r="GS37" s="358"/>
      <c r="GT37" s="32"/>
      <c r="GU37" s="337"/>
      <c r="GV37" s="338"/>
      <c r="GW37" s="166">
        <f>$C37</f>
        <v>3</v>
      </c>
      <c r="GX37" s="358" t="s">
        <v>175</v>
      </c>
      <c r="GY37" s="358"/>
      <c r="GZ37" s="358"/>
      <c r="HA37" s="32"/>
      <c r="HB37" s="337"/>
      <c r="HC37" s="338"/>
      <c r="HD37" s="166">
        <f>$C37</f>
        <v>3</v>
      </c>
      <c r="HE37" s="358" t="s">
        <v>532</v>
      </c>
      <c r="HF37" s="358"/>
      <c r="HG37" s="358"/>
      <c r="HH37" s="32"/>
      <c r="HI37" s="337"/>
      <c r="HJ37" s="351"/>
      <c r="HK37" s="193">
        <f>$C37</f>
        <v>3</v>
      </c>
      <c r="HL37" s="358" t="s">
        <v>645</v>
      </c>
      <c r="HM37" s="358"/>
      <c r="HN37" s="358"/>
      <c r="HO37" s="32"/>
      <c r="HP37" s="337"/>
      <c r="HQ37" s="351"/>
      <c r="HR37" s="193"/>
      <c r="HS37" s="362"/>
      <c r="HT37" s="362"/>
      <c r="HU37" s="362"/>
      <c r="HV37" s="257"/>
      <c r="HW37" s="337"/>
      <c r="HX37" s="338"/>
    </row>
    <row r="38" spans="2:232" outlineLevel="1" x14ac:dyDescent="0.25">
      <c r="B38" s="32"/>
      <c r="C38" s="167"/>
      <c r="D38" s="167"/>
      <c r="E38" s="34"/>
      <c r="F38" s="168"/>
      <c r="G38" s="167"/>
      <c r="H38" s="168"/>
      <c r="I38" s="177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V38" s="107"/>
      <c r="W38" s="108"/>
      <c r="X38" s="108"/>
      <c r="Y38" s="108"/>
      <c r="Z38" s="108"/>
      <c r="AA38" s="108"/>
      <c r="AB38" s="108"/>
      <c r="AC38" s="109"/>
      <c r="AD38" s="169"/>
      <c r="AE38" s="365"/>
      <c r="AF38" s="365"/>
      <c r="AG38" s="365"/>
      <c r="AH38" s="30"/>
      <c r="AI38" s="340"/>
      <c r="AJ38" s="340"/>
      <c r="AK38" s="215"/>
      <c r="AL38" s="339"/>
      <c r="AM38" s="339"/>
      <c r="AN38" s="339"/>
      <c r="AO38" s="30"/>
      <c r="AP38" s="340"/>
      <c r="AQ38" s="341"/>
      <c r="AR38" s="169"/>
      <c r="AS38" s="339"/>
      <c r="AT38" s="339"/>
      <c r="AU38" s="339"/>
      <c r="AV38" s="30"/>
      <c r="AW38" s="340"/>
      <c r="AX38" s="341"/>
      <c r="AY38" s="169"/>
      <c r="AZ38" s="339"/>
      <c r="BA38" s="339"/>
      <c r="BB38" s="339"/>
      <c r="BC38" s="30"/>
      <c r="BD38" s="340"/>
      <c r="BE38" s="340"/>
      <c r="BF38" s="169"/>
      <c r="BG38" s="339"/>
      <c r="BH38" s="339"/>
      <c r="BI38" s="339"/>
      <c r="BJ38" s="30"/>
      <c r="BK38" s="340"/>
      <c r="BL38" s="341"/>
      <c r="BM38" s="169"/>
      <c r="BN38" s="339"/>
      <c r="BO38" s="339"/>
      <c r="BP38" s="339"/>
      <c r="BQ38" s="30"/>
      <c r="BR38" s="340"/>
      <c r="BS38" s="340"/>
      <c r="BT38" s="215"/>
      <c r="BU38" s="339"/>
      <c r="BV38" s="339"/>
      <c r="BW38" s="339"/>
      <c r="BX38" s="30"/>
      <c r="BY38" s="340"/>
      <c r="BZ38" s="341"/>
      <c r="CA38" s="169"/>
      <c r="CB38" s="339"/>
      <c r="CC38" s="339"/>
      <c r="CD38" s="339"/>
      <c r="CE38" s="30"/>
      <c r="CF38" s="340"/>
      <c r="CG38" s="341"/>
      <c r="CH38" s="169"/>
      <c r="CI38" s="339"/>
      <c r="CJ38" s="339"/>
      <c r="CK38" s="339"/>
      <c r="CL38" s="30"/>
      <c r="CM38" s="340"/>
      <c r="CN38" s="341"/>
      <c r="CO38" s="169"/>
      <c r="CP38" s="339"/>
      <c r="CQ38" s="339"/>
      <c r="CR38" s="339"/>
      <c r="CS38" s="30"/>
      <c r="CT38" s="340"/>
      <c r="CU38" s="341"/>
      <c r="CV38" s="169"/>
      <c r="CW38" s="339"/>
      <c r="CX38" s="339"/>
      <c r="CY38" s="339"/>
      <c r="CZ38" s="30"/>
      <c r="DA38" s="340"/>
      <c r="DB38" s="341"/>
      <c r="DC38" s="192"/>
      <c r="DD38" s="339"/>
      <c r="DE38" s="339"/>
      <c r="DF38" s="339"/>
      <c r="DG38" s="30"/>
      <c r="DH38" s="340"/>
      <c r="DI38" s="341"/>
      <c r="DJ38" s="169"/>
      <c r="DK38" s="339"/>
      <c r="DL38" s="339"/>
      <c r="DM38" s="339"/>
      <c r="DN38" s="30"/>
      <c r="DO38" s="340"/>
      <c r="DP38" s="341"/>
      <c r="DQ38" s="169"/>
      <c r="DR38" s="339"/>
      <c r="DS38" s="339"/>
      <c r="DT38" s="339"/>
      <c r="DU38" s="30"/>
      <c r="DV38" s="340"/>
      <c r="DW38" s="341"/>
      <c r="DX38" s="192"/>
      <c r="DY38" s="339"/>
      <c r="DZ38" s="339"/>
      <c r="EA38" s="339"/>
      <c r="EB38" s="30"/>
      <c r="EC38" s="340"/>
      <c r="ED38" s="341"/>
      <c r="EE38" s="169"/>
      <c r="EF38" s="339"/>
      <c r="EG38" s="339"/>
      <c r="EH38" s="339"/>
      <c r="EI38" s="30"/>
      <c r="EJ38" s="340"/>
      <c r="EK38" s="360"/>
      <c r="EL38" s="192"/>
      <c r="EM38" s="339"/>
      <c r="EN38" s="339"/>
      <c r="EO38" s="339"/>
      <c r="EP38" s="30"/>
      <c r="EQ38" s="340"/>
      <c r="ER38" s="360"/>
      <c r="ES38" s="192"/>
      <c r="ET38" s="339"/>
      <c r="EU38" s="339"/>
      <c r="EV38" s="339"/>
      <c r="EW38" s="30"/>
      <c r="EX38" s="340"/>
      <c r="EY38" s="341"/>
      <c r="EZ38" s="169"/>
      <c r="FA38" s="339"/>
      <c r="FB38" s="339"/>
      <c r="FC38" s="339"/>
      <c r="FD38" s="30"/>
      <c r="FE38" s="340"/>
      <c r="FF38" s="340"/>
      <c r="FG38" s="169"/>
      <c r="FH38" s="339"/>
      <c r="FI38" s="339"/>
      <c r="FJ38" s="339"/>
      <c r="FK38" s="30"/>
      <c r="FL38" s="340"/>
      <c r="FM38" s="341"/>
      <c r="FN38" s="169"/>
      <c r="FO38" s="339"/>
      <c r="FP38" s="339"/>
      <c r="FQ38" s="339"/>
      <c r="FR38" s="30"/>
      <c r="FS38" s="340"/>
      <c r="FT38" s="340"/>
      <c r="FU38" s="215"/>
      <c r="FV38" s="339"/>
      <c r="FW38" s="339"/>
      <c r="FX38" s="339"/>
      <c r="FY38" s="30"/>
      <c r="FZ38" s="340"/>
      <c r="GA38" s="340"/>
      <c r="GB38" s="169"/>
      <c r="GC38" s="339"/>
      <c r="GD38" s="339"/>
      <c r="GE38" s="339"/>
      <c r="GF38" s="30"/>
      <c r="GG38" s="340"/>
      <c r="GH38" s="341"/>
      <c r="GI38" s="169"/>
      <c r="GJ38" s="339"/>
      <c r="GK38" s="339"/>
      <c r="GL38" s="339"/>
      <c r="GM38" s="30"/>
      <c r="GN38" s="340"/>
      <c r="GO38" s="341"/>
      <c r="GP38" s="192"/>
      <c r="GQ38" s="339"/>
      <c r="GR38" s="339"/>
      <c r="GS38" s="339"/>
      <c r="GT38" s="30"/>
      <c r="GU38" s="340"/>
      <c r="GV38" s="341"/>
      <c r="GW38" s="169"/>
      <c r="GX38" s="339"/>
      <c r="GY38" s="339"/>
      <c r="GZ38" s="339"/>
      <c r="HA38" s="30"/>
      <c r="HB38" s="340"/>
      <c r="HC38" s="341"/>
      <c r="HD38" s="169"/>
      <c r="HE38" s="339"/>
      <c r="HF38" s="339"/>
      <c r="HG38" s="339"/>
      <c r="HH38" s="30"/>
      <c r="HI38" s="340"/>
      <c r="HJ38" s="360"/>
      <c r="HK38" s="192"/>
      <c r="HL38" s="339"/>
      <c r="HM38" s="339"/>
      <c r="HN38" s="339"/>
      <c r="HO38" s="30"/>
      <c r="HP38" s="340"/>
      <c r="HQ38" s="360"/>
      <c r="HR38" s="192"/>
      <c r="HS38" s="339"/>
      <c r="HT38" s="339"/>
      <c r="HU38" s="339"/>
      <c r="HV38" s="258"/>
      <c r="HW38" s="340"/>
      <c r="HX38" s="341"/>
    </row>
    <row r="39" spans="2:232" ht="15" customHeight="1" outlineLevel="1" x14ac:dyDescent="0.25">
      <c r="B39" s="147"/>
      <c r="C39" s="147"/>
      <c r="D39" s="148"/>
      <c r="E39" s="147"/>
      <c r="F39" s="149"/>
      <c r="G39" s="148"/>
      <c r="H39" s="149"/>
      <c r="I39" s="174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V39" s="150" t="s">
        <v>170</v>
      </c>
      <c r="W39" s="151"/>
      <c r="X39" s="151"/>
      <c r="Y39" s="151"/>
      <c r="Z39" s="151"/>
      <c r="AA39" s="151"/>
      <c r="AB39" s="369"/>
      <c r="AC39" s="370"/>
      <c r="AD39" s="342" t="s">
        <v>217</v>
      </c>
      <c r="AE39" s="343"/>
      <c r="AF39" s="343"/>
      <c r="AG39" s="343"/>
      <c r="AH39" s="343"/>
      <c r="AI39" s="152"/>
      <c r="AJ39" s="194">
        <f>COUNTA(AD44:AD45)</f>
        <v>1</v>
      </c>
      <c r="AK39" s="366" t="s">
        <v>217</v>
      </c>
      <c r="AL39" s="343"/>
      <c r="AM39" s="343"/>
      <c r="AN39" s="343"/>
      <c r="AO39" s="343"/>
      <c r="AP39" s="152"/>
      <c r="AQ39" s="155">
        <f>COUNTA(AK44:AK45)</f>
        <v>1</v>
      </c>
      <c r="AR39" s="342" t="s">
        <v>217</v>
      </c>
      <c r="AS39" s="343"/>
      <c r="AT39" s="343"/>
      <c r="AU39" s="343"/>
      <c r="AV39" s="343"/>
      <c r="AW39" s="152"/>
      <c r="AX39" s="155">
        <f>COUNTA(AR44:AR45)</f>
        <v>1</v>
      </c>
      <c r="AY39" s="342" t="s">
        <v>217</v>
      </c>
      <c r="AZ39" s="343"/>
      <c r="BA39" s="343"/>
      <c r="BB39" s="343"/>
      <c r="BC39" s="343"/>
      <c r="BD39" s="152"/>
      <c r="BE39" s="194">
        <f>COUNTA(AY44:AY45)</f>
        <v>1</v>
      </c>
      <c r="BF39" s="342" t="s">
        <v>217</v>
      </c>
      <c r="BG39" s="343"/>
      <c r="BH39" s="343"/>
      <c r="BI39" s="343"/>
      <c r="BJ39" s="343"/>
      <c r="BK39" s="152"/>
      <c r="BL39" s="155">
        <f>COUNTA(BF44:BF45)</f>
        <v>1</v>
      </c>
      <c r="BM39" s="156"/>
      <c r="BN39" s="152"/>
      <c r="BO39" s="153"/>
      <c r="BP39" s="152"/>
      <c r="BQ39" s="154"/>
      <c r="BR39" s="152"/>
      <c r="BS39" s="194">
        <f>COUNTA(BM44:BM45)</f>
        <v>1</v>
      </c>
      <c r="BT39" s="366" t="s">
        <v>217</v>
      </c>
      <c r="BU39" s="343"/>
      <c r="BV39" s="343"/>
      <c r="BW39" s="343"/>
      <c r="BX39" s="343"/>
      <c r="BY39" s="152"/>
      <c r="BZ39" s="155">
        <f>COUNTA(BT44:BT45)</f>
        <v>1</v>
      </c>
      <c r="CA39" s="342" t="s">
        <v>217</v>
      </c>
      <c r="CB39" s="343"/>
      <c r="CC39" s="343"/>
      <c r="CD39" s="343"/>
      <c r="CE39" s="343"/>
      <c r="CF39" s="152"/>
      <c r="CG39" s="155">
        <f>COUNTA(CA44:CA45)</f>
        <v>1</v>
      </c>
      <c r="CH39" s="342" t="s">
        <v>217</v>
      </c>
      <c r="CI39" s="343"/>
      <c r="CJ39" s="343"/>
      <c r="CK39" s="343"/>
      <c r="CL39" s="343"/>
      <c r="CM39" s="152"/>
      <c r="CN39" s="155">
        <f>COUNTA(CH44:CH45)</f>
        <v>1</v>
      </c>
      <c r="CO39" s="342" t="s">
        <v>217</v>
      </c>
      <c r="CP39" s="343"/>
      <c r="CQ39" s="343"/>
      <c r="CR39" s="343"/>
      <c r="CS39" s="343"/>
      <c r="CT39" s="152"/>
      <c r="CU39" s="155">
        <f>COUNTA(CO44:CO45)</f>
        <v>1</v>
      </c>
      <c r="CV39" s="342" t="s">
        <v>217</v>
      </c>
      <c r="CW39" s="343"/>
      <c r="CX39" s="343"/>
      <c r="CY39" s="343"/>
      <c r="CZ39" s="343"/>
      <c r="DA39" s="152"/>
      <c r="DB39" s="155">
        <f>COUNTA(CV44:CV45)</f>
        <v>1</v>
      </c>
      <c r="DC39" s="343" t="s">
        <v>217</v>
      </c>
      <c r="DD39" s="343"/>
      <c r="DE39" s="343"/>
      <c r="DF39" s="343"/>
      <c r="DG39" s="343"/>
      <c r="DH39" s="152"/>
      <c r="DI39" s="155">
        <f>COUNTA(DC44:DC45)</f>
        <v>1</v>
      </c>
      <c r="DJ39" s="342" t="s">
        <v>217</v>
      </c>
      <c r="DK39" s="343"/>
      <c r="DL39" s="343"/>
      <c r="DM39" s="343"/>
      <c r="DN39" s="343"/>
      <c r="DO39" s="152"/>
      <c r="DP39" s="155">
        <f>COUNTA(DJ44:DJ45)</f>
        <v>1</v>
      </c>
      <c r="DQ39" s="342" t="s">
        <v>217</v>
      </c>
      <c r="DR39" s="343"/>
      <c r="DS39" s="343"/>
      <c r="DT39" s="343"/>
      <c r="DU39" s="343"/>
      <c r="DV39" s="152"/>
      <c r="DW39" s="155">
        <f>COUNTA(DQ44:DQ45)</f>
        <v>1</v>
      </c>
      <c r="DX39" s="343" t="s">
        <v>217</v>
      </c>
      <c r="DY39" s="343"/>
      <c r="DZ39" s="343"/>
      <c r="EA39" s="343"/>
      <c r="EB39" s="343"/>
      <c r="EC39" s="152"/>
      <c r="ED39" s="155">
        <f>COUNTA(DX44:DX45)</f>
        <v>1</v>
      </c>
      <c r="EE39" s="342" t="s">
        <v>217</v>
      </c>
      <c r="EF39" s="343"/>
      <c r="EG39" s="343"/>
      <c r="EH39" s="343"/>
      <c r="EI39" s="343"/>
      <c r="EJ39" s="152"/>
      <c r="EK39" s="218">
        <f>COUNTA(EE44:EE45)</f>
        <v>1</v>
      </c>
      <c r="EL39" s="343" t="s">
        <v>217</v>
      </c>
      <c r="EM39" s="343"/>
      <c r="EN39" s="343"/>
      <c r="EO39" s="343"/>
      <c r="EP39" s="343"/>
      <c r="EQ39" s="152"/>
      <c r="ER39" s="218">
        <f>COUNTA(EL44:EL45)</f>
        <v>1</v>
      </c>
      <c r="ES39" s="343" t="s">
        <v>217</v>
      </c>
      <c r="ET39" s="343"/>
      <c r="EU39" s="343"/>
      <c r="EV39" s="343"/>
      <c r="EW39" s="343"/>
      <c r="EX39" s="152"/>
      <c r="EY39" s="155">
        <f>COUNTA(ES44:ES45)</f>
        <v>1</v>
      </c>
      <c r="EZ39" s="342" t="s">
        <v>217</v>
      </c>
      <c r="FA39" s="343"/>
      <c r="FB39" s="343"/>
      <c r="FC39" s="343"/>
      <c r="FD39" s="343"/>
      <c r="FE39" s="152"/>
      <c r="FF39" s="194">
        <f>COUNTA(EZ44:EZ45)</f>
        <v>1</v>
      </c>
      <c r="FG39" s="342" t="s">
        <v>217</v>
      </c>
      <c r="FH39" s="343"/>
      <c r="FI39" s="343"/>
      <c r="FJ39" s="343"/>
      <c r="FK39" s="343"/>
      <c r="FL39" s="152"/>
      <c r="FM39" s="155">
        <f>COUNTA(FG44:FG45)</f>
        <v>1</v>
      </c>
      <c r="FN39" s="156"/>
      <c r="FO39" s="152"/>
      <c r="FP39" s="153"/>
      <c r="FQ39" s="152"/>
      <c r="FR39" s="154"/>
      <c r="FS39" s="152"/>
      <c r="FT39" s="194">
        <f>COUNTA(FN44:FN45)</f>
        <v>1</v>
      </c>
      <c r="FU39" s="366" t="s">
        <v>217</v>
      </c>
      <c r="FV39" s="343"/>
      <c r="FW39" s="343"/>
      <c r="FX39" s="343"/>
      <c r="FY39" s="343"/>
      <c r="FZ39" s="152"/>
      <c r="GA39" s="194">
        <f>COUNTA(FU44:FU45)</f>
        <v>1</v>
      </c>
      <c r="GB39" s="342" t="s">
        <v>217</v>
      </c>
      <c r="GC39" s="343"/>
      <c r="GD39" s="343"/>
      <c r="GE39" s="343"/>
      <c r="GF39" s="343"/>
      <c r="GG39" s="152"/>
      <c r="GH39" s="155">
        <f>COUNTA(GB44:GB45)</f>
        <v>1</v>
      </c>
      <c r="GI39" s="342" t="s">
        <v>217</v>
      </c>
      <c r="GJ39" s="343"/>
      <c r="GK39" s="343"/>
      <c r="GL39" s="343"/>
      <c r="GM39" s="343"/>
      <c r="GN39" s="152"/>
      <c r="GO39" s="155">
        <f>COUNTA(GI44:GI45)</f>
        <v>1</v>
      </c>
      <c r="GP39" s="343" t="s">
        <v>217</v>
      </c>
      <c r="GQ39" s="343"/>
      <c r="GR39" s="343"/>
      <c r="GS39" s="343"/>
      <c r="GT39" s="343"/>
      <c r="GU39" s="152"/>
      <c r="GV39" s="155">
        <f>COUNTA(GP44:GP45)</f>
        <v>1</v>
      </c>
      <c r="GW39" s="342" t="s">
        <v>217</v>
      </c>
      <c r="GX39" s="343"/>
      <c r="GY39" s="343"/>
      <c r="GZ39" s="343"/>
      <c r="HA39" s="343"/>
      <c r="HB39" s="152"/>
      <c r="HC39" s="155">
        <f>COUNTA(GW44:GW45)</f>
        <v>1</v>
      </c>
      <c r="HD39" s="342" t="s">
        <v>217</v>
      </c>
      <c r="HE39" s="343"/>
      <c r="HF39" s="343"/>
      <c r="HG39" s="343"/>
      <c r="HH39" s="343"/>
      <c r="HI39" s="152"/>
      <c r="HJ39" s="218">
        <f>COUNTA(HD44:HD45)</f>
        <v>1</v>
      </c>
      <c r="HK39" s="343" t="s">
        <v>217</v>
      </c>
      <c r="HL39" s="343"/>
      <c r="HM39" s="343"/>
      <c r="HN39" s="343"/>
      <c r="HO39" s="343"/>
      <c r="HP39" s="152"/>
      <c r="HQ39" s="218">
        <f>COUNTA(HK44:HK45)</f>
        <v>1</v>
      </c>
      <c r="HR39" s="152"/>
      <c r="HS39" s="152"/>
      <c r="HT39" s="153"/>
      <c r="HU39" s="152"/>
      <c r="HV39" s="255"/>
      <c r="HW39" s="152"/>
      <c r="HX39" s="155">
        <f>COUNTA(HR44:HR45)</f>
        <v>0</v>
      </c>
    </row>
    <row r="40" spans="2:232" ht="15" customHeight="1" outlineLevel="1" x14ac:dyDescent="0.25">
      <c r="B40" s="147"/>
      <c r="C40" s="147"/>
      <c r="D40" s="147"/>
      <c r="E40" s="147"/>
      <c r="F40" s="157"/>
      <c r="G40" s="147"/>
      <c r="H40" s="157"/>
      <c r="I40" s="175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V40" s="185" t="s">
        <v>224</v>
      </c>
      <c r="W40" s="186"/>
      <c r="X40" s="186"/>
      <c r="Y40" s="186"/>
      <c r="Z40" s="186"/>
      <c r="AA40" s="186"/>
      <c r="AB40" s="187"/>
      <c r="AC40" s="188"/>
      <c r="AD40" s="344" t="s">
        <v>225</v>
      </c>
      <c r="AE40" s="345"/>
      <c r="AF40" s="345"/>
      <c r="AG40" s="181" t="s">
        <v>75</v>
      </c>
      <c r="AH40" s="346" t="s">
        <v>287</v>
      </c>
      <c r="AI40" s="346"/>
      <c r="AJ40" s="346"/>
      <c r="AK40" s="363" t="s">
        <v>227</v>
      </c>
      <c r="AL40" s="345"/>
      <c r="AM40" s="345"/>
      <c r="AN40" s="181" t="s">
        <v>75</v>
      </c>
      <c r="AO40" s="346" t="s">
        <v>317</v>
      </c>
      <c r="AP40" s="346"/>
      <c r="AQ40" s="349"/>
      <c r="AR40" s="344" t="s">
        <v>227</v>
      </c>
      <c r="AS40" s="345"/>
      <c r="AT40" s="345"/>
      <c r="AU40" s="181" t="s">
        <v>75</v>
      </c>
      <c r="AV40" s="346" t="s">
        <v>317</v>
      </c>
      <c r="AW40" s="346"/>
      <c r="AX40" s="349"/>
      <c r="AY40" s="344" t="s">
        <v>227</v>
      </c>
      <c r="AZ40" s="345"/>
      <c r="BA40" s="345"/>
      <c r="BB40" s="181" t="s">
        <v>75</v>
      </c>
      <c r="BC40" s="346" t="s">
        <v>317</v>
      </c>
      <c r="BD40" s="346"/>
      <c r="BE40" s="349"/>
      <c r="BF40" s="344" t="s">
        <v>227</v>
      </c>
      <c r="BG40" s="345"/>
      <c r="BH40" s="345"/>
      <c r="BI40" s="181" t="s">
        <v>75</v>
      </c>
      <c r="BJ40" s="346" t="s">
        <v>317</v>
      </c>
      <c r="BK40" s="346"/>
      <c r="BL40" s="349"/>
      <c r="BM40" s="180"/>
      <c r="BN40" s="181"/>
      <c r="BO40" s="182"/>
      <c r="BP40" s="181"/>
      <c r="BQ40" s="183"/>
      <c r="BR40" s="181"/>
      <c r="BS40" s="210"/>
      <c r="BT40" s="363" t="s">
        <v>232</v>
      </c>
      <c r="BU40" s="345"/>
      <c r="BV40" s="345"/>
      <c r="BW40" s="181" t="s">
        <v>75</v>
      </c>
      <c r="BX40" s="346" t="s">
        <v>336</v>
      </c>
      <c r="BY40" s="346"/>
      <c r="BZ40" s="349"/>
      <c r="CA40" s="344" t="s">
        <v>232</v>
      </c>
      <c r="CB40" s="345"/>
      <c r="CC40" s="345"/>
      <c r="CD40" s="181" t="s">
        <v>75</v>
      </c>
      <c r="CE40" s="346" t="s">
        <v>336</v>
      </c>
      <c r="CF40" s="346"/>
      <c r="CG40" s="349"/>
      <c r="CH40" s="344" t="s">
        <v>232</v>
      </c>
      <c r="CI40" s="345"/>
      <c r="CJ40" s="345"/>
      <c r="CK40" s="181" t="s">
        <v>75</v>
      </c>
      <c r="CL40" s="346" t="s">
        <v>336</v>
      </c>
      <c r="CM40" s="346"/>
      <c r="CN40" s="349"/>
      <c r="CO40" s="344" t="s">
        <v>232</v>
      </c>
      <c r="CP40" s="345"/>
      <c r="CQ40" s="345"/>
      <c r="CR40" s="181" t="s">
        <v>75</v>
      </c>
      <c r="CS40" s="346" t="s">
        <v>336</v>
      </c>
      <c r="CT40" s="346"/>
      <c r="CU40" s="349"/>
      <c r="CV40" s="344" t="s">
        <v>232</v>
      </c>
      <c r="CW40" s="345"/>
      <c r="CX40" s="345"/>
      <c r="CY40" s="181" t="s">
        <v>75</v>
      </c>
      <c r="CZ40" s="346" t="s">
        <v>336</v>
      </c>
      <c r="DA40" s="346"/>
      <c r="DB40" s="349"/>
      <c r="DC40" s="344" t="s">
        <v>232</v>
      </c>
      <c r="DD40" s="345"/>
      <c r="DE40" s="345"/>
      <c r="DF40" s="181" t="s">
        <v>75</v>
      </c>
      <c r="DG40" s="346" t="s">
        <v>336</v>
      </c>
      <c r="DH40" s="346"/>
      <c r="DI40" s="349"/>
      <c r="DJ40" s="344" t="s">
        <v>232</v>
      </c>
      <c r="DK40" s="345"/>
      <c r="DL40" s="345"/>
      <c r="DM40" s="181" t="s">
        <v>75</v>
      </c>
      <c r="DN40" s="346" t="s">
        <v>336</v>
      </c>
      <c r="DO40" s="346"/>
      <c r="DP40" s="349"/>
      <c r="DQ40" s="345" t="s">
        <v>232</v>
      </c>
      <c r="DR40" s="345"/>
      <c r="DS40" s="345"/>
      <c r="DT40" s="181" t="s">
        <v>75</v>
      </c>
      <c r="DU40" s="346" t="s">
        <v>336</v>
      </c>
      <c r="DV40" s="346"/>
      <c r="DW40" s="349"/>
      <c r="DX40" s="345" t="s">
        <v>232</v>
      </c>
      <c r="DY40" s="345"/>
      <c r="DZ40" s="345"/>
      <c r="EA40" s="181" t="s">
        <v>75</v>
      </c>
      <c r="EB40" s="346" t="s">
        <v>336</v>
      </c>
      <c r="EC40" s="346"/>
      <c r="ED40" s="349"/>
      <c r="EE40" s="345" t="s">
        <v>232</v>
      </c>
      <c r="EF40" s="345"/>
      <c r="EG40" s="345"/>
      <c r="EH40" s="181" t="s">
        <v>75</v>
      </c>
      <c r="EI40" s="346" t="s">
        <v>336</v>
      </c>
      <c r="EJ40" s="346"/>
      <c r="EK40" s="347"/>
      <c r="EL40" s="345" t="s">
        <v>539</v>
      </c>
      <c r="EM40" s="345"/>
      <c r="EN40" s="345"/>
      <c r="EO40" s="181" t="s">
        <v>75</v>
      </c>
      <c r="EP40" s="346" t="s">
        <v>336</v>
      </c>
      <c r="EQ40" s="346"/>
      <c r="ER40" s="347"/>
      <c r="ES40" s="345" t="s">
        <v>243</v>
      </c>
      <c r="ET40" s="345"/>
      <c r="EU40" s="345"/>
      <c r="EV40" s="181" t="s">
        <v>75</v>
      </c>
      <c r="EW40" s="346" t="s">
        <v>364</v>
      </c>
      <c r="EX40" s="346"/>
      <c r="EY40" s="349"/>
      <c r="EZ40" s="344" t="s">
        <v>243</v>
      </c>
      <c r="FA40" s="345"/>
      <c r="FB40" s="345"/>
      <c r="FC40" s="181" t="s">
        <v>75</v>
      </c>
      <c r="FD40" s="346" t="s">
        <v>364</v>
      </c>
      <c r="FE40" s="346"/>
      <c r="FF40" s="346"/>
      <c r="FG40" s="344" t="s">
        <v>243</v>
      </c>
      <c r="FH40" s="345"/>
      <c r="FI40" s="345"/>
      <c r="FJ40" s="181" t="s">
        <v>75</v>
      </c>
      <c r="FK40" s="346" t="s">
        <v>364</v>
      </c>
      <c r="FL40" s="346"/>
      <c r="FM40" s="346"/>
      <c r="FN40" s="180"/>
      <c r="FO40" s="181"/>
      <c r="FP40" s="182"/>
      <c r="FQ40" s="181"/>
      <c r="FR40" s="183"/>
      <c r="FS40" s="181"/>
      <c r="FT40" s="210"/>
      <c r="FU40" s="363" t="s">
        <v>246</v>
      </c>
      <c r="FV40" s="345"/>
      <c r="FW40" s="345"/>
      <c r="FX40" s="181" t="s">
        <v>75</v>
      </c>
      <c r="FY40" s="346" t="s">
        <v>387</v>
      </c>
      <c r="FZ40" s="346"/>
      <c r="GA40" s="346"/>
      <c r="GB40" s="344" t="s">
        <v>246</v>
      </c>
      <c r="GC40" s="345"/>
      <c r="GD40" s="345"/>
      <c r="GE40" s="181" t="s">
        <v>75</v>
      </c>
      <c r="GF40" s="346" t="s">
        <v>387</v>
      </c>
      <c r="GG40" s="346"/>
      <c r="GH40" s="349"/>
      <c r="GI40" s="344" t="s">
        <v>246</v>
      </c>
      <c r="GJ40" s="345"/>
      <c r="GK40" s="345"/>
      <c r="GL40" s="181" t="s">
        <v>75</v>
      </c>
      <c r="GM40" s="346" t="s">
        <v>387</v>
      </c>
      <c r="GN40" s="346"/>
      <c r="GO40" s="349"/>
      <c r="GP40" s="345" t="s">
        <v>246</v>
      </c>
      <c r="GQ40" s="345"/>
      <c r="GR40" s="345"/>
      <c r="GS40" s="181" t="s">
        <v>75</v>
      </c>
      <c r="GT40" s="346" t="s">
        <v>387</v>
      </c>
      <c r="GU40" s="346"/>
      <c r="GV40" s="349"/>
      <c r="GW40" s="344" t="s">
        <v>246</v>
      </c>
      <c r="GX40" s="345"/>
      <c r="GY40" s="345"/>
      <c r="GZ40" s="181" t="s">
        <v>75</v>
      </c>
      <c r="HA40" s="346" t="s">
        <v>387</v>
      </c>
      <c r="HB40" s="346"/>
      <c r="HC40" s="349"/>
      <c r="HD40" s="344" t="s">
        <v>246</v>
      </c>
      <c r="HE40" s="345"/>
      <c r="HF40" s="345"/>
      <c r="HG40" s="181" t="s">
        <v>75</v>
      </c>
      <c r="HH40" s="346" t="s">
        <v>387</v>
      </c>
      <c r="HI40" s="346"/>
      <c r="HJ40" s="347"/>
      <c r="HK40" s="345" t="s">
        <v>541</v>
      </c>
      <c r="HL40" s="345"/>
      <c r="HM40" s="345"/>
      <c r="HN40" s="181" t="s">
        <v>75</v>
      </c>
      <c r="HO40" s="346" t="s">
        <v>387</v>
      </c>
      <c r="HP40" s="346"/>
      <c r="HQ40" s="347"/>
      <c r="HR40" s="181"/>
      <c r="HS40" s="181"/>
      <c r="HT40" s="182"/>
      <c r="HU40" s="181"/>
      <c r="HV40" s="256"/>
      <c r="HW40" s="181"/>
      <c r="HX40" s="184"/>
    </row>
    <row r="41" spans="2:232" ht="15" customHeight="1" outlineLevel="1" x14ac:dyDescent="0.25">
      <c r="B41" s="147"/>
      <c r="C41" s="147"/>
      <c r="D41" s="147"/>
      <c r="E41" s="147"/>
      <c r="F41" s="157"/>
      <c r="G41" s="147"/>
      <c r="H41" s="157"/>
      <c r="I41" s="175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V41" s="161" t="s">
        <v>199</v>
      </c>
      <c r="W41" s="12"/>
      <c r="X41" s="12"/>
      <c r="Y41" s="12"/>
      <c r="Z41" s="12"/>
      <c r="AA41" s="12"/>
      <c r="AB41" s="12"/>
      <c r="AC41" s="14"/>
      <c r="AD41" s="352" t="s">
        <v>201</v>
      </c>
      <c r="AE41" s="353"/>
      <c r="AF41" s="353"/>
      <c r="AG41" s="1" t="s">
        <v>57</v>
      </c>
      <c r="AH41" s="337" t="s">
        <v>221</v>
      </c>
      <c r="AI41" s="337"/>
      <c r="AJ41" s="337"/>
      <c r="AK41" s="364" t="s">
        <v>202</v>
      </c>
      <c r="AL41" s="337"/>
      <c r="AM41" s="337"/>
      <c r="AN41" s="1" t="s">
        <v>57</v>
      </c>
      <c r="AO41" s="337" t="s">
        <v>221</v>
      </c>
      <c r="AP41" s="337"/>
      <c r="AQ41" s="338"/>
      <c r="AR41" s="350" t="s">
        <v>221</v>
      </c>
      <c r="AS41" s="337"/>
      <c r="AT41" s="337"/>
      <c r="AU41" s="1" t="s">
        <v>57</v>
      </c>
      <c r="AV41" s="337" t="s">
        <v>228</v>
      </c>
      <c r="AW41" s="337"/>
      <c r="AX41" s="338"/>
      <c r="AY41" s="350" t="s">
        <v>228</v>
      </c>
      <c r="AZ41" s="337"/>
      <c r="BA41" s="337"/>
      <c r="BB41" s="1" t="s">
        <v>57</v>
      </c>
      <c r="BC41" s="337" t="s">
        <v>352</v>
      </c>
      <c r="BD41" s="337"/>
      <c r="BE41" s="337"/>
      <c r="BF41" s="350" t="s">
        <v>556</v>
      </c>
      <c r="BG41" s="337"/>
      <c r="BH41" s="337"/>
      <c r="BI41" s="191"/>
      <c r="BJ41" s="337"/>
      <c r="BK41" s="337"/>
      <c r="BL41" s="338"/>
      <c r="BM41" s="350"/>
      <c r="BN41" s="337"/>
      <c r="BO41" s="337"/>
      <c r="BQ41" s="337"/>
      <c r="BR41" s="337"/>
      <c r="BS41" s="337"/>
      <c r="BT41" s="364" t="s">
        <v>221</v>
      </c>
      <c r="BU41" s="337"/>
      <c r="BV41" s="337"/>
      <c r="BW41" s="1" t="s">
        <v>57</v>
      </c>
      <c r="BX41" s="337" t="s">
        <v>231</v>
      </c>
      <c r="BY41" s="337"/>
      <c r="BZ41" s="338"/>
      <c r="CA41" s="337" t="s">
        <v>231</v>
      </c>
      <c r="CB41" s="337"/>
      <c r="CC41" s="337"/>
      <c r="CD41" s="1" t="s">
        <v>57</v>
      </c>
      <c r="CE41" s="337" t="s">
        <v>221</v>
      </c>
      <c r="CF41" s="337"/>
      <c r="CG41" s="337"/>
      <c r="CH41" s="350" t="s">
        <v>221</v>
      </c>
      <c r="CI41" s="337"/>
      <c r="CJ41" s="337"/>
      <c r="CK41" s="1" t="s">
        <v>57</v>
      </c>
      <c r="CL41" s="337" t="s">
        <v>234</v>
      </c>
      <c r="CM41" s="337"/>
      <c r="CN41" s="338"/>
      <c r="CO41" s="350" t="s">
        <v>262</v>
      </c>
      <c r="CP41" s="337"/>
      <c r="CQ41" s="337"/>
      <c r="CR41" s="1" t="s">
        <v>57</v>
      </c>
      <c r="CS41" s="337" t="s">
        <v>233</v>
      </c>
      <c r="CT41" s="337"/>
      <c r="CU41" s="338"/>
      <c r="CV41" s="350" t="s">
        <v>228</v>
      </c>
      <c r="CW41" s="337"/>
      <c r="CX41" s="337"/>
      <c r="CY41" s="1" t="s">
        <v>57</v>
      </c>
      <c r="CZ41" s="337" t="s">
        <v>231</v>
      </c>
      <c r="DA41" s="337"/>
      <c r="DB41" s="338"/>
      <c r="DC41" s="350" t="s">
        <v>231</v>
      </c>
      <c r="DD41" s="337"/>
      <c r="DE41" s="337"/>
      <c r="DF41" s="1" t="s">
        <v>57</v>
      </c>
      <c r="DG41" s="337" t="s">
        <v>252</v>
      </c>
      <c r="DH41" s="337"/>
      <c r="DI41" s="338"/>
      <c r="DJ41" s="350" t="s">
        <v>252</v>
      </c>
      <c r="DK41" s="337"/>
      <c r="DL41" s="337"/>
      <c r="DM41" s="1" t="s">
        <v>57</v>
      </c>
      <c r="DN41" s="337" t="s">
        <v>234</v>
      </c>
      <c r="DO41" s="337"/>
      <c r="DP41" s="338"/>
      <c r="DQ41" s="350" t="s">
        <v>233</v>
      </c>
      <c r="DR41" s="337"/>
      <c r="DS41" s="337"/>
      <c r="DT41" s="191"/>
      <c r="DU41" s="337"/>
      <c r="DV41" s="337"/>
      <c r="DW41" s="338"/>
      <c r="DX41" s="337" t="s">
        <v>252</v>
      </c>
      <c r="DY41" s="337"/>
      <c r="DZ41" s="337"/>
      <c r="EA41" s="1" t="s">
        <v>57</v>
      </c>
      <c r="EB41" s="337" t="s">
        <v>221</v>
      </c>
      <c r="EC41" s="337"/>
      <c r="ED41" s="337"/>
      <c r="EE41" s="350" t="s">
        <v>231</v>
      </c>
      <c r="EF41" s="337"/>
      <c r="EG41" s="337"/>
      <c r="EH41" s="191"/>
      <c r="EI41" s="337"/>
      <c r="EJ41" s="337"/>
      <c r="EK41" s="351"/>
      <c r="EL41" s="337" t="s">
        <v>383</v>
      </c>
      <c r="EM41" s="337"/>
      <c r="EN41" s="337"/>
      <c r="EO41" s="191"/>
      <c r="EP41" s="337"/>
      <c r="EQ41" s="337"/>
      <c r="ER41" s="351"/>
      <c r="ES41" s="337" t="s">
        <v>384</v>
      </c>
      <c r="ET41" s="337"/>
      <c r="EU41" s="337"/>
      <c r="EV41" s="1" t="s">
        <v>57</v>
      </c>
      <c r="EW41" s="337" t="s">
        <v>228</v>
      </c>
      <c r="EX41" s="337"/>
      <c r="EY41" s="338"/>
      <c r="EZ41" s="350" t="s">
        <v>228</v>
      </c>
      <c r="FA41" s="337"/>
      <c r="FB41" s="337"/>
      <c r="FC41" s="1" t="s">
        <v>57</v>
      </c>
      <c r="FD41" s="337" t="s">
        <v>352</v>
      </c>
      <c r="FE41" s="337"/>
      <c r="FF41" s="337"/>
      <c r="FG41" s="350" t="s">
        <v>352</v>
      </c>
      <c r="FH41" s="337"/>
      <c r="FI41" s="337"/>
      <c r="FJ41" s="191"/>
      <c r="FK41" s="337"/>
      <c r="FL41" s="337"/>
      <c r="FM41" s="338"/>
      <c r="FN41" s="350"/>
      <c r="FO41" s="337"/>
      <c r="FP41" s="337"/>
      <c r="FR41" s="337"/>
      <c r="FS41" s="337"/>
      <c r="FT41" s="337"/>
      <c r="FU41" s="364" t="s">
        <v>252</v>
      </c>
      <c r="FV41" s="337"/>
      <c r="FW41" s="337"/>
      <c r="FX41" s="1" t="s">
        <v>57</v>
      </c>
      <c r="FY41" s="337" t="s">
        <v>231</v>
      </c>
      <c r="FZ41" s="337"/>
      <c r="GA41" s="337"/>
      <c r="GB41" s="350" t="s">
        <v>231</v>
      </c>
      <c r="GC41" s="337"/>
      <c r="GD41" s="337"/>
      <c r="GE41" s="1" t="s">
        <v>57</v>
      </c>
      <c r="GF41" s="337" t="s">
        <v>252</v>
      </c>
      <c r="GG41" s="337"/>
      <c r="GH41" s="338"/>
      <c r="GI41" s="350" t="s">
        <v>252</v>
      </c>
      <c r="GJ41" s="337"/>
      <c r="GK41" s="337"/>
      <c r="GL41" s="1" t="s">
        <v>57</v>
      </c>
      <c r="GM41" s="337" t="s">
        <v>234</v>
      </c>
      <c r="GN41" s="337"/>
      <c r="GO41" s="338"/>
      <c r="GP41" s="337" t="s">
        <v>233</v>
      </c>
      <c r="GQ41" s="337"/>
      <c r="GR41" s="337"/>
      <c r="GS41" s="191"/>
      <c r="GT41" s="337"/>
      <c r="GU41" s="337"/>
      <c r="GV41" s="338"/>
      <c r="GW41" s="350" t="s">
        <v>382</v>
      </c>
      <c r="GX41" s="337"/>
      <c r="GY41" s="337"/>
      <c r="GZ41" s="1" t="s">
        <v>57</v>
      </c>
      <c r="HA41" s="337" t="s">
        <v>426</v>
      </c>
      <c r="HB41" s="337"/>
      <c r="HC41" s="338"/>
      <c r="HD41" s="350" t="s">
        <v>231</v>
      </c>
      <c r="HE41" s="337"/>
      <c r="HF41" s="337"/>
      <c r="HG41" s="191"/>
      <c r="HH41" s="337"/>
      <c r="HI41" s="337"/>
      <c r="HJ41" s="351"/>
      <c r="HK41" s="337" t="s">
        <v>383</v>
      </c>
      <c r="HL41" s="337"/>
      <c r="HM41" s="337"/>
      <c r="HO41" s="337"/>
      <c r="HP41" s="337"/>
      <c r="HQ41" s="351"/>
      <c r="HR41" s="337"/>
      <c r="HS41" s="337"/>
      <c r="HT41" s="337"/>
      <c r="HV41" s="337"/>
      <c r="HW41" s="337"/>
      <c r="HX41" s="338"/>
    </row>
    <row r="42" spans="2:232" ht="15" customHeight="1" outlineLevel="1" x14ac:dyDescent="0.25">
      <c r="B42" s="147"/>
      <c r="C42" s="147"/>
      <c r="D42" s="147"/>
      <c r="E42" s="147"/>
      <c r="F42" s="157"/>
      <c r="G42" s="147"/>
      <c r="H42" s="157"/>
      <c r="I42" s="175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V42" s="161" t="s">
        <v>200</v>
      </c>
      <c r="W42" s="12"/>
      <c r="X42" s="12"/>
      <c r="Y42" s="12"/>
      <c r="Z42" s="12"/>
      <c r="AA42" s="12"/>
      <c r="AB42" s="12"/>
      <c r="AC42" s="14"/>
      <c r="AD42" s="352" t="s">
        <v>201</v>
      </c>
      <c r="AE42" s="353"/>
      <c r="AF42" s="353"/>
      <c r="AG42" s="1" t="s">
        <v>57</v>
      </c>
      <c r="AH42" s="353" t="s">
        <v>220</v>
      </c>
      <c r="AI42" s="353"/>
      <c r="AJ42" s="353"/>
      <c r="AK42" s="367" t="s">
        <v>220</v>
      </c>
      <c r="AL42" s="353"/>
      <c r="AM42" s="353"/>
      <c r="AO42" s="353"/>
      <c r="AP42" s="353"/>
      <c r="AQ42" s="355"/>
      <c r="AR42" s="352" t="s">
        <v>220</v>
      </c>
      <c r="AS42" s="353"/>
      <c r="AT42" s="353"/>
      <c r="AV42" s="353"/>
      <c r="AW42" s="353"/>
      <c r="AX42" s="355"/>
      <c r="AY42" s="352" t="s">
        <v>229</v>
      </c>
      <c r="AZ42" s="353"/>
      <c r="BA42" s="353"/>
      <c r="BC42" s="353"/>
      <c r="BD42" s="353"/>
      <c r="BE42" s="353"/>
      <c r="BF42" s="352" t="s">
        <v>229</v>
      </c>
      <c r="BG42" s="353"/>
      <c r="BH42" s="353"/>
      <c r="BJ42" s="353"/>
      <c r="BK42" s="353"/>
      <c r="BL42" s="355"/>
      <c r="BM42" s="352"/>
      <c r="BN42" s="353"/>
      <c r="BO42" s="353"/>
      <c r="BQ42" s="353"/>
      <c r="BR42" s="353"/>
      <c r="BS42" s="353"/>
      <c r="BT42" s="367" t="s">
        <v>229</v>
      </c>
      <c r="BU42" s="353"/>
      <c r="BV42" s="353"/>
      <c r="BX42" s="353"/>
      <c r="BY42" s="353"/>
      <c r="BZ42" s="355"/>
      <c r="CA42" s="352" t="s">
        <v>229</v>
      </c>
      <c r="CB42" s="353"/>
      <c r="CC42" s="353"/>
      <c r="CE42" s="353"/>
      <c r="CF42" s="353"/>
      <c r="CG42" s="353"/>
      <c r="CH42" s="352" t="s">
        <v>229</v>
      </c>
      <c r="CI42" s="353"/>
      <c r="CJ42" s="353"/>
      <c r="CL42" s="353"/>
      <c r="CM42" s="353"/>
      <c r="CN42" s="355"/>
      <c r="CO42" s="352" t="s">
        <v>229</v>
      </c>
      <c r="CP42" s="353"/>
      <c r="CQ42" s="353"/>
      <c r="CS42" s="353"/>
      <c r="CT42" s="353"/>
      <c r="CU42" s="355"/>
      <c r="CV42" s="352" t="s">
        <v>229</v>
      </c>
      <c r="CW42" s="353"/>
      <c r="CX42" s="353"/>
      <c r="CZ42" s="353"/>
      <c r="DA42" s="353"/>
      <c r="DB42" s="353"/>
      <c r="DC42" s="352" t="s">
        <v>229</v>
      </c>
      <c r="DD42" s="353"/>
      <c r="DE42" s="353"/>
      <c r="DG42" s="353"/>
      <c r="DH42" s="353"/>
      <c r="DI42" s="355"/>
      <c r="DJ42" s="352" t="s">
        <v>229</v>
      </c>
      <c r="DK42" s="353"/>
      <c r="DL42" s="353"/>
      <c r="DN42" s="353"/>
      <c r="DO42" s="353"/>
      <c r="DP42" s="355"/>
      <c r="DQ42" s="352" t="s">
        <v>229</v>
      </c>
      <c r="DR42" s="353"/>
      <c r="DS42" s="353"/>
      <c r="DU42" s="353"/>
      <c r="DV42" s="353"/>
      <c r="DW42" s="355"/>
      <c r="DX42" s="353" t="s">
        <v>229</v>
      </c>
      <c r="DY42" s="353"/>
      <c r="DZ42" s="353"/>
      <c r="EB42" s="353"/>
      <c r="EC42" s="353"/>
      <c r="ED42" s="353"/>
      <c r="EE42" s="352" t="s">
        <v>229</v>
      </c>
      <c r="EF42" s="353"/>
      <c r="EG42" s="353"/>
      <c r="EI42" s="353"/>
      <c r="EJ42" s="353"/>
      <c r="EK42" s="354"/>
      <c r="EL42" s="353" t="s">
        <v>229</v>
      </c>
      <c r="EM42" s="353"/>
      <c r="EN42" s="353"/>
      <c r="EP42" s="353"/>
      <c r="EQ42" s="353"/>
      <c r="ER42" s="354"/>
      <c r="ES42" s="353" t="s">
        <v>220</v>
      </c>
      <c r="ET42" s="353"/>
      <c r="EU42" s="353"/>
      <c r="EW42" s="353"/>
      <c r="EX42" s="353"/>
      <c r="EY42" s="355"/>
      <c r="EZ42" s="352" t="s">
        <v>229</v>
      </c>
      <c r="FA42" s="353"/>
      <c r="FB42" s="353"/>
      <c r="FD42" s="353"/>
      <c r="FE42" s="353"/>
      <c r="FF42" s="353"/>
      <c r="FG42" s="352" t="s">
        <v>229</v>
      </c>
      <c r="FH42" s="353"/>
      <c r="FI42" s="353"/>
      <c r="FK42" s="353"/>
      <c r="FL42" s="353"/>
      <c r="FM42" s="355"/>
      <c r="FN42" s="352"/>
      <c r="FO42" s="353"/>
      <c r="FP42" s="353"/>
      <c r="FR42" s="353"/>
      <c r="FS42" s="353"/>
      <c r="FT42" s="353"/>
      <c r="FU42" s="367" t="s">
        <v>229</v>
      </c>
      <c r="FV42" s="353"/>
      <c r="FW42" s="353"/>
      <c r="FY42" s="353"/>
      <c r="FZ42" s="353"/>
      <c r="GA42" s="353"/>
      <c r="GB42" s="352" t="s">
        <v>229</v>
      </c>
      <c r="GC42" s="353"/>
      <c r="GD42" s="353"/>
      <c r="GF42" s="353"/>
      <c r="GG42" s="353"/>
      <c r="GH42" s="355"/>
      <c r="GI42" s="352" t="s">
        <v>229</v>
      </c>
      <c r="GJ42" s="353"/>
      <c r="GK42" s="353"/>
      <c r="GM42" s="353"/>
      <c r="GN42" s="353"/>
      <c r="GO42" s="355"/>
      <c r="GP42" s="353" t="s">
        <v>229</v>
      </c>
      <c r="GQ42" s="353"/>
      <c r="GR42" s="353"/>
      <c r="GT42" s="353"/>
      <c r="GU42" s="353"/>
      <c r="GV42" s="355"/>
      <c r="GW42" s="352" t="s">
        <v>229</v>
      </c>
      <c r="GX42" s="353"/>
      <c r="GY42" s="353"/>
      <c r="HA42" s="353"/>
      <c r="HB42" s="353"/>
      <c r="HC42" s="355"/>
      <c r="HD42" s="352" t="s">
        <v>229</v>
      </c>
      <c r="HE42" s="353"/>
      <c r="HF42" s="353"/>
      <c r="HH42" s="353"/>
      <c r="HI42" s="353"/>
      <c r="HJ42" s="354"/>
      <c r="HK42" s="353" t="s">
        <v>229</v>
      </c>
      <c r="HL42" s="353"/>
      <c r="HM42" s="353"/>
      <c r="HO42" s="353"/>
      <c r="HP42" s="353"/>
      <c r="HQ42" s="354"/>
      <c r="HR42" s="353"/>
      <c r="HS42" s="353"/>
      <c r="HT42" s="353"/>
      <c r="HV42" s="353"/>
      <c r="HW42" s="353"/>
      <c r="HX42" s="355"/>
    </row>
    <row r="43" spans="2:232" ht="15" customHeight="1" outlineLevel="1" x14ac:dyDescent="0.25">
      <c r="B43" s="147"/>
      <c r="C43" s="147"/>
      <c r="D43" s="147"/>
      <c r="E43" s="147"/>
      <c r="F43" s="157"/>
      <c r="G43" s="147"/>
      <c r="H43" s="157"/>
      <c r="I43" s="175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V43" s="162"/>
      <c r="W43" s="159"/>
      <c r="X43" s="159"/>
      <c r="Y43" s="159"/>
      <c r="Z43" s="159"/>
      <c r="AA43" s="159"/>
      <c r="AB43" s="159"/>
      <c r="AC43" s="160"/>
      <c r="AD43" s="361"/>
      <c r="AE43" s="356"/>
      <c r="AF43" s="356"/>
      <c r="AG43" s="163"/>
      <c r="AH43" s="356"/>
      <c r="AI43" s="356"/>
      <c r="AJ43" s="356"/>
      <c r="AK43" s="368"/>
      <c r="AL43" s="356"/>
      <c r="AM43" s="356"/>
      <c r="AN43" s="163"/>
      <c r="AO43" s="356"/>
      <c r="AP43" s="356"/>
      <c r="AQ43" s="357"/>
      <c r="AR43" s="361"/>
      <c r="AS43" s="356"/>
      <c r="AT43" s="356"/>
      <c r="AU43" s="163"/>
      <c r="AV43" s="356"/>
      <c r="AW43" s="356"/>
      <c r="AX43" s="357"/>
      <c r="AY43" s="361"/>
      <c r="AZ43" s="356"/>
      <c r="BA43" s="356"/>
      <c r="BB43" s="163"/>
      <c r="BC43" s="356"/>
      <c r="BD43" s="356"/>
      <c r="BE43" s="356"/>
      <c r="BF43" s="361"/>
      <c r="BG43" s="356"/>
      <c r="BH43" s="356"/>
      <c r="BI43" s="163"/>
      <c r="BJ43" s="356"/>
      <c r="BK43" s="356"/>
      <c r="BL43" s="357"/>
      <c r="BM43" s="361"/>
      <c r="BN43" s="356"/>
      <c r="BO43" s="356"/>
      <c r="BP43" s="163"/>
      <c r="BQ43" s="356"/>
      <c r="BR43" s="356"/>
      <c r="BS43" s="356"/>
      <c r="BT43" s="368"/>
      <c r="BU43" s="356"/>
      <c r="BV43" s="356"/>
      <c r="BW43" s="163"/>
      <c r="BX43" s="356"/>
      <c r="BY43" s="356"/>
      <c r="BZ43" s="357"/>
      <c r="CA43" s="361"/>
      <c r="CB43" s="356"/>
      <c r="CC43" s="356"/>
      <c r="CD43" s="163"/>
      <c r="CE43" s="356"/>
      <c r="CF43" s="356"/>
      <c r="CG43" s="357"/>
      <c r="CH43" s="361"/>
      <c r="CI43" s="356"/>
      <c r="CJ43" s="356"/>
      <c r="CK43" s="163"/>
      <c r="CL43" s="356"/>
      <c r="CM43" s="356"/>
      <c r="CN43" s="357"/>
      <c r="CO43" s="361"/>
      <c r="CP43" s="356"/>
      <c r="CQ43" s="356"/>
      <c r="CR43" s="163"/>
      <c r="CS43" s="356"/>
      <c r="CT43" s="356"/>
      <c r="CU43" s="357"/>
      <c r="CV43" s="361"/>
      <c r="CW43" s="356"/>
      <c r="CX43" s="356"/>
      <c r="CY43" s="163"/>
      <c r="CZ43" s="356"/>
      <c r="DA43" s="356"/>
      <c r="DB43" s="357"/>
      <c r="DC43" s="356"/>
      <c r="DD43" s="356"/>
      <c r="DE43" s="356"/>
      <c r="DF43" s="163"/>
      <c r="DG43" s="356"/>
      <c r="DH43" s="356"/>
      <c r="DI43" s="357"/>
      <c r="DJ43" s="361"/>
      <c r="DK43" s="356"/>
      <c r="DL43" s="356"/>
      <c r="DM43" s="163"/>
      <c r="DN43" s="356"/>
      <c r="DO43" s="356"/>
      <c r="DP43" s="357"/>
      <c r="DQ43" s="361"/>
      <c r="DR43" s="356"/>
      <c r="DS43" s="356"/>
      <c r="DT43" s="163"/>
      <c r="DU43" s="356"/>
      <c r="DV43" s="356"/>
      <c r="DW43" s="357"/>
      <c r="DX43" s="361"/>
      <c r="DY43" s="356"/>
      <c r="DZ43" s="356"/>
      <c r="EA43" s="163"/>
      <c r="EB43" s="356"/>
      <c r="EC43" s="356"/>
      <c r="ED43" s="357"/>
      <c r="EE43" s="361"/>
      <c r="EF43" s="356"/>
      <c r="EG43" s="356"/>
      <c r="EH43" s="163"/>
      <c r="EI43" s="356"/>
      <c r="EJ43" s="356"/>
      <c r="EK43" s="359"/>
      <c r="EL43" s="356"/>
      <c r="EM43" s="356"/>
      <c r="EN43" s="356"/>
      <c r="EO43" s="163"/>
      <c r="EP43" s="356"/>
      <c r="EQ43" s="356"/>
      <c r="ER43" s="359"/>
      <c r="ES43" s="356"/>
      <c r="ET43" s="356"/>
      <c r="EU43" s="356"/>
      <c r="EV43" s="163"/>
      <c r="EW43" s="356"/>
      <c r="EX43" s="356"/>
      <c r="EY43" s="357"/>
      <c r="EZ43" s="361"/>
      <c r="FA43" s="356"/>
      <c r="FB43" s="356"/>
      <c r="FC43" s="163"/>
      <c r="FD43" s="356"/>
      <c r="FE43" s="356"/>
      <c r="FF43" s="356"/>
      <c r="FG43" s="361"/>
      <c r="FH43" s="356"/>
      <c r="FI43" s="356"/>
      <c r="FJ43" s="163"/>
      <c r="FK43" s="356"/>
      <c r="FL43" s="356"/>
      <c r="FM43" s="357"/>
      <c r="FN43" s="361"/>
      <c r="FO43" s="356"/>
      <c r="FP43" s="356"/>
      <c r="FQ43" s="163"/>
      <c r="FR43" s="356"/>
      <c r="FS43" s="356"/>
      <c r="FT43" s="356"/>
      <c r="FU43" s="368"/>
      <c r="FV43" s="356"/>
      <c r="FW43" s="356"/>
      <c r="FX43" s="163"/>
      <c r="FY43" s="356"/>
      <c r="FZ43" s="356"/>
      <c r="GA43" s="356"/>
      <c r="GB43" s="361"/>
      <c r="GC43" s="356"/>
      <c r="GD43" s="356"/>
      <c r="GE43" s="163"/>
      <c r="GF43" s="356"/>
      <c r="GG43" s="356"/>
      <c r="GH43" s="357"/>
      <c r="GI43" s="361"/>
      <c r="GJ43" s="356"/>
      <c r="GK43" s="356"/>
      <c r="GL43" s="163"/>
      <c r="GM43" s="356"/>
      <c r="GN43" s="356"/>
      <c r="GO43" s="357"/>
      <c r="GP43" s="356"/>
      <c r="GQ43" s="356"/>
      <c r="GR43" s="356"/>
      <c r="GS43" s="163"/>
      <c r="GT43" s="356"/>
      <c r="GU43" s="356"/>
      <c r="GV43" s="357"/>
      <c r="GW43" s="361"/>
      <c r="GX43" s="356"/>
      <c r="GY43" s="356"/>
      <c r="GZ43" s="163"/>
      <c r="HA43" s="356"/>
      <c r="HB43" s="356"/>
      <c r="HC43" s="357"/>
      <c r="HD43" s="361"/>
      <c r="HE43" s="356"/>
      <c r="HF43" s="356"/>
      <c r="HG43" s="163"/>
      <c r="HH43" s="356"/>
      <c r="HI43" s="356"/>
      <c r="HJ43" s="359"/>
      <c r="HK43" s="356"/>
      <c r="HL43" s="356"/>
      <c r="HM43" s="356"/>
      <c r="HN43" s="163"/>
      <c r="HO43" s="356"/>
      <c r="HP43" s="356"/>
      <c r="HQ43" s="359"/>
      <c r="HR43" s="356"/>
      <c r="HS43" s="356"/>
      <c r="HT43" s="356"/>
      <c r="HU43" s="163"/>
      <c r="HV43" s="356"/>
      <c r="HW43" s="356"/>
      <c r="HX43" s="357"/>
    </row>
    <row r="44" spans="2:232" outlineLevel="1" x14ac:dyDescent="0.25">
      <c r="B44" s="32"/>
      <c r="C44" s="333">
        <f>MAX(C37:C38)+1</f>
        <v>4</v>
      </c>
      <c r="D44" s="164" t="s">
        <v>21</v>
      </c>
      <c r="E44" s="34"/>
      <c r="F44" s="165" t="s">
        <v>529</v>
      </c>
      <c r="G44" s="165" t="s">
        <v>529</v>
      </c>
      <c r="H44" s="165" t="s">
        <v>182</v>
      </c>
      <c r="I44" s="176" t="s">
        <v>183</v>
      </c>
      <c r="J44" s="165" t="s">
        <v>171</v>
      </c>
      <c r="K44" s="165">
        <v>2031</v>
      </c>
      <c r="L44" s="165">
        <v>1</v>
      </c>
      <c r="M44" s="165"/>
      <c r="N44" s="165"/>
      <c r="O44" s="165"/>
      <c r="P44" s="165"/>
      <c r="Q44" s="165"/>
      <c r="R44" s="165"/>
      <c r="S44" s="165"/>
      <c r="T44" s="165"/>
      <c r="V44" s="11" t="s">
        <v>283</v>
      </c>
      <c r="W44" s="12"/>
      <c r="X44" s="12"/>
      <c r="Y44" s="12"/>
      <c r="Z44" s="12"/>
      <c r="AA44" s="12"/>
      <c r="AB44" s="12"/>
      <c r="AC44" s="14"/>
      <c r="AD44" s="166">
        <f>$C44</f>
        <v>4</v>
      </c>
      <c r="AE44" s="358" t="s">
        <v>175</v>
      </c>
      <c r="AF44" s="358"/>
      <c r="AG44" s="358"/>
      <c r="AH44" s="158"/>
      <c r="AI44" s="337"/>
      <c r="AJ44" s="337"/>
      <c r="AK44" s="214">
        <f>$C44</f>
        <v>4</v>
      </c>
      <c r="AL44" s="358" t="s">
        <v>175</v>
      </c>
      <c r="AM44" s="358"/>
      <c r="AN44" s="358"/>
      <c r="AO44" s="32"/>
      <c r="AP44" s="353"/>
      <c r="AQ44" s="355"/>
      <c r="AR44" s="166">
        <f>$C44</f>
        <v>4</v>
      </c>
      <c r="AS44" s="358" t="s">
        <v>532</v>
      </c>
      <c r="AT44" s="358"/>
      <c r="AU44" s="358"/>
      <c r="AV44" s="32"/>
      <c r="AW44" s="353"/>
      <c r="AX44" s="355"/>
      <c r="AY44" s="166">
        <f>$C44</f>
        <v>4</v>
      </c>
      <c r="AZ44" s="358" t="s">
        <v>531</v>
      </c>
      <c r="BA44" s="358"/>
      <c r="BB44" s="358"/>
      <c r="BC44" s="32"/>
      <c r="BD44" s="353"/>
      <c r="BE44" s="353"/>
      <c r="BF44" s="166">
        <f>$C44</f>
        <v>4</v>
      </c>
      <c r="BG44" s="358" t="s">
        <v>531</v>
      </c>
      <c r="BH44" s="358"/>
      <c r="BI44" s="358"/>
      <c r="BJ44" s="158"/>
      <c r="BK44" s="337"/>
      <c r="BL44" s="338"/>
      <c r="BM44" s="166">
        <f>$C44</f>
        <v>4</v>
      </c>
      <c r="BN44" s="358" t="s">
        <v>531</v>
      </c>
      <c r="BO44" s="358"/>
      <c r="BP44" s="358"/>
      <c r="BQ44" s="158"/>
      <c r="BR44" s="337"/>
      <c r="BS44" s="337"/>
      <c r="BT44" s="214">
        <f>$C44</f>
        <v>4</v>
      </c>
      <c r="BU44" s="358" t="s">
        <v>538</v>
      </c>
      <c r="BV44" s="358"/>
      <c r="BW44" s="358"/>
      <c r="BX44" s="158"/>
      <c r="BY44" s="337"/>
      <c r="BZ44" s="338"/>
      <c r="CA44" s="166">
        <f>$C44</f>
        <v>4</v>
      </c>
      <c r="CB44" s="358" t="s">
        <v>532</v>
      </c>
      <c r="CC44" s="358"/>
      <c r="CD44" s="358"/>
      <c r="CE44" s="158"/>
      <c r="CF44" s="337"/>
      <c r="CG44" s="338"/>
      <c r="CH44" s="166">
        <f>$C44</f>
        <v>4</v>
      </c>
      <c r="CI44" s="358" t="s">
        <v>532</v>
      </c>
      <c r="CJ44" s="358"/>
      <c r="CK44" s="358"/>
      <c r="CL44" s="158"/>
      <c r="CM44" s="337"/>
      <c r="CN44" s="338"/>
      <c r="CO44" s="166">
        <f>$C44</f>
        <v>4</v>
      </c>
      <c r="CP44" s="358" t="s">
        <v>173</v>
      </c>
      <c r="CQ44" s="358"/>
      <c r="CR44" s="358"/>
      <c r="CS44" s="158"/>
      <c r="CT44" s="337"/>
      <c r="CU44" s="338"/>
      <c r="CV44" s="166">
        <f>$C44</f>
        <v>4</v>
      </c>
      <c r="CW44" s="358" t="s">
        <v>531</v>
      </c>
      <c r="CX44" s="358"/>
      <c r="CY44" s="358"/>
      <c r="CZ44" s="158"/>
      <c r="DA44" s="337"/>
      <c r="DB44" s="338"/>
      <c r="DC44" s="166">
        <f>$C44</f>
        <v>4</v>
      </c>
      <c r="DD44" s="358" t="s">
        <v>531</v>
      </c>
      <c r="DE44" s="358"/>
      <c r="DF44" s="358"/>
      <c r="DG44" s="158"/>
      <c r="DH44" s="337"/>
      <c r="DI44" s="338"/>
      <c r="DJ44" s="166">
        <f>$C44</f>
        <v>4</v>
      </c>
      <c r="DK44" s="358" t="s">
        <v>531</v>
      </c>
      <c r="DL44" s="358"/>
      <c r="DM44" s="358"/>
      <c r="DN44" s="158"/>
      <c r="DO44" s="337"/>
      <c r="DP44" s="338"/>
      <c r="DQ44" s="166">
        <f>$C44</f>
        <v>4</v>
      </c>
      <c r="DR44" s="358" t="s">
        <v>173</v>
      </c>
      <c r="DS44" s="358"/>
      <c r="DT44" s="358"/>
      <c r="DU44" s="158"/>
      <c r="DV44" s="337"/>
      <c r="DW44" s="338"/>
      <c r="DX44" s="166">
        <f>$C44</f>
        <v>4</v>
      </c>
      <c r="DY44" s="358" t="s">
        <v>532</v>
      </c>
      <c r="DZ44" s="358"/>
      <c r="EA44" s="358"/>
      <c r="EB44" s="158"/>
      <c r="EC44" s="337"/>
      <c r="ED44" s="338"/>
      <c r="EE44" s="166">
        <f>$C44</f>
        <v>4</v>
      </c>
      <c r="EF44" s="358" t="s">
        <v>531</v>
      </c>
      <c r="EG44" s="358"/>
      <c r="EH44" s="358"/>
      <c r="EI44" s="158"/>
      <c r="EJ44" s="337"/>
      <c r="EK44" s="351"/>
      <c r="EL44" s="193">
        <f>$C44</f>
        <v>4</v>
      </c>
      <c r="EM44" s="358" t="s">
        <v>645</v>
      </c>
      <c r="EN44" s="358"/>
      <c r="EO44" s="358"/>
      <c r="EP44" s="158"/>
      <c r="EQ44" s="337"/>
      <c r="ER44" s="351"/>
      <c r="ES44" s="193">
        <f>$C44</f>
        <v>4</v>
      </c>
      <c r="ET44" s="358" t="s">
        <v>175</v>
      </c>
      <c r="EU44" s="358"/>
      <c r="EV44" s="358"/>
      <c r="EW44" s="32"/>
      <c r="EX44" s="353"/>
      <c r="EY44" s="355"/>
      <c r="EZ44" s="166">
        <f>$C44</f>
        <v>4</v>
      </c>
      <c r="FA44" s="358" t="s">
        <v>532</v>
      </c>
      <c r="FB44" s="358"/>
      <c r="FC44" s="358"/>
      <c r="FD44" s="32"/>
      <c r="FE44" s="353"/>
      <c r="FF44" s="353"/>
      <c r="FG44" s="166">
        <f>$C44</f>
        <v>4</v>
      </c>
      <c r="FH44" s="358" t="s">
        <v>532</v>
      </c>
      <c r="FI44" s="358"/>
      <c r="FJ44" s="358"/>
      <c r="FK44" s="32"/>
      <c r="FL44" s="337"/>
      <c r="FM44" s="338"/>
      <c r="FN44" s="166">
        <f>$C44</f>
        <v>4</v>
      </c>
      <c r="FO44" s="358" t="s">
        <v>532</v>
      </c>
      <c r="FP44" s="358"/>
      <c r="FQ44" s="358"/>
      <c r="FR44" s="32"/>
      <c r="FS44" s="337"/>
      <c r="FT44" s="337"/>
      <c r="FU44" s="214">
        <f>$C44</f>
        <v>4</v>
      </c>
      <c r="FV44" s="358" t="s">
        <v>532</v>
      </c>
      <c r="FW44" s="358"/>
      <c r="FX44" s="358"/>
      <c r="FY44" s="32"/>
      <c r="FZ44" s="337"/>
      <c r="GA44" s="337"/>
      <c r="GB44" s="166">
        <f>$C44</f>
        <v>4</v>
      </c>
      <c r="GC44" s="358" t="s">
        <v>532</v>
      </c>
      <c r="GD44" s="358"/>
      <c r="GE44" s="358"/>
      <c r="GF44" s="32"/>
      <c r="GG44" s="337"/>
      <c r="GH44" s="338"/>
      <c r="GI44" s="166">
        <f>$C44</f>
        <v>4</v>
      </c>
      <c r="GJ44" s="358" t="s">
        <v>532</v>
      </c>
      <c r="GK44" s="358"/>
      <c r="GL44" s="358"/>
      <c r="GM44" s="32"/>
      <c r="GN44" s="337"/>
      <c r="GO44" s="338"/>
      <c r="GP44" s="193">
        <f>$C44</f>
        <v>4</v>
      </c>
      <c r="GQ44" s="358" t="s">
        <v>175</v>
      </c>
      <c r="GR44" s="358"/>
      <c r="GS44" s="358"/>
      <c r="GT44" s="32"/>
      <c r="GU44" s="337"/>
      <c r="GV44" s="338"/>
      <c r="GW44" s="166">
        <f>$C44</f>
        <v>4</v>
      </c>
      <c r="GX44" s="358" t="s">
        <v>175</v>
      </c>
      <c r="GY44" s="358"/>
      <c r="GZ44" s="358"/>
      <c r="HA44" s="32"/>
      <c r="HB44" s="337"/>
      <c r="HC44" s="338"/>
      <c r="HD44" s="166">
        <f>$C44</f>
        <v>4</v>
      </c>
      <c r="HE44" s="358" t="s">
        <v>532</v>
      </c>
      <c r="HF44" s="358"/>
      <c r="HG44" s="358"/>
      <c r="HH44" s="32"/>
      <c r="HI44" s="337"/>
      <c r="HJ44" s="351"/>
      <c r="HK44" s="193">
        <f>$C44</f>
        <v>4</v>
      </c>
      <c r="HL44" s="358" t="s">
        <v>645</v>
      </c>
      <c r="HM44" s="358"/>
      <c r="HN44" s="358"/>
      <c r="HO44" s="32"/>
      <c r="HP44" s="337"/>
      <c r="HQ44" s="351"/>
      <c r="HR44" s="193"/>
      <c r="HS44" s="362"/>
      <c r="HT44" s="362"/>
      <c r="HU44" s="362"/>
      <c r="HV44" s="257"/>
      <c r="HW44" s="337"/>
      <c r="HX44" s="338"/>
    </row>
    <row r="45" spans="2:232" outlineLevel="1" x14ac:dyDescent="0.25">
      <c r="B45" s="32"/>
      <c r="C45" s="167"/>
      <c r="D45" s="167"/>
      <c r="E45" s="34"/>
      <c r="F45" s="168"/>
      <c r="G45" s="167"/>
      <c r="H45" s="168"/>
      <c r="I45" s="177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V45" s="107"/>
      <c r="W45" s="108"/>
      <c r="X45" s="108"/>
      <c r="Y45" s="108"/>
      <c r="Z45" s="108"/>
      <c r="AA45" s="108"/>
      <c r="AB45" s="108"/>
      <c r="AC45" s="109"/>
      <c r="AD45" s="169"/>
      <c r="AE45" s="365"/>
      <c r="AF45" s="365"/>
      <c r="AG45" s="365"/>
      <c r="AH45" s="30"/>
      <c r="AI45" s="340"/>
      <c r="AJ45" s="340"/>
      <c r="AK45" s="215"/>
      <c r="AL45" s="339"/>
      <c r="AM45" s="339"/>
      <c r="AN45" s="339"/>
      <c r="AO45" s="30"/>
      <c r="AP45" s="340"/>
      <c r="AQ45" s="341"/>
      <c r="AR45" s="169"/>
      <c r="AS45" s="339"/>
      <c r="AT45" s="339"/>
      <c r="AU45" s="339"/>
      <c r="AV45" s="30"/>
      <c r="AW45" s="340"/>
      <c r="AX45" s="341"/>
      <c r="AY45" s="169"/>
      <c r="AZ45" s="339"/>
      <c r="BA45" s="339"/>
      <c r="BB45" s="339"/>
      <c r="BC45" s="30"/>
      <c r="BD45" s="340"/>
      <c r="BE45" s="340"/>
      <c r="BF45" s="169"/>
      <c r="BG45" s="339"/>
      <c r="BH45" s="339"/>
      <c r="BI45" s="339"/>
      <c r="BJ45" s="30"/>
      <c r="BK45" s="340"/>
      <c r="BL45" s="341"/>
      <c r="BM45" s="169"/>
      <c r="BN45" s="339"/>
      <c r="BO45" s="339"/>
      <c r="BP45" s="339"/>
      <c r="BQ45" s="30"/>
      <c r="BR45" s="340"/>
      <c r="BS45" s="340"/>
      <c r="BT45" s="215"/>
      <c r="BU45" s="339"/>
      <c r="BV45" s="339"/>
      <c r="BW45" s="339"/>
      <c r="BX45" s="30"/>
      <c r="BY45" s="340"/>
      <c r="BZ45" s="341"/>
      <c r="CA45" s="169"/>
      <c r="CB45" s="339"/>
      <c r="CC45" s="339"/>
      <c r="CD45" s="339"/>
      <c r="CE45" s="30"/>
      <c r="CF45" s="340"/>
      <c r="CG45" s="341"/>
      <c r="CH45" s="169"/>
      <c r="CI45" s="339"/>
      <c r="CJ45" s="339"/>
      <c r="CK45" s="339"/>
      <c r="CL45" s="30"/>
      <c r="CM45" s="340"/>
      <c r="CN45" s="341"/>
      <c r="CO45" s="169"/>
      <c r="CP45" s="339"/>
      <c r="CQ45" s="339"/>
      <c r="CR45" s="339"/>
      <c r="CS45" s="30"/>
      <c r="CT45" s="340"/>
      <c r="CU45" s="341"/>
      <c r="CV45" s="169"/>
      <c r="CW45" s="339"/>
      <c r="CX45" s="339"/>
      <c r="CY45" s="339"/>
      <c r="CZ45" s="30"/>
      <c r="DA45" s="340"/>
      <c r="DB45" s="341"/>
      <c r="DC45" s="192"/>
      <c r="DD45" s="339"/>
      <c r="DE45" s="339"/>
      <c r="DF45" s="339"/>
      <c r="DG45" s="30"/>
      <c r="DH45" s="340"/>
      <c r="DI45" s="341"/>
      <c r="DJ45" s="169"/>
      <c r="DK45" s="339"/>
      <c r="DL45" s="339"/>
      <c r="DM45" s="339"/>
      <c r="DN45" s="30"/>
      <c r="DO45" s="340"/>
      <c r="DP45" s="341"/>
      <c r="DQ45" s="169"/>
      <c r="DR45" s="339"/>
      <c r="DS45" s="339"/>
      <c r="DT45" s="339"/>
      <c r="DU45" s="30"/>
      <c r="DV45" s="340"/>
      <c r="DW45" s="341"/>
      <c r="DX45" s="192"/>
      <c r="DY45" s="339"/>
      <c r="DZ45" s="339"/>
      <c r="EA45" s="339"/>
      <c r="EB45" s="30"/>
      <c r="EC45" s="340"/>
      <c r="ED45" s="341"/>
      <c r="EE45" s="169"/>
      <c r="EF45" s="339"/>
      <c r="EG45" s="339"/>
      <c r="EH45" s="339"/>
      <c r="EI45" s="30"/>
      <c r="EJ45" s="340"/>
      <c r="EK45" s="360"/>
      <c r="EL45" s="192"/>
      <c r="EM45" s="339"/>
      <c r="EN45" s="339"/>
      <c r="EO45" s="339"/>
      <c r="EP45" s="30"/>
      <c r="EQ45" s="340"/>
      <c r="ER45" s="360"/>
      <c r="ES45" s="192"/>
      <c r="ET45" s="339"/>
      <c r="EU45" s="339"/>
      <c r="EV45" s="339"/>
      <c r="EW45" s="30"/>
      <c r="EX45" s="340"/>
      <c r="EY45" s="341"/>
      <c r="EZ45" s="169"/>
      <c r="FA45" s="339"/>
      <c r="FB45" s="339"/>
      <c r="FC45" s="339"/>
      <c r="FD45" s="30"/>
      <c r="FE45" s="340"/>
      <c r="FF45" s="340"/>
      <c r="FG45" s="169"/>
      <c r="FH45" s="339"/>
      <c r="FI45" s="339"/>
      <c r="FJ45" s="339"/>
      <c r="FK45" s="30"/>
      <c r="FL45" s="340"/>
      <c r="FM45" s="341"/>
      <c r="FN45" s="169"/>
      <c r="FO45" s="339"/>
      <c r="FP45" s="339"/>
      <c r="FQ45" s="339"/>
      <c r="FR45" s="30"/>
      <c r="FS45" s="340"/>
      <c r="FT45" s="340"/>
      <c r="FU45" s="215"/>
      <c r="FV45" s="339"/>
      <c r="FW45" s="339"/>
      <c r="FX45" s="339"/>
      <c r="FY45" s="30"/>
      <c r="FZ45" s="340"/>
      <c r="GA45" s="340"/>
      <c r="GB45" s="169"/>
      <c r="GC45" s="339"/>
      <c r="GD45" s="339"/>
      <c r="GE45" s="339"/>
      <c r="GF45" s="30"/>
      <c r="GG45" s="340"/>
      <c r="GH45" s="341"/>
      <c r="GI45" s="169"/>
      <c r="GJ45" s="339"/>
      <c r="GK45" s="339"/>
      <c r="GL45" s="339"/>
      <c r="GM45" s="30"/>
      <c r="GN45" s="340"/>
      <c r="GO45" s="341"/>
      <c r="GP45" s="192"/>
      <c r="GQ45" s="339"/>
      <c r="GR45" s="339"/>
      <c r="GS45" s="339"/>
      <c r="GT45" s="30"/>
      <c r="GU45" s="340"/>
      <c r="GV45" s="341"/>
      <c r="GW45" s="169"/>
      <c r="GX45" s="339"/>
      <c r="GY45" s="339"/>
      <c r="GZ45" s="339"/>
      <c r="HA45" s="30"/>
      <c r="HB45" s="340"/>
      <c r="HC45" s="341"/>
      <c r="HD45" s="169"/>
      <c r="HE45" s="339"/>
      <c r="HF45" s="339"/>
      <c r="HG45" s="339"/>
      <c r="HH45" s="30"/>
      <c r="HI45" s="340"/>
      <c r="HJ45" s="360"/>
      <c r="HK45" s="192"/>
      <c r="HL45" s="339"/>
      <c r="HM45" s="339"/>
      <c r="HN45" s="339"/>
      <c r="HO45" s="30"/>
      <c r="HP45" s="340"/>
      <c r="HQ45" s="360"/>
      <c r="HR45" s="192"/>
      <c r="HS45" s="339"/>
      <c r="HT45" s="339"/>
      <c r="HU45" s="339"/>
      <c r="HV45" s="258"/>
      <c r="HW45" s="340"/>
      <c r="HX45" s="341"/>
    </row>
    <row r="46" spans="2:232" ht="15" customHeight="1" outlineLevel="1" x14ac:dyDescent="0.25">
      <c r="B46" s="147"/>
      <c r="C46" s="147"/>
      <c r="D46" s="148"/>
      <c r="E46" s="147"/>
      <c r="F46" s="149"/>
      <c r="G46" s="148"/>
      <c r="H46" s="149"/>
      <c r="I46" s="174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V46" s="150" t="s">
        <v>170</v>
      </c>
      <c r="W46" s="151"/>
      <c r="X46" s="151"/>
      <c r="Y46" s="151"/>
      <c r="Z46" s="151"/>
      <c r="AA46" s="151"/>
      <c r="AB46" s="369"/>
      <c r="AC46" s="370"/>
      <c r="AD46" s="342" t="s">
        <v>217</v>
      </c>
      <c r="AE46" s="343"/>
      <c r="AF46" s="343"/>
      <c r="AG46" s="343"/>
      <c r="AH46" s="343"/>
      <c r="AI46" s="152"/>
      <c r="AJ46" s="194">
        <f>COUNTA(AD51:AD52)</f>
        <v>1</v>
      </c>
      <c r="AK46" s="366" t="s">
        <v>217</v>
      </c>
      <c r="AL46" s="343"/>
      <c r="AM46" s="343"/>
      <c r="AN46" s="343"/>
      <c r="AO46" s="343"/>
      <c r="AP46" s="152"/>
      <c r="AQ46" s="155">
        <f>COUNTA(AK51:AK52)</f>
        <v>1</v>
      </c>
      <c r="AR46" s="342" t="s">
        <v>217</v>
      </c>
      <c r="AS46" s="343"/>
      <c r="AT46" s="343"/>
      <c r="AU46" s="343"/>
      <c r="AV46" s="343"/>
      <c r="AW46" s="152"/>
      <c r="AX46" s="155">
        <f>COUNTA(AR51:AR52)</f>
        <v>1</v>
      </c>
      <c r="AY46" s="342" t="s">
        <v>217</v>
      </c>
      <c r="AZ46" s="343"/>
      <c r="BA46" s="343"/>
      <c r="BB46" s="343"/>
      <c r="BC46" s="343"/>
      <c r="BD46" s="152"/>
      <c r="BE46" s="194">
        <f>COUNTA(AY51:AY52)</f>
        <v>1</v>
      </c>
      <c r="BF46" s="342" t="s">
        <v>217</v>
      </c>
      <c r="BG46" s="343"/>
      <c r="BH46" s="343"/>
      <c r="BI46" s="343"/>
      <c r="BJ46" s="343"/>
      <c r="BK46" s="152"/>
      <c r="BL46" s="155">
        <f>COUNTA(BF51:BF52)</f>
        <v>1</v>
      </c>
      <c r="BM46" s="156"/>
      <c r="BN46" s="152"/>
      <c r="BO46" s="153"/>
      <c r="BP46" s="152"/>
      <c r="BQ46" s="154"/>
      <c r="BR46" s="152"/>
      <c r="BS46" s="194">
        <f>COUNTA(BM51:BM52)</f>
        <v>1</v>
      </c>
      <c r="BT46" s="366" t="s">
        <v>217</v>
      </c>
      <c r="BU46" s="343"/>
      <c r="BV46" s="343"/>
      <c r="BW46" s="343"/>
      <c r="BX46" s="343"/>
      <c r="BY46" s="152"/>
      <c r="BZ46" s="155">
        <f>COUNTA(BT51:BT52)</f>
        <v>1</v>
      </c>
      <c r="CA46" s="342" t="s">
        <v>217</v>
      </c>
      <c r="CB46" s="343"/>
      <c r="CC46" s="343"/>
      <c r="CD46" s="343"/>
      <c r="CE46" s="343"/>
      <c r="CF46" s="152"/>
      <c r="CG46" s="155">
        <f>COUNTA(CA51:CA52)</f>
        <v>1</v>
      </c>
      <c r="CH46" s="342" t="s">
        <v>217</v>
      </c>
      <c r="CI46" s="343"/>
      <c r="CJ46" s="343"/>
      <c r="CK46" s="343"/>
      <c r="CL46" s="343"/>
      <c r="CM46" s="152"/>
      <c r="CN46" s="155">
        <f>COUNTA(CH51:CH52)</f>
        <v>1</v>
      </c>
      <c r="CO46" s="342" t="s">
        <v>217</v>
      </c>
      <c r="CP46" s="343"/>
      <c r="CQ46" s="343"/>
      <c r="CR46" s="343"/>
      <c r="CS46" s="343"/>
      <c r="CT46" s="152"/>
      <c r="CU46" s="155">
        <f>COUNTA(CO51:CO52)</f>
        <v>1</v>
      </c>
      <c r="CV46" s="342" t="s">
        <v>217</v>
      </c>
      <c r="CW46" s="343"/>
      <c r="CX46" s="343"/>
      <c r="CY46" s="343"/>
      <c r="CZ46" s="343"/>
      <c r="DA46" s="152"/>
      <c r="DB46" s="155">
        <f>COUNTA(CV51:CV52)</f>
        <v>1</v>
      </c>
      <c r="DC46" s="343" t="s">
        <v>217</v>
      </c>
      <c r="DD46" s="343"/>
      <c r="DE46" s="343"/>
      <c r="DF46" s="343"/>
      <c r="DG46" s="343"/>
      <c r="DH46" s="152"/>
      <c r="DI46" s="155">
        <f>COUNTA(DC51:DC52)</f>
        <v>1</v>
      </c>
      <c r="DJ46" s="342" t="s">
        <v>217</v>
      </c>
      <c r="DK46" s="343"/>
      <c r="DL46" s="343"/>
      <c r="DM46" s="343"/>
      <c r="DN46" s="343"/>
      <c r="DO46" s="152"/>
      <c r="DP46" s="155">
        <f>COUNTA(DJ51:DJ52)</f>
        <v>1</v>
      </c>
      <c r="DQ46" s="342" t="s">
        <v>217</v>
      </c>
      <c r="DR46" s="343"/>
      <c r="DS46" s="343"/>
      <c r="DT46" s="343"/>
      <c r="DU46" s="343"/>
      <c r="DV46" s="152"/>
      <c r="DW46" s="155">
        <f>COUNTA(DQ51:DQ52)</f>
        <v>1</v>
      </c>
      <c r="DX46" s="343" t="s">
        <v>217</v>
      </c>
      <c r="DY46" s="343"/>
      <c r="DZ46" s="343"/>
      <c r="EA46" s="343"/>
      <c r="EB46" s="343"/>
      <c r="EC46" s="152"/>
      <c r="ED46" s="155">
        <f>COUNTA(DX51:DX52)</f>
        <v>1</v>
      </c>
      <c r="EE46" s="342" t="s">
        <v>217</v>
      </c>
      <c r="EF46" s="343"/>
      <c r="EG46" s="343"/>
      <c r="EH46" s="343"/>
      <c r="EI46" s="343"/>
      <c r="EJ46" s="152"/>
      <c r="EK46" s="218">
        <f>COUNTA(EE51:EE52)</f>
        <v>1</v>
      </c>
      <c r="EL46" s="343" t="s">
        <v>217</v>
      </c>
      <c r="EM46" s="343"/>
      <c r="EN46" s="343"/>
      <c r="EO46" s="343"/>
      <c r="EP46" s="343"/>
      <c r="EQ46" s="152"/>
      <c r="ER46" s="218">
        <f>COUNTA(EL51:EL52)</f>
        <v>1</v>
      </c>
      <c r="ES46" s="343" t="s">
        <v>217</v>
      </c>
      <c r="ET46" s="343"/>
      <c r="EU46" s="343"/>
      <c r="EV46" s="343"/>
      <c r="EW46" s="343"/>
      <c r="EX46" s="152"/>
      <c r="EY46" s="155">
        <f>COUNTA(ES51:ES52)</f>
        <v>1</v>
      </c>
      <c r="EZ46" s="342" t="s">
        <v>217</v>
      </c>
      <c r="FA46" s="343"/>
      <c r="FB46" s="343"/>
      <c r="FC46" s="343"/>
      <c r="FD46" s="343"/>
      <c r="FE46" s="152"/>
      <c r="FF46" s="194">
        <f>COUNTA(EZ51:EZ52)</f>
        <v>1</v>
      </c>
      <c r="FG46" s="342" t="s">
        <v>217</v>
      </c>
      <c r="FH46" s="343"/>
      <c r="FI46" s="343"/>
      <c r="FJ46" s="343"/>
      <c r="FK46" s="343"/>
      <c r="FL46" s="152"/>
      <c r="FM46" s="155">
        <f>COUNTA(FG51:FG52)</f>
        <v>1</v>
      </c>
      <c r="FN46" s="156"/>
      <c r="FO46" s="152"/>
      <c r="FP46" s="153"/>
      <c r="FQ46" s="152"/>
      <c r="FR46" s="154"/>
      <c r="FS46" s="152"/>
      <c r="FT46" s="194">
        <f>COUNTA(FN51:FN52)</f>
        <v>1</v>
      </c>
      <c r="FU46" s="366" t="s">
        <v>217</v>
      </c>
      <c r="FV46" s="343"/>
      <c r="FW46" s="343"/>
      <c r="FX46" s="343"/>
      <c r="FY46" s="343"/>
      <c r="FZ46" s="152"/>
      <c r="GA46" s="194">
        <f>COUNTA(FU51:FU52)</f>
        <v>1</v>
      </c>
      <c r="GB46" s="342" t="s">
        <v>217</v>
      </c>
      <c r="GC46" s="343"/>
      <c r="GD46" s="343"/>
      <c r="GE46" s="343"/>
      <c r="GF46" s="343"/>
      <c r="GG46" s="152"/>
      <c r="GH46" s="155">
        <f>COUNTA(GB51:GB52)</f>
        <v>1</v>
      </c>
      <c r="GI46" s="342" t="s">
        <v>217</v>
      </c>
      <c r="GJ46" s="343"/>
      <c r="GK46" s="343"/>
      <c r="GL46" s="343"/>
      <c r="GM46" s="343"/>
      <c r="GN46" s="152"/>
      <c r="GO46" s="155">
        <f>COUNTA(GI51:GI52)</f>
        <v>1</v>
      </c>
      <c r="GP46" s="343" t="s">
        <v>217</v>
      </c>
      <c r="GQ46" s="343"/>
      <c r="GR46" s="343"/>
      <c r="GS46" s="343"/>
      <c r="GT46" s="343"/>
      <c r="GU46" s="152"/>
      <c r="GV46" s="155">
        <f>COUNTA(GP51:GP52)</f>
        <v>1</v>
      </c>
      <c r="GW46" s="342" t="s">
        <v>217</v>
      </c>
      <c r="GX46" s="343"/>
      <c r="GY46" s="343"/>
      <c r="GZ46" s="343"/>
      <c r="HA46" s="343"/>
      <c r="HB46" s="152"/>
      <c r="HC46" s="155">
        <f>COUNTA(GW51:GW52)</f>
        <v>1</v>
      </c>
      <c r="HD46" s="342" t="s">
        <v>217</v>
      </c>
      <c r="HE46" s="343"/>
      <c r="HF46" s="343"/>
      <c r="HG46" s="343"/>
      <c r="HH46" s="343"/>
      <c r="HI46" s="152"/>
      <c r="HJ46" s="218">
        <f>COUNTA(HD51:HD52)</f>
        <v>1</v>
      </c>
      <c r="HK46" s="343" t="s">
        <v>217</v>
      </c>
      <c r="HL46" s="343"/>
      <c r="HM46" s="343"/>
      <c r="HN46" s="343"/>
      <c r="HO46" s="343"/>
      <c r="HP46" s="152"/>
      <c r="HQ46" s="218">
        <f>COUNTA(HK51:HK52)</f>
        <v>1</v>
      </c>
      <c r="HR46" s="152"/>
      <c r="HS46" s="152"/>
      <c r="HT46" s="153"/>
      <c r="HU46" s="152"/>
      <c r="HV46" s="255"/>
      <c r="HW46" s="152"/>
      <c r="HX46" s="155">
        <f>COUNTA(HR51:HR52)</f>
        <v>0</v>
      </c>
    </row>
    <row r="47" spans="2:232" ht="15" customHeight="1" outlineLevel="1" x14ac:dyDescent="0.25">
      <c r="B47" s="147"/>
      <c r="C47" s="147"/>
      <c r="D47" s="147"/>
      <c r="E47" s="147"/>
      <c r="F47" s="157"/>
      <c r="G47" s="147"/>
      <c r="H47" s="157"/>
      <c r="I47" s="175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V47" s="185" t="s">
        <v>224</v>
      </c>
      <c r="W47" s="186"/>
      <c r="X47" s="186"/>
      <c r="Y47" s="186"/>
      <c r="Z47" s="186"/>
      <c r="AA47" s="186"/>
      <c r="AB47" s="187"/>
      <c r="AC47" s="188"/>
      <c r="AD47" s="344" t="s">
        <v>225</v>
      </c>
      <c r="AE47" s="345"/>
      <c r="AF47" s="345"/>
      <c r="AG47" s="181" t="s">
        <v>75</v>
      </c>
      <c r="AH47" s="346" t="s">
        <v>288</v>
      </c>
      <c r="AI47" s="346"/>
      <c r="AJ47" s="346"/>
      <c r="AK47" s="363" t="s">
        <v>227</v>
      </c>
      <c r="AL47" s="345"/>
      <c r="AM47" s="345"/>
      <c r="AN47" s="181" t="s">
        <v>75</v>
      </c>
      <c r="AO47" s="346" t="s">
        <v>318</v>
      </c>
      <c r="AP47" s="346"/>
      <c r="AQ47" s="349"/>
      <c r="AR47" s="344" t="s">
        <v>227</v>
      </c>
      <c r="AS47" s="345"/>
      <c r="AT47" s="345"/>
      <c r="AU47" s="181" t="s">
        <v>75</v>
      </c>
      <c r="AV47" s="346" t="s">
        <v>318</v>
      </c>
      <c r="AW47" s="346"/>
      <c r="AX47" s="349"/>
      <c r="AY47" s="344" t="s">
        <v>227</v>
      </c>
      <c r="AZ47" s="345"/>
      <c r="BA47" s="345"/>
      <c r="BB47" s="181" t="s">
        <v>75</v>
      </c>
      <c r="BC47" s="346" t="s">
        <v>318</v>
      </c>
      <c r="BD47" s="346"/>
      <c r="BE47" s="349"/>
      <c r="BF47" s="344" t="s">
        <v>227</v>
      </c>
      <c r="BG47" s="345"/>
      <c r="BH47" s="345"/>
      <c r="BI47" s="181" t="s">
        <v>75</v>
      </c>
      <c r="BJ47" s="346" t="s">
        <v>318</v>
      </c>
      <c r="BK47" s="346"/>
      <c r="BL47" s="349"/>
      <c r="BM47" s="180"/>
      <c r="BN47" s="181"/>
      <c r="BO47" s="182"/>
      <c r="BP47" s="181"/>
      <c r="BQ47" s="183"/>
      <c r="BR47" s="181"/>
      <c r="BS47" s="210"/>
      <c r="BT47" s="363" t="s">
        <v>232</v>
      </c>
      <c r="BU47" s="345"/>
      <c r="BV47" s="345"/>
      <c r="BW47" s="181" t="s">
        <v>75</v>
      </c>
      <c r="BX47" s="346" t="s">
        <v>337</v>
      </c>
      <c r="BY47" s="346"/>
      <c r="BZ47" s="349"/>
      <c r="CA47" s="344" t="s">
        <v>232</v>
      </c>
      <c r="CB47" s="345"/>
      <c r="CC47" s="345"/>
      <c r="CD47" s="181" t="s">
        <v>75</v>
      </c>
      <c r="CE47" s="346" t="s">
        <v>337</v>
      </c>
      <c r="CF47" s="346"/>
      <c r="CG47" s="349"/>
      <c r="CH47" s="344" t="s">
        <v>232</v>
      </c>
      <c r="CI47" s="345"/>
      <c r="CJ47" s="345"/>
      <c r="CK47" s="181" t="s">
        <v>75</v>
      </c>
      <c r="CL47" s="346" t="s">
        <v>337</v>
      </c>
      <c r="CM47" s="346"/>
      <c r="CN47" s="349"/>
      <c r="CO47" s="344" t="s">
        <v>232</v>
      </c>
      <c r="CP47" s="345"/>
      <c r="CQ47" s="345"/>
      <c r="CR47" s="181" t="s">
        <v>75</v>
      </c>
      <c r="CS47" s="346" t="s">
        <v>337</v>
      </c>
      <c r="CT47" s="346"/>
      <c r="CU47" s="349"/>
      <c r="CV47" s="344" t="s">
        <v>232</v>
      </c>
      <c r="CW47" s="345"/>
      <c r="CX47" s="345"/>
      <c r="CY47" s="181" t="s">
        <v>75</v>
      </c>
      <c r="CZ47" s="346" t="s">
        <v>337</v>
      </c>
      <c r="DA47" s="346"/>
      <c r="DB47" s="349"/>
      <c r="DC47" s="344" t="s">
        <v>232</v>
      </c>
      <c r="DD47" s="345"/>
      <c r="DE47" s="345"/>
      <c r="DF47" s="181" t="s">
        <v>75</v>
      </c>
      <c r="DG47" s="346" t="s">
        <v>337</v>
      </c>
      <c r="DH47" s="346"/>
      <c r="DI47" s="349"/>
      <c r="DJ47" s="344" t="s">
        <v>232</v>
      </c>
      <c r="DK47" s="345"/>
      <c r="DL47" s="345"/>
      <c r="DM47" s="181" t="s">
        <v>75</v>
      </c>
      <c r="DN47" s="346" t="s">
        <v>337</v>
      </c>
      <c r="DO47" s="346"/>
      <c r="DP47" s="349"/>
      <c r="DQ47" s="345" t="s">
        <v>232</v>
      </c>
      <c r="DR47" s="345"/>
      <c r="DS47" s="345"/>
      <c r="DT47" s="181" t="s">
        <v>75</v>
      </c>
      <c r="DU47" s="346" t="s">
        <v>337</v>
      </c>
      <c r="DV47" s="346"/>
      <c r="DW47" s="349"/>
      <c r="DX47" s="345" t="s">
        <v>232</v>
      </c>
      <c r="DY47" s="345"/>
      <c r="DZ47" s="345"/>
      <c r="EA47" s="181" t="s">
        <v>75</v>
      </c>
      <c r="EB47" s="346" t="s">
        <v>337</v>
      </c>
      <c r="EC47" s="346"/>
      <c r="ED47" s="349"/>
      <c r="EE47" s="345" t="s">
        <v>232</v>
      </c>
      <c r="EF47" s="345"/>
      <c r="EG47" s="345"/>
      <c r="EH47" s="181" t="s">
        <v>75</v>
      </c>
      <c r="EI47" s="346" t="s">
        <v>337</v>
      </c>
      <c r="EJ47" s="346"/>
      <c r="EK47" s="347"/>
      <c r="EL47" s="345" t="s">
        <v>539</v>
      </c>
      <c r="EM47" s="345"/>
      <c r="EN47" s="345"/>
      <c r="EO47" s="181" t="s">
        <v>75</v>
      </c>
      <c r="EP47" s="346" t="s">
        <v>337</v>
      </c>
      <c r="EQ47" s="346"/>
      <c r="ER47" s="347"/>
      <c r="ES47" s="345" t="s">
        <v>243</v>
      </c>
      <c r="ET47" s="345"/>
      <c r="EU47" s="345"/>
      <c r="EV47" s="181" t="s">
        <v>75</v>
      </c>
      <c r="EW47" s="346" t="s">
        <v>365</v>
      </c>
      <c r="EX47" s="346"/>
      <c r="EY47" s="349"/>
      <c r="EZ47" s="344" t="s">
        <v>243</v>
      </c>
      <c r="FA47" s="345"/>
      <c r="FB47" s="345"/>
      <c r="FC47" s="181" t="s">
        <v>75</v>
      </c>
      <c r="FD47" s="346" t="s">
        <v>365</v>
      </c>
      <c r="FE47" s="346"/>
      <c r="FF47" s="346"/>
      <c r="FG47" s="344" t="s">
        <v>243</v>
      </c>
      <c r="FH47" s="345"/>
      <c r="FI47" s="345"/>
      <c r="FJ47" s="181" t="s">
        <v>75</v>
      </c>
      <c r="FK47" s="346" t="s">
        <v>365</v>
      </c>
      <c r="FL47" s="346"/>
      <c r="FM47" s="346"/>
      <c r="FN47" s="180"/>
      <c r="FO47" s="181"/>
      <c r="FP47" s="182"/>
      <c r="FQ47" s="181"/>
      <c r="FR47" s="183"/>
      <c r="FS47" s="181"/>
      <c r="FT47" s="210"/>
      <c r="FU47" s="363" t="s">
        <v>246</v>
      </c>
      <c r="FV47" s="345"/>
      <c r="FW47" s="345"/>
      <c r="FX47" s="181" t="s">
        <v>75</v>
      </c>
      <c r="FY47" s="346" t="s">
        <v>388</v>
      </c>
      <c r="FZ47" s="346"/>
      <c r="GA47" s="346"/>
      <c r="GB47" s="344" t="s">
        <v>246</v>
      </c>
      <c r="GC47" s="345"/>
      <c r="GD47" s="345"/>
      <c r="GE47" s="181" t="s">
        <v>75</v>
      </c>
      <c r="GF47" s="346" t="s">
        <v>388</v>
      </c>
      <c r="GG47" s="346"/>
      <c r="GH47" s="349"/>
      <c r="GI47" s="344" t="s">
        <v>246</v>
      </c>
      <c r="GJ47" s="345"/>
      <c r="GK47" s="345"/>
      <c r="GL47" s="181" t="s">
        <v>75</v>
      </c>
      <c r="GM47" s="346" t="s">
        <v>388</v>
      </c>
      <c r="GN47" s="346"/>
      <c r="GO47" s="349"/>
      <c r="GP47" s="345" t="s">
        <v>246</v>
      </c>
      <c r="GQ47" s="345"/>
      <c r="GR47" s="345"/>
      <c r="GS47" s="181" t="s">
        <v>75</v>
      </c>
      <c r="GT47" s="346" t="s">
        <v>388</v>
      </c>
      <c r="GU47" s="346"/>
      <c r="GV47" s="349"/>
      <c r="GW47" s="344" t="s">
        <v>246</v>
      </c>
      <c r="GX47" s="345"/>
      <c r="GY47" s="345"/>
      <c r="GZ47" s="181" t="s">
        <v>75</v>
      </c>
      <c r="HA47" s="346" t="s">
        <v>388</v>
      </c>
      <c r="HB47" s="346"/>
      <c r="HC47" s="349"/>
      <c r="HD47" s="344" t="s">
        <v>246</v>
      </c>
      <c r="HE47" s="345"/>
      <c r="HF47" s="345"/>
      <c r="HG47" s="181" t="s">
        <v>75</v>
      </c>
      <c r="HH47" s="346" t="s">
        <v>388</v>
      </c>
      <c r="HI47" s="346"/>
      <c r="HJ47" s="347"/>
      <c r="HK47" s="345" t="s">
        <v>541</v>
      </c>
      <c r="HL47" s="345"/>
      <c r="HM47" s="345"/>
      <c r="HN47" s="181" t="s">
        <v>75</v>
      </c>
      <c r="HO47" s="346" t="s">
        <v>388</v>
      </c>
      <c r="HP47" s="346"/>
      <c r="HQ47" s="347"/>
      <c r="HR47" s="181"/>
      <c r="HS47" s="181"/>
      <c r="HT47" s="182"/>
      <c r="HU47" s="181"/>
      <c r="HV47" s="256"/>
      <c r="HW47" s="181"/>
      <c r="HX47" s="184"/>
    </row>
    <row r="48" spans="2:232" ht="15" customHeight="1" outlineLevel="1" x14ac:dyDescent="0.25">
      <c r="B48" s="147"/>
      <c r="C48" s="147"/>
      <c r="D48" s="147"/>
      <c r="E48" s="147"/>
      <c r="F48" s="157"/>
      <c r="G48" s="147"/>
      <c r="H48" s="157"/>
      <c r="I48" s="175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V48" s="161" t="s">
        <v>199</v>
      </c>
      <c r="W48" s="12"/>
      <c r="X48" s="12"/>
      <c r="Y48" s="12"/>
      <c r="Z48" s="12"/>
      <c r="AA48" s="12"/>
      <c r="AB48" s="12"/>
      <c r="AC48" s="14"/>
      <c r="AD48" s="352" t="s">
        <v>201</v>
      </c>
      <c r="AE48" s="353"/>
      <c r="AF48" s="353"/>
      <c r="AG48" s="1" t="s">
        <v>57</v>
      </c>
      <c r="AH48" s="337" t="s">
        <v>221</v>
      </c>
      <c r="AI48" s="337"/>
      <c r="AJ48" s="337"/>
      <c r="AK48" s="364" t="s">
        <v>202</v>
      </c>
      <c r="AL48" s="337"/>
      <c r="AM48" s="337"/>
      <c r="AN48" s="1" t="s">
        <v>57</v>
      </c>
      <c r="AO48" s="337" t="s">
        <v>221</v>
      </c>
      <c r="AP48" s="337"/>
      <c r="AQ48" s="338"/>
      <c r="AR48" s="350" t="s">
        <v>221</v>
      </c>
      <c r="AS48" s="337"/>
      <c r="AT48" s="337"/>
      <c r="AU48" s="1" t="s">
        <v>57</v>
      </c>
      <c r="AV48" s="337" t="s">
        <v>228</v>
      </c>
      <c r="AW48" s="337"/>
      <c r="AX48" s="338"/>
      <c r="AY48" s="350" t="s">
        <v>228</v>
      </c>
      <c r="AZ48" s="337"/>
      <c r="BA48" s="337"/>
      <c r="BB48" s="1" t="s">
        <v>57</v>
      </c>
      <c r="BC48" s="337" t="s">
        <v>352</v>
      </c>
      <c r="BD48" s="337"/>
      <c r="BE48" s="337"/>
      <c r="BF48" s="350" t="s">
        <v>556</v>
      </c>
      <c r="BG48" s="337"/>
      <c r="BH48" s="337"/>
      <c r="BI48" s="191"/>
      <c r="BJ48" s="337"/>
      <c r="BK48" s="337"/>
      <c r="BL48" s="338"/>
      <c r="BM48" s="350"/>
      <c r="BN48" s="337"/>
      <c r="BO48" s="337"/>
      <c r="BQ48" s="337"/>
      <c r="BR48" s="337"/>
      <c r="BS48" s="337"/>
      <c r="BT48" s="364" t="s">
        <v>221</v>
      </c>
      <c r="BU48" s="337"/>
      <c r="BV48" s="337"/>
      <c r="BW48" s="1" t="s">
        <v>57</v>
      </c>
      <c r="BX48" s="337" t="s">
        <v>231</v>
      </c>
      <c r="BY48" s="337"/>
      <c r="BZ48" s="338"/>
      <c r="CA48" s="337" t="s">
        <v>231</v>
      </c>
      <c r="CB48" s="337"/>
      <c r="CC48" s="337"/>
      <c r="CD48" s="1" t="s">
        <v>57</v>
      </c>
      <c r="CE48" s="337" t="s">
        <v>221</v>
      </c>
      <c r="CF48" s="337"/>
      <c r="CG48" s="337"/>
      <c r="CH48" s="350" t="s">
        <v>221</v>
      </c>
      <c r="CI48" s="337"/>
      <c r="CJ48" s="337"/>
      <c r="CK48" s="1" t="s">
        <v>57</v>
      </c>
      <c r="CL48" s="337" t="s">
        <v>234</v>
      </c>
      <c r="CM48" s="337"/>
      <c r="CN48" s="338"/>
      <c r="CO48" s="350" t="s">
        <v>262</v>
      </c>
      <c r="CP48" s="337"/>
      <c r="CQ48" s="337"/>
      <c r="CR48" s="1" t="s">
        <v>57</v>
      </c>
      <c r="CS48" s="337" t="s">
        <v>233</v>
      </c>
      <c r="CT48" s="337"/>
      <c r="CU48" s="338"/>
      <c r="CV48" s="350" t="s">
        <v>228</v>
      </c>
      <c r="CW48" s="337"/>
      <c r="CX48" s="337"/>
      <c r="CY48" s="1" t="s">
        <v>57</v>
      </c>
      <c r="CZ48" s="337" t="s">
        <v>231</v>
      </c>
      <c r="DA48" s="337"/>
      <c r="DB48" s="338"/>
      <c r="DC48" s="350" t="s">
        <v>231</v>
      </c>
      <c r="DD48" s="337"/>
      <c r="DE48" s="337"/>
      <c r="DF48" s="1" t="s">
        <v>57</v>
      </c>
      <c r="DG48" s="337" t="s">
        <v>252</v>
      </c>
      <c r="DH48" s="337"/>
      <c r="DI48" s="338"/>
      <c r="DJ48" s="350" t="s">
        <v>252</v>
      </c>
      <c r="DK48" s="337"/>
      <c r="DL48" s="337"/>
      <c r="DM48" s="1" t="s">
        <v>57</v>
      </c>
      <c r="DN48" s="337" t="s">
        <v>234</v>
      </c>
      <c r="DO48" s="337"/>
      <c r="DP48" s="338"/>
      <c r="DQ48" s="350" t="s">
        <v>233</v>
      </c>
      <c r="DR48" s="337"/>
      <c r="DS48" s="337"/>
      <c r="DT48" s="191"/>
      <c r="DU48" s="337"/>
      <c r="DV48" s="337"/>
      <c r="DW48" s="338"/>
      <c r="DX48" s="337" t="s">
        <v>252</v>
      </c>
      <c r="DY48" s="337"/>
      <c r="DZ48" s="337"/>
      <c r="EA48" s="1" t="s">
        <v>57</v>
      </c>
      <c r="EB48" s="337" t="s">
        <v>221</v>
      </c>
      <c r="EC48" s="337"/>
      <c r="ED48" s="337"/>
      <c r="EE48" s="350" t="s">
        <v>231</v>
      </c>
      <c r="EF48" s="337"/>
      <c r="EG48" s="337"/>
      <c r="EH48" s="191"/>
      <c r="EI48" s="337"/>
      <c r="EJ48" s="337"/>
      <c r="EK48" s="351"/>
      <c r="EL48" s="337" t="s">
        <v>383</v>
      </c>
      <c r="EM48" s="337"/>
      <c r="EN48" s="337"/>
      <c r="EO48" s="191"/>
      <c r="EP48" s="337"/>
      <c r="EQ48" s="337"/>
      <c r="ER48" s="351"/>
      <c r="ES48" s="337" t="s">
        <v>384</v>
      </c>
      <c r="ET48" s="337"/>
      <c r="EU48" s="337"/>
      <c r="EV48" s="1" t="s">
        <v>57</v>
      </c>
      <c r="EW48" s="337" t="s">
        <v>228</v>
      </c>
      <c r="EX48" s="337"/>
      <c r="EY48" s="338"/>
      <c r="EZ48" s="350" t="s">
        <v>228</v>
      </c>
      <c r="FA48" s="337"/>
      <c r="FB48" s="337"/>
      <c r="FC48" s="1" t="s">
        <v>57</v>
      </c>
      <c r="FD48" s="337" t="s">
        <v>352</v>
      </c>
      <c r="FE48" s="337"/>
      <c r="FF48" s="337"/>
      <c r="FG48" s="350" t="s">
        <v>352</v>
      </c>
      <c r="FH48" s="337"/>
      <c r="FI48" s="337"/>
      <c r="FJ48" s="191"/>
      <c r="FK48" s="337"/>
      <c r="FL48" s="337"/>
      <c r="FM48" s="338"/>
      <c r="FN48" s="350"/>
      <c r="FO48" s="337"/>
      <c r="FP48" s="337"/>
      <c r="FR48" s="337"/>
      <c r="FS48" s="337"/>
      <c r="FT48" s="337"/>
      <c r="FU48" s="364" t="s">
        <v>252</v>
      </c>
      <c r="FV48" s="337"/>
      <c r="FW48" s="337"/>
      <c r="FX48" s="1" t="s">
        <v>57</v>
      </c>
      <c r="FY48" s="337" t="s">
        <v>231</v>
      </c>
      <c r="FZ48" s="337"/>
      <c r="GA48" s="337"/>
      <c r="GB48" s="350" t="s">
        <v>231</v>
      </c>
      <c r="GC48" s="337"/>
      <c r="GD48" s="337"/>
      <c r="GE48" s="1" t="s">
        <v>57</v>
      </c>
      <c r="GF48" s="337" t="s">
        <v>252</v>
      </c>
      <c r="GG48" s="337"/>
      <c r="GH48" s="338"/>
      <c r="GI48" s="350" t="s">
        <v>252</v>
      </c>
      <c r="GJ48" s="337"/>
      <c r="GK48" s="337"/>
      <c r="GL48" s="1" t="s">
        <v>57</v>
      </c>
      <c r="GM48" s="337" t="s">
        <v>234</v>
      </c>
      <c r="GN48" s="337"/>
      <c r="GO48" s="338"/>
      <c r="GP48" s="337" t="s">
        <v>233</v>
      </c>
      <c r="GQ48" s="337"/>
      <c r="GR48" s="337"/>
      <c r="GS48" s="191"/>
      <c r="GT48" s="337"/>
      <c r="GU48" s="337"/>
      <c r="GV48" s="338"/>
      <c r="GW48" s="350" t="s">
        <v>382</v>
      </c>
      <c r="GX48" s="337"/>
      <c r="GY48" s="337"/>
      <c r="GZ48" s="1" t="s">
        <v>57</v>
      </c>
      <c r="HA48" s="337" t="s">
        <v>426</v>
      </c>
      <c r="HB48" s="337"/>
      <c r="HC48" s="338"/>
      <c r="HD48" s="350" t="s">
        <v>231</v>
      </c>
      <c r="HE48" s="337"/>
      <c r="HF48" s="337"/>
      <c r="HG48" s="191"/>
      <c r="HH48" s="337"/>
      <c r="HI48" s="337"/>
      <c r="HJ48" s="351"/>
      <c r="HK48" s="337" t="s">
        <v>383</v>
      </c>
      <c r="HL48" s="337"/>
      <c r="HM48" s="337"/>
      <c r="HO48" s="337"/>
      <c r="HP48" s="337"/>
      <c r="HQ48" s="351"/>
      <c r="HR48" s="337"/>
      <c r="HS48" s="337"/>
      <c r="HT48" s="337"/>
      <c r="HV48" s="337"/>
      <c r="HW48" s="337"/>
      <c r="HX48" s="338"/>
    </row>
    <row r="49" spans="2:232" ht="15" customHeight="1" outlineLevel="1" x14ac:dyDescent="0.25">
      <c r="B49" s="147"/>
      <c r="C49" s="147"/>
      <c r="D49" s="147"/>
      <c r="E49" s="147"/>
      <c r="F49" s="157"/>
      <c r="G49" s="147"/>
      <c r="H49" s="157"/>
      <c r="I49" s="175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V49" s="161" t="s">
        <v>200</v>
      </c>
      <c r="W49" s="12"/>
      <c r="X49" s="12"/>
      <c r="Y49" s="12"/>
      <c r="Z49" s="12"/>
      <c r="AA49" s="12"/>
      <c r="AB49" s="12"/>
      <c r="AC49" s="14"/>
      <c r="AD49" s="352" t="s">
        <v>201</v>
      </c>
      <c r="AE49" s="353"/>
      <c r="AF49" s="353"/>
      <c r="AG49" s="1" t="s">
        <v>57</v>
      </c>
      <c r="AH49" s="353" t="s">
        <v>220</v>
      </c>
      <c r="AI49" s="353"/>
      <c r="AJ49" s="353"/>
      <c r="AK49" s="367" t="s">
        <v>220</v>
      </c>
      <c r="AL49" s="353"/>
      <c r="AM49" s="353"/>
      <c r="AO49" s="353"/>
      <c r="AP49" s="353"/>
      <c r="AQ49" s="355"/>
      <c r="AR49" s="352" t="s">
        <v>220</v>
      </c>
      <c r="AS49" s="353"/>
      <c r="AT49" s="353"/>
      <c r="AV49" s="353"/>
      <c r="AW49" s="353"/>
      <c r="AX49" s="355"/>
      <c r="AY49" s="352" t="s">
        <v>229</v>
      </c>
      <c r="AZ49" s="353"/>
      <c r="BA49" s="353"/>
      <c r="BC49" s="353"/>
      <c r="BD49" s="353"/>
      <c r="BE49" s="353"/>
      <c r="BF49" s="352" t="s">
        <v>229</v>
      </c>
      <c r="BG49" s="353"/>
      <c r="BH49" s="353"/>
      <c r="BJ49" s="353"/>
      <c r="BK49" s="353"/>
      <c r="BL49" s="355"/>
      <c r="BM49" s="352"/>
      <c r="BN49" s="353"/>
      <c r="BO49" s="353"/>
      <c r="BQ49" s="353"/>
      <c r="BR49" s="353"/>
      <c r="BS49" s="353"/>
      <c r="BT49" s="367" t="s">
        <v>229</v>
      </c>
      <c r="BU49" s="353"/>
      <c r="BV49" s="353"/>
      <c r="BX49" s="353"/>
      <c r="BY49" s="353"/>
      <c r="BZ49" s="355"/>
      <c r="CA49" s="352" t="s">
        <v>229</v>
      </c>
      <c r="CB49" s="353"/>
      <c r="CC49" s="353"/>
      <c r="CE49" s="353"/>
      <c r="CF49" s="353"/>
      <c r="CG49" s="353"/>
      <c r="CH49" s="352" t="s">
        <v>229</v>
      </c>
      <c r="CI49" s="353"/>
      <c r="CJ49" s="353"/>
      <c r="CL49" s="353"/>
      <c r="CM49" s="353"/>
      <c r="CN49" s="355"/>
      <c r="CO49" s="352" t="s">
        <v>229</v>
      </c>
      <c r="CP49" s="353"/>
      <c r="CQ49" s="353"/>
      <c r="CS49" s="353"/>
      <c r="CT49" s="353"/>
      <c r="CU49" s="355"/>
      <c r="CV49" s="352" t="s">
        <v>229</v>
      </c>
      <c r="CW49" s="353"/>
      <c r="CX49" s="353"/>
      <c r="CZ49" s="353"/>
      <c r="DA49" s="353"/>
      <c r="DB49" s="353"/>
      <c r="DC49" s="352" t="s">
        <v>229</v>
      </c>
      <c r="DD49" s="353"/>
      <c r="DE49" s="353"/>
      <c r="DG49" s="353"/>
      <c r="DH49" s="353"/>
      <c r="DI49" s="355"/>
      <c r="DJ49" s="352" t="s">
        <v>229</v>
      </c>
      <c r="DK49" s="353"/>
      <c r="DL49" s="353"/>
      <c r="DN49" s="353"/>
      <c r="DO49" s="353"/>
      <c r="DP49" s="355"/>
      <c r="DQ49" s="352" t="s">
        <v>229</v>
      </c>
      <c r="DR49" s="353"/>
      <c r="DS49" s="353"/>
      <c r="DU49" s="353"/>
      <c r="DV49" s="353"/>
      <c r="DW49" s="355"/>
      <c r="DX49" s="353" t="s">
        <v>229</v>
      </c>
      <c r="DY49" s="353"/>
      <c r="DZ49" s="353"/>
      <c r="EB49" s="353"/>
      <c r="EC49" s="353"/>
      <c r="ED49" s="353"/>
      <c r="EE49" s="352" t="s">
        <v>229</v>
      </c>
      <c r="EF49" s="353"/>
      <c r="EG49" s="353"/>
      <c r="EI49" s="353"/>
      <c r="EJ49" s="353"/>
      <c r="EK49" s="354"/>
      <c r="EL49" s="353" t="s">
        <v>229</v>
      </c>
      <c r="EM49" s="353"/>
      <c r="EN49" s="353"/>
      <c r="EP49" s="353"/>
      <c r="EQ49" s="353"/>
      <c r="ER49" s="354"/>
      <c r="ES49" s="353" t="s">
        <v>220</v>
      </c>
      <c r="ET49" s="353"/>
      <c r="EU49" s="353"/>
      <c r="EW49" s="353"/>
      <c r="EX49" s="353"/>
      <c r="EY49" s="355"/>
      <c r="EZ49" s="352" t="s">
        <v>229</v>
      </c>
      <c r="FA49" s="353"/>
      <c r="FB49" s="353"/>
      <c r="FD49" s="353"/>
      <c r="FE49" s="353"/>
      <c r="FF49" s="353"/>
      <c r="FG49" s="352" t="s">
        <v>229</v>
      </c>
      <c r="FH49" s="353"/>
      <c r="FI49" s="353"/>
      <c r="FK49" s="353"/>
      <c r="FL49" s="353"/>
      <c r="FM49" s="355"/>
      <c r="FN49" s="352"/>
      <c r="FO49" s="353"/>
      <c r="FP49" s="353"/>
      <c r="FR49" s="353"/>
      <c r="FS49" s="353"/>
      <c r="FT49" s="353"/>
      <c r="FU49" s="367" t="s">
        <v>229</v>
      </c>
      <c r="FV49" s="353"/>
      <c r="FW49" s="353"/>
      <c r="FY49" s="353"/>
      <c r="FZ49" s="353"/>
      <c r="GA49" s="353"/>
      <c r="GB49" s="352" t="s">
        <v>229</v>
      </c>
      <c r="GC49" s="353"/>
      <c r="GD49" s="353"/>
      <c r="GF49" s="353"/>
      <c r="GG49" s="353"/>
      <c r="GH49" s="355"/>
      <c r="GI49" s="352" t="s">
        <v>229</v>
      </c>
      <c r="GJ49" s="353"/>
      <c r="GK49" s="353"/>
      <c r="GM49" s="353"/>
      <c r="GN49" s="353"/>
      <c r="GO49" s="355"/>
      <c r="GP49" s="353" t="s">
        <v>229</v>
      </c>
      <c r="GQ49" s="353"/>
      <c r="GR49" s="353"/>
      <c r="GT49" s="353"/>
      <c r="GU49" s="353"/>
      <c r="GV49" s="355"/>
      <c r="GW49" s="352" t="s">
        <v>229</v>
      </c>
      <c r="GX49" s="353"/>
      <c r="GY49" s="353"/>
      <c r="HA49" s="353"/>
      <c r="HB49" s="353"/>
      <c r="HC49" s="355"/>
      <c r="HD49" s="352" t="s">
        <v>229</v>
      </c>
      <c r="HE49" s="353"/>
      <c r="HF49" s="353"/>
      <c r="HH49" s="353"/>
      <c r="HI49" s="353"/>
      <c r="HJ49" s="354"/>
      <c r="HK49" s="353" t="s">
        <v>229</v>
      </c>
      <c r="HL49" s="353"/>
      <c r="HM49" s="353"/>
      <c r="HO49" s="353"/>
      <c r="HP49" s="353"/>
      <c r="HQ49" s="354"/>
      <c r="HR49" s="353"/>
      <c r="HS49" s="353"/>
      <c r="HT49" s="353"/>
      <c r="HV49" s="353"/>
      <c r="HW49" s="353"/>
      <c r="HX49" s="355"/>
    </row>
    <row r="50" spans="2:232" ht="15" customHeight="1" outlineLevel="1" x14ac:dyDescent="0.25">
      <c r="B50" s="147"/>
      <c r="C50" s="147"/>
      <c r="D50" s="147"/>
      <c r="E50" s="147"/>
      <c r="F50" s="157"/>
      <c r="G50" s="147"/>
      <c r="H50" s="157"/>
      <c r="I50" s="175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V50" s="162"/>
      <c r="W50" s="159"/>
      <c r="X50" s="159"/>
      <c r="Y50" s="159"/>
      <c r="Z50" s="159"/>
      <c r="AA50" s="159"/>
      <c r="AB50" s="159"/>
      <c r="AC50" s="160"/>
      <c r="AD50" s="361"/>
      <c r="AE50" s="356"/>
      <c r="AF50" s="356"/>
      <c r="AG50" s="163"/>
      <c r="AH50" s="356"/>
      <c r="AI50" s="356"/>
      <c r="AJ50" s="356"/>
      <c r="AK50" s="368"/>
      <c r="AL50" s="356"/>
      <c r="AM50" s="356"/>
      <c r="AN50" s="163"/>
      <c r="AO50" s="356"/>
      <c r="AP50" s="356"/>
      <c r="AQ50" s="357"/>
      <c r="AR50" s="361"/>
      <c r="AS50" s="356"/>
      <c r="AT50" s="356"/>
      <c r="AU50" s="163"/>
      <c r="AV50" s="356"/>
      <c r="AW50" s="356"/>
      <c r="AX50" s="357"/>
      <c r="AY50" s="361"/>
      <c r="AZ50" s="356"/>
      <c r="BA50" s="356"/>
      <c r="BB50" s="163"/>
      <c r="BC50" s="356"/>
      <c r="BD50" s="356"/>
      <c r="BE50" s="356"/>
      <c r="BF50" s="361"/>
      <c r="BG50" s="356"/>
      <c r="BH50" s="356"/>
      <c r="BI50" s="163"/>
      <c r="BJ50" s="356"/>
      <c r="BK50" s="356"/>
      <c r="BL50" s="357"/>
      <c r="BM50" s="361"/>
      <c r="BN50" s="356"/>
      <c r="BO50" s="356"/>
      <c r="BP50" s="163"/>
      <c r="BQ50" s="356"/>
      <c r="BR50" s="356"/>
      <c r="BS50" s="356"/>
      <c r="BT50" s="368"/>
      <c r="BU50" s="356"/>
      <c r="BV50" s="356"/>
      <c r="BW50" s="163"/>
      <c r="BX50" s="356"/>
      <c r="BY50" s="356"/>
      <c r="BZ50" s="357"/>
      <c r="CA50" s="361"/>
      <c r="CB50" s="356"/>
      <c r="CC50" s="356"/>
      <c r="CD50" s="163"/>
      <c r="CE50" s="356"/>
      <c r="CF50" s="356"/>
      <c r="CG50" s="357"/>
      <c r="CH50" s="361"/>
      <c r="CI50" s="356"/>
      <c r="CJ50" s="356"/>
      <c r="CK50" s="163"/>
      <c r="CL50" s="356"/>
      <c r="CM50" s="356"/>
      <c r="CN50" s="357"/>
      <c r="CO50" s="361"/>
      <c r="CP50" s="356"/>
      <c r="CQ50" s="356"/>
      <c r="CR50" s="163"/>
      <c r="CS50" s="356"/>
      <c r="CT50" s="356"/>
      <c r="CU50" s="357"/>
      <c r="CV50" s="361"/>
      <c r="CW50" s="356"/>
      <c r="CX50" s="356"/>
      <c r="CY50" s="163"/>
      <c r="CZ50" s="356"/>
      <c r="DA50" s="356"/>
      <c r="DB50" s="357"/>
      <c r="DC50" s="356"/>
      <c r="DD50" s="356"/>
      <c r="DE50" s="356"/>
      <c r="DF50" s="163"/>
      <c r="DG50" s="356"/>
      <c r="DH50" s="356"/>
      <c r="DI50" s="357"/>
      <c r="DJ50" s="361"/>
      <c r="DK50" s="356"/>
      <c r="DL50" s="356"/>
      <c r="DM50" s="163"/>
      <c r="DN50" s="356"/>
      <c r="DO50" s="356"/>
      <c r="DP50" s="357"/>
      <c r="DQ50" s="361"/>
      <c r="DR50" s="356"/>
      <c r="DS50" s="356"/>
      <c r="DT50" s="163"/>
      <c r="DU50" s="356"/>
      <c r="DV50" s="356"/>
      <c r="DW50" s="357"/>
      <c r="DX50" s="356"/>
      <c r="DY50" s="356"/>
      <c r="DZ50" s="356"/>
      <c r="EA50" s="163"/>
      <c r="EB50" s="356"/>
      <c r="EC50" s="356"/>
      <c r="ED50" s="357"/>
      <c r="EE50" s="361"/>
      <c r="EF50" s="356"/>
      <c r="EG50" s="356"/>
      <c r="EH50" s="163"/>
      <c r="EI50" s="356"/>
      <c r="EJ50" s="356"/>
      <c r="EK50" s="359"/>
      <c r="EL50" s="356"/>
      <c r="EM50" s="356"/>
      <c r="EN50" s="356"/>
      <c r="EO50" s="163"/>
      <c r="EP50" s="356"/>
      <c r="EQ50" s="356"/>
      <c r="ER50" s="359"/>
      <c r="ES50" s="356"/>
      <c r="ET50" s="356"/>
      <c r="EU50" s="356"/>
      <c r="EV50" s="163"/>
      <c r="EW50" s="356"/>
      <c r="EX50" s="356"/>
      <c r="EY50" s="357"/>
      <c r="EZ50" s="361"/>
      <c r="FA50" s="356"/>
      <c r="FB50" s="356"/>
      <c r="FC50" s="163"/>
      <c r="FD50" s="356"/>
      <c r="FE50" s="356"/>
      <c r="FF50" s="356"/>
      <c r="FG50" s="361"/>
      <c r="FH50" s="356"/>
      <c r="FI50" s="356"/>
      <c r="FJ50" s="163"/>
      <c r="FK50" s="356"/>
      <c r="FL50" s="356"/>
      <c r="FM50" s="357"/>
      <c r="FN50" s="361"/>
      <c r="FO50" s="356"/>
      <c r="FP50" s="356"/>
      <c r="FQ50" s="163"/>
      <c r="FR50" s="356"/>
      <c r="FS50" s="356"/>
      <c r="FT50" s="356"/>
      <c r="FU50" s="368"/>
      <c r="FV50" s="356"/>
      <c r="FW50" s="356"/>
      <c r="FX50" s="163"/>
      <c r="FY50" s="356"/>
      <c r="FZ50" s="356"/>
      <c r="GA50" s="356"/>
      <c r="GB50" s="361"/>
      <c r="GC50" s="356"/>
      <c r="GD50" s="356"/>
      <c r="GE50" s="163"/>
      <c r="GF50" s="356"/>
      <c r="GG50" s="356"/>
      <c r="GH50" s="357"/>
      <c r="GI50" s="361"/>
      <c r="GJ50" s="356"/>
      <c r="GK50" s="356"/>
      <c r="GL50" s="163"/>
      <c r="GM50" s="356"/>
      <c r="GN50" s="356"/>
      <c r="GO50" s="357"/>
      <c r="GP50" s="356"/>
      <c r="GQ50" s="356"/>
      <c r="GR50" s="356"/>
      <c r="GS50" s="163"/>
      <c r="GT50" s="356"/>
      <c r="GU50" s="356"/>
      <c r="GV50" s="357"/>
      <c r="GW50" s="361"/>
      <c r="GX50" s="356"/>
      <c r="GY50" s="356"/>
      <c r="GZ50" s="163"/>
      <c r="HA50" s="356"/>
      <c r="HB50" s="356"/>
      <c r="HC50" s="357"/>
      <c r="HD50" s="361"/>
      <c r="HE50" s="356"/>
      <c r="HF50" s="356"/>
      <c r="HG50" s="163"/>
      <c r="HH50" s="356"/>
      <c r="HI50" s="356"/>
      <c r="HJ50" s="359"/>
      <c r="HK50" s="356"/>
      <c r="HL50" s="356"/>
      <c r="HM50" s="356"/>
      <c r="HN50" s="163"/>
      <c r="HO50" s="356"/>
      <c r="HP50" s="356"/>
      <c r="HQ50" s="359"/>
      <c r="HR50" s="356"/>
      <c r="HS50" s="356"/>
      <c r="HT50" s="356"/>
      <c r="HU50" s="163"/>
      <c r="HV50" s="356"/>
      <c r="HW50" s="356"/>
      <c r="HX50" s="357"/>
    </row>
    <row r="51" spans="2:232" outlineLevel="1" x14ac:dyDescent="0.25">
      <c r="B51" s="32"/>
      <c r="C51" s="333">
        <f>MAX(C44:C45)+1</f>
        <v>5</v>
      </c>
      <c r="D51" s="164" t="s">
        <v>21</v>
      </c>
      <c r="E51" s="34"/>
      <c r="F51" s="165" t="s">
        <v>529</v>
      </c>
      <c r="G51" s="165" t="s">
        <v>529</v>
      </c>
      <c r="H51" s="165" t="s">
        <v>184</v>
      </c>
      <c r="I51" s="176" t="s">
        <v>85</v>
      </c>
      <c r="J51" s="165" t="s">
        <v>171</v>
      </c>
      <c r="K51" s="165">
        <v>2031</v>
      </c>
      <c r="L51" s="165">
        <v>1</v>
      </c>
      <c r="M51" s="165"/>
      <c r="N51" s="165"/>
      <c r="O51" s="165"/>
      <c r="P51" s="165"/>
      <c r="Q51" s="165"/>
      <c r="R51" s="165"/>
      <c r="S51" s="165"/>
      <c r="T51" s="165"/>
      <c r="V51" s="11" t="s">
        <v>283</v>
      </c>
      <c r="W51" s="12"/>
      <c r="X51" s="12"/>
      <c r="Y51" s="12"/>
      <c r="Z51" s="12"/>
      <c r="AA51" s="12"/>
      <c r="AB51" s="12"/>
      <c r="AC51" s="14"/>
      <c r="AD51" s="166">
        <f>$C51</f>
        <v>5</v>
      </c>
      <c r="AE51" s="358" t="s">
        <v>175</v>
      </c>
      <c r="AF51" s="358"/>
      <c r="AG51" s="358"/>
      <c r="AH51" s="158"/>
      <c r="AI51" s="337"/>
      <c r="AJ51" s="337"/>
      <c r="AK51" s="214">
        <f>$C51</f>
        <v>5</v>
      </c>
      <c r="AL51" s="358" t="s">
        <v>175</v>
      </c>
      <c r="AM51" s="358"/>
      <c r="AN51" s="358"/>
      <c r="AO51" s="32"/>
      <c r="AP51" s="353"/>
      <c r="AQ51" s="355"/>
      <c r="AR51" s="166">
        <f>$C51</f>
        <v>5</v>
      </c>
      <c r="AS51" s="358" t="s">
        <v>532</v>
      </c>
      <c r="AT51" s="358"/>
      <c r="AU51" s="358"/>
      <c r="AV51" s="32"/>
      <c r="AW51" s="353"/>
      <c r="AX51" s="355"/>
      <c r="AY51" s="166">
        <f>$C51</f>
        <v>5</v>
      </c>
      <c r="AZ51" s="358" t="s">
        <v>531</v>
      </c>
      <c r="BA51" s="358"/>
      <c r="BB51" s="358"/>
      <c r="BC51" s="32"/>
      <c r="BD51" s="353"/>
      <c r="BE51" s="353"/>
      <c r="BF51" s="166">
        <f>$C51</f>
        <v>5</v>
      </c>
      <c r="BG51" s="358" t="s">
        <v>531</v>
      </c>
      <c r="BH51" s="358"/>
      <c r="BI51" s="358"/>
      <c r="BJ51" s="158"/>
      <c r="BK51" s="337"/>
      <c r="BL51" s="338"/>
      <c r="BM51" s="166">
        <f>$C51</f>
        <v>5</v>
      </c>
      <c r="BN51" s="358" t="s">
        <v>531</v>
      </c>
      <c r="BO51" s="358"/>
      <c r="BP51" s="358"/>
      <c r="BQ51" s="158"/>
      <c r="BR51" s="337"/>
      <c r="BS51" s="337"/>
      <c r="BT51" s="214">
        <f>$C51</f>
        <v>5</v>
      </c>
      <c r="BU51" s="358" t="s">
        <v>538</v>
      </c>
      <c r="BV51" s="358"/>
      <c r="BW51" s="358"/>
      <c r="BX51" s="158"/>
      <c r="BY51" s="337"/>
      <c r="BZ51" s="338"/>
      <c r="CA51" s="166">
        <f>$C51</f>
        <v>5</v>
      </c>
      <c r="CB51" s="358" t="s">
        <v>532</v>
      </c>
      <c r="CC51" s="358"/>
      <c r="CD51" s="358"/>
      <c r="CE51" s="158"/>
      <c r="CF51" s="337"/>
      <c r="CG51" s="338"/>
      <c r="CH51" s="166">
        <f>$C51</f>
        <v>5</v>
      </c>
      <c r="CI51" s="358" t="s">
        <v>532</v>
      </c>
      <c r="CJ51" s="358"/>
      <c r="CK51" s="358"/>
      <c r="CL51" s="158"/>
      <c r="CM51" s="337"/>
      <c r="CN51" s="338"/>
      <c r="CO51" s="166">
        <f>$C51</f>
        <v>5</v>
      </c>
      <c r="CP51" s="358" t="s">
        <v>173</v>
      </c>
      <c r="CQ51" s="358"/>
      <c r="CR51" s="358"/>
      <c r="CS51" s="158"/>
      <c r="CT51" s="337"/>
      <c r="CU51" s="338"/>
      <c r="CV51" s="166">
        <f>$C51</f>
        <v>5</v>
      </c>
      <c r="CW51" s="358" t="s">
        <v>531</v>
      </c>
      <c r="CX51" s="358"/>
      <c r="CY51" s="358"/>
      <c r="CZ51" s="158"/>
      <c r="DA51" s="337"/>
      <c r="DB51" s="338"/>
      <c r="DC51" s="166">
        <f>$C51</f>
        <v>5</v>
      </c>
      <c r="DD51" s="358" t="s">
        <v>531</v>
      </c>
      <c r="DE51" s="358"/>
      <c r="DF51" s="358"/>
      <c r="DG51" s="158"/>
      <c r="DH51" s="337"/>
      <c r="DI51" s="338"/>
      <c r="DJ51" s="166">
        <f>$C51</f>
        <v>5</v>
      </c>
      <c r="DK51" s="358" t="s">
        <v>531</v>
      </c>
      <c r="DL51" s="358"/>
      <c r="DM51" s="358"/>
      <c r="DN51" s="158"/>
      <c r="DO51" s="337"/>
      <c r="DP51" s="338"/>
      <c r="DQ51" s="166">
        <f>$C51</f>
        <v>5</v>
      </c>
      <c r="DR51" s="358" t="s">
        <v>173</v>
      </c>
      <c r="DS51" s="358"/>
      <c r="DT51" s="358"/>
      <c r="DU51" s="158"/>
      <c r="DV51" s="337"/>
      <c r="DW51" s="338"/>
      <c r="DX51" s="166">
        <f>$C51</f>
        <v>5</v>
      </c>
      <c r="DY51" s="358" t="s">
        <v>532</v>
      </c>
      <c r="DZ51" s="358"/>
      <c r="EA51" s="358"/>
      <c r="EB51" s="158"/>
      <c r="EC51" s="337"/>
      <c r="ED51" s="338"/>
      <c r="EE51" s="166">
        <f>$C51</f>
        <v>5</v>
      </c>
      <c r="EF51" s="358" t="s">
        <v>531</v>
      </c>
      <c r="EG51" s="358"/>
      <c r="EH51" s="358"/>
      <c r="EI51" s="158"/>
      <c r="EJ51" s="337"/>
      <c r="EK51" s="351"/>
      <c r="EL51" s="193">
        <f>$C51</f>
        <v>5</v>
      </c>
      <c r="EM51" s="358" t="s">
        <v>645</v>
      </c>
      <c r="EN51" s="358"/>
      <c r="EO51" s="358"/>
      <c r="EP51" s="158"/>
      <c r="EQ51" s="337"/>
      <c r="ER51" s="351"/>
      <c r="ES51" s="193">
        <f>$C51</f>
        <v>5</v>
      </c>
      <c r="ET51" s="358" t="s">
        <v>175</v>
      </c>
      <c r="EU51" s="358"/>
      <c r="EV51" s="358"/>
      <c r="EW51" s="32"/>
      <c r="EX51" s="353"/>
      <c r="EY51" s="355"/>
      <c r="EZ51" s="166">
        <f>$C51</f>
        <v>5</v>
      </c>
      <c r="FA51" s="358" t="s">
        <v>532</v>
      </c>
      <c r="FB51" s="358"/>
      <c r="FC51" s="358"/>
      <c r="FD51" s="32"/>
      <c r="FE51" s="353"/>
      <c r="FF51" s="353"/>
      <c r="FG51" s="166">
        <f>$C51</f>
        <v>5</v>
      </c>
      <c r="FH51" s="358" t="s">
        <v>532</v>
      </c>
      <c r="FI51" s="358"/>
      <c r="FJ51" s="358"/>
      <c r="FK51" s="32"/>
      <c r="FL51" s="337"/>
      <c r="FM51" s="338"/>
      <c r="FN51" s="166">
        <f>$C51</f>
        <v>5</v>
      </c>
      <c r="FO51" s="358" t="s">
        <v>532</v>
      </c>
      <c r="FP51" s="358"/>
      <c r="FQ51" s="358"/>
      <c r="FR51" s="32"/>
      <c r="FS51" s="337"/>
      <c r="FT51" s="337"/>
      <c r="FU51" s="214">
        <f>$C51</f>
        <v>5</v>
      </c>
      <c r="FV51" s="358" t="s">
        <v>532</v>
      </c>
      <c r="FW51" s="358"/>
      <c r="FX51" s="358"/>
      <c r="FY51" s="32"/>
      <c r="FZ51" s="337"/>
      <c r="GA51" s="337"/>
      <c r="GB51" s="166">
        <f>$C51</f>
        <v>5</v>
      </c>
      <c r="GC51" s="358" t="s">
        <v>532</v>
      </c>
      <c r="GD51" s="358"/>
      <c r="GE51" s="358"/>
      <c r="GF51" s="32"/>
      <c r="GG51" s="337"/>
      <c r="GH51" s="338"/>
      <c r="GI51" s="166">
        <f>$C51</f>
        <v>5</v>
      </c>
      <c r="GJ51" s="358" t="s">
        <v>532</v>
      </c>
      <c r="GK51" s="358"/>
      <c r="GL51" s="358"/>
      <c r="GM51" s="32"/>
      <c r="GN51" s="337"/>
      <c r="GO51" s="338"/>
      <c r="GP51" s="193">
        <f>$C51</f>
        <v>5</v>
      </c>
      <c r="GQ51" s="358" t="s">
        <v>175</v>
      </c>
      <c r="GR51" s="358"/>
      <c r="GS51" s="358"/>
      <c r="GT51" s="32"/>
      <c r="GU51" s="337"/>
      <c r="GV51" s="338"/>
      <c r="GW51" s="166">
        <f>$C51</f>
        <v>5</v>
      </c>
      <c r="GX51" s="358" t="s">
        <v>175</v>
      </c>
      <c r="GY51" s="358"/>
      <c r="GZ51" s="358"/>
      <c r="HA51" s="32"/>
      <c r="HB51" s="337"/>
      <c r="HC51" s="338"/>
      <c r="HD51" s="166">
        <f>$C51</f>
        <v>5</v>
      </c>
      <c r="HE51" s="358" t="s">
        <v>532</v>
      </c>
      <c r="HF51" s="358"/>
      <c r="HG51" s="358"/>
      <c r="HH51" s="32"/>
      <c r="HI51" s="337"/>
      <c r="HJ51" s="351"/>
      <c r="HK51" s="193">
        <f>$C51</f>
        <v>5</v>
      </c>
      <c r="HL51" s="358" t="s">
        <v>645</v>
      </c>
      <c r="HM51" s="358"/>
      <c r="HN51" s="358"/>
      <c r="HO51" s="32"/>
      <c r="HP51" s="337"/>
      <c r="HQ51" s="351"/>
      <c r="HR51" s="193"/>
      <c r="HS51" s="362"/>
      <c r="HT51" s="362"/>
      <c r="HU51" s="362"/>
      <c r="HV51" s="257"/>
      <c r="HW51" s="337"/>
      <c r="HX51" s="338"/>
    </row>
    <row r="52" spans="2:232" outlineLevel="1" x14ac:dyDescent="0.25">
      <c r="B52" s="32"/>
      <c r="C52" s="167"/>
      <c r="D52" s="167"/>
      <c r="E52" s="34"/>
      <c r="F52" s="168"/>
      <c r="G52" s="167"/>
      <c r="H52" s="168"/>
      <c r="I52" s="177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V52" s="107"/>
      <c r="W52" s="108"/>
      <c r="X52" s="108"/>
      <c r="Y52" s="108"/>
      <c r="Z52" s="108"/>
      <c r="AA52" s="108"/>
      <c r="AB52" s="108"/>
      <c r="AC52" s="109"/>
      <c r="AD52" s="169"/>
      <c r="AE52" s="365"/>
      <c r="AF52" s="365"/>
      <c r="AG52" s="365"/>
      <c r="AH52" s="30"/>
      <c r="AI52" s="340"/>
      <c r="AJ52" s="340"/>
      <c r="AK52" s="215"/>
      <c r="AL52" s="339"/>
      <c r="AM52" s="339"/>
      <c r="AN52" s="339"/>
      <c r="AO52" s="30"/>
      <c r="AP52" s="340"/>
      <c r="AQ52" s="341"/>
      <c r="AR52" s="169"/>
      <c r="AS52" s="339"/>
      <c r="AT52" s="339"/>
      <c r="AU52" s="339"/>
      <c r="AV52" s="30"/>
      <c r="AW52" s="340"/>
      <c r="AX52" s="341"/>
      <c r="AY52" s="169"/>
      <c r="AZ52" s="339"/>
      <c r="BA52" s="339"/>
      <c r="BB52" s="339"/>
      <c r="BC52" s="30"/>
      <c r="BD52" s="340"/>
      <c r="BE52" s="340"/>
      <c r="BF52" s="169"/>
      <c r="BG52" s="339"/>
      <c r="BH52" s="339"/>
      <c r="BI52" s="339"/>
      <c r="BJ52" s="30"/>
      <c r="BK52" s="340"/>
      <c r="BL52" s="341"/>
      <c r="BM52" s="169"/>
      <c r="BN52" s="339"/>
      <c r="BO52" s="339"/>
      <c r="BP52" s="339"/>
      <c r="BQ52" s="30"/>
      <c r="BR52" s="340"/>
      <c r="BS52" s="340"/>
      <c r="BT52" s="215"/>
      <c r="BU52" s="339"/>
      <c r="BV52" s="339"/>
      <c r="BW52" s="339"/>
      <c r="BX52" s="30"/>
      <c r="BY52" s="340"/>
      <c r="BZ52" s="341"/>
      <c r="CA52" s="169"/>
      <c r="CB52" s="339"/>
      <c r="CC52" s="339"/>
      <c r="CD52" s="339"/>
      <c r="CE52" s="30"/>
      <c r="CF52" s="340"/>
      <c r="CG52" s="341"/>
      <c r="CH52" s="169"/>
      <c r="CI52" s="339"/>
      <c r="CJ52" s="339"/>
      <c r="CK52" s="339"/>
      <c r="CL52" s="30"/>
      <c r="CM52" s="340"/>
      <c r="CN52" s="341"/>
      <c r="CO52" s="169"/>
      <c r="CP52" s="339"/>
      <c r="CQ52" s="339"/>
      <c r="CR52" s="339"/>
      <c r="CS52" s="30"/>
      <c r="CT52" s="340"/>
      <c r="CU52" s="341"/>
      <c r="CV52" s="169"/>
      <c r="CW52" s="339"/>
      <c r="CX52" s="339"/>
      <c r="CY52" s="339"/>
      <c r="CZ52" s="30"/>
      <c r="DA52" s="340"/>
      <c r="DB52" s="341"/>
      <c r="DC52" s="192"/>
      <c r="DD52" s="339"/>
      <c r="DE52" s="339"/>
      <c r="DF52" s="339"/>
      <c r="DG52" s="30"/>
      <c r="DH52" s="340"/>
      <c r="DI52" s="341"/>
      <c r="DJ52" s="169"/>
      <c r="DK52" s="339"/>
      <c r="DL52" s="339"/>
      <c r="DM52" s="339"/>
      <c r="DN52" s="30"/>
      <c r="DO52" s="340"/>
      <c r="DP52" s="341"/>
      <c r="DQ52" s="169"/>
      <c r="DR52" s="339"/>
      <c r="DS52" s="339"/>
      <c r="DT52" s="339"/>
      <c r="DU52" s="30"/>
      <c r="DV52" s="340"/>
      <c r="DW52" s="341"/>
      <c r="DX52" s="192"/>
      <c r="DY52" s="339"/>
      <c r="DZ52" s="339"/>
      <c r="EA52" s="339"/>
      <c r="EB52" s="30"/>
      <c r="EC52" s="340"/>
      <c r="ED52" s="341"/>
      <c r="EE52" s="169"/>
      <c r="EF52" s="339"/>
      <c r="EG52" s="339"/>
      <c r="EH52" s="339"/>
      <c r="EI52" s="30"/>
      <c r="EJ52" s="340"/>
      <c r="EK52" s="360"/>
      <c r="EL52" s="192"/>
      <c r="EM52" s="339"/>
      <c r="EN52" s="339"/>
      <c r="EO52" s="339"/>
      <c r="EP52" s="30"/>
      <c r="EQ52" s="340"/>
      <c r="ER52" s="360"/>
      <c r="ES52" s="192"/>
      <c r="ET52" s="339"/>
      <c r="EU52" s="339"/>
      <c r="EV52" s="339"/>
      <c r="EW52" s="30"/>
      <c r="EX52" s="340"/>
      <c r="EY52" s="341"/>
      <c r="EZ52" s="169"/>
      <c r="FA52" s="339"/>
      <c r="FB52" s="339"/>
      <c r="FC52" s="339"/>
      <c r="FD52" s="30"/>
      <c r="FE52" s="340"/>
      <c r="FF52" s="340"/>
      <c r="FG52" s="169"/>
      <c r="FH52" s="339"/>
      <c r="FI52" s="339"/>
      <c r="FJ52" s="339"/>
      <c r="FK52" s="30"/>
      <c r="FL52" s="340"/>
      <c r="FM52" s="341"/>
      <c r="FN52" s="169"/>
      <c r="FO52" s="339"/>
      <c r="FP52" s="339"/>
      <c r="FQ52" s="339"/>
      <c r="FR52" s="30"/>
      <c r="FS52" s="340"/>
      <c r="FT52" s="340"/>
      <c r="FU52" s="215"/>
      <c r="FV52" s="339"/>
      <c r="FW52" s="339"/>
      <c r="FX52" s="339"/>
      <c r="FY52" s="30"/>
      <c r="FZ52" s="340"/>
      <c r="GA52" s="340"/>
      <c r="GB52" s="169"/>
      <c r="GC52" s="339"/>
      <c r="GD52" s="339"/>
      <c r="GE52" s="339"/>
      <c r="GF52" s="30"/>
      <c r="GG52" s="340"/>
      <c r="GH52" s="341"/>
      <c r="GI52" s="169"/>
      <c r="GJ52" s="339"/>
      <c r="GK52" s="339"/>
      <c r="GL52" s="339"/>
      <c r="GM52" s="30"/>
      <c r="GN52" s="340"/>
      <c r="GO52" s="341"/>
      <c r="GP52" s="192"/>
      <c r="GQ52" s="339"/>
      <c r="GR52" s="339"/>
      <c r="GS52" s="339"/>
      <c r="GT52" s="30"/>
      <c r="GU52" s="340"/>
      <c r="GV52" s="341"/>
      <c r="GW52" s="169"/>
      <c r="GX52" s="339"/>
      <c r="GY52" s="339"/>
      <c r="GZ52" s="339"/>
      <c r="HA52" s="30"/>
      <c r="HB52" s="340"/>
      <c r="HC52" s="341"/>
      <c r="HD52" s="169"/>
      <c r="HE52" s="339"/>
      <c r="HF52" s="339"/>
      <c r="HG52" s="339"/>
      <c r="HH52" s="30"/>
      <c r="HI52" s="340"/>
      <c r="HJ52" s="360"/>
      <c r="HK52" s="192"/>
      <c r="HL52" s="339"/>
      <c r="HM52" s="339"/>
      <c r="HN52" s="339"/>
      <c r="HO52" s="30"/>
      <c r="HP52" s="340"/>
      <c r="HQ52" s="360"/>
      <c r="HR52" s="192"/>
      <c r="HS52" s="339"/>
      <c r="HT52" s="339"/>
      <c r="HU52" s="339"/>
      <c r="HV52" s="258"/>
      <c r="HW52" s="340"/>
      <c r="HX52" s="341"/>
    </row>
    <row r="53" spans="2:232" ht="15" customHeight="1" outlineLevel="1" x14ac:dyDescent="0.25">
      <c r="B53" s="147"/>
      <c r="C53" s="147"/>
      <c r="D53" s="148"/>
      <c r="E53" s="147"/>
      <c r="F53" s="149"/>
      <c r="G53" s="148"/>
      <c r="H53" s="149"/>
      <c r="I53" s="174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V53" s="150" t="s">
        <v>170</v>
      </c>
      <c r="W53" s="151"/>
      <c r="X53" s="151"/>
      <c r="Y53" s="151"/>
      <c r="Z53" s="151"/>
      <c r="AA53" s="151"/>
      <c r="AB53" s="369"/>
      <c r="AC53" s="370"/>
      <c r="AD53" s="342" t="s">
        <v>217</v>
      </c>
      <c r="AE53" s="343"/>
      <c r="AF53" s="343"/>
      <c r="AG53" s="343"/>
      <c r="AH53" s="343"/>
      <c r="AI53" s="152"/>
      <c r="AJ53" s="194">
        <f>COUNTA(AD58:AD59)</f>
        <v>1</v>
      </c>
      <c r="AK53" s="366" t="s">
        <v>217</v>
      </c>
      <c r="AL53" s="343"/>
      <c r="AM53" s="343"/>
      <c r="AN53" s="343"/>
      <c r="AO53" s="343"/>
      <c r="AP53" s="152"/>
      <c r="AQ53" s="155">
        <f>COUNTA(AK58:AK59)</f>
        <v>1</v>
      </c>
      <c r="AR53" s="342" t="s">
        <v>217</v>
      </c>
      <c r="AS53" s="343"/>
      <c r="AT53" s="343"/>
      <c r="AU53" s="343"/>
      <c r="AV53" s="343"/>
      <c r="AW53" s="152"/>
      <c r="AX53" s="155">
        <f>COUNTA(AR58:AR59)</f>
        <v>1</v>
      </c>
      <c r="AY53" s="342" t="s">
        <v>217</v>
      </c>
      <c r="AZ53" s="343"/>
      <c r="BA53" s="343"/>
      <c r="BB53" s="343"/>
      <c r="BC53" s="343"/>
      <c r="BD53" s="152"/>
      <c r="BE53" s="194">
        <f>COUNTA(AY58:AY59)</f>
        <v>1</v>
      </c>
      <c r="BF53" s="342" t="s">
        <v>217</v>
      </c>
      <c r="BG53" s="343"/>
      <c r="BH53" s="343"/>
      <c r="BI53" s="343"/>
      <c r="BJ53" s="343"/>
      <c r="BK53" s="152"/>
      <c r="BL53" s="155">
        <f>COUNTA(BF58:BF59)</f>
        <v>1</v>
      </c>
      <c r="BM53" s="156"/>
      <c r="BN53" s="152"/>
      <c r="BO53" s="153"/>
      <c r="BP53" s="152"/>
      <c r="BQ53" s="154"/>
      <c r="BR53" s="152"/>
      <c r="BS53" s="194">
        <f>COUNTA(BM58:BM59)</f>
        <v>1</v>
      </c>
      <c r="BT53" s="366" t="s">
        <v>217</v>
      </c>
      <c r="BU53" s="343"/>
      <c r="BV53" s="343"/>
      <c r="BW53" s="343"/>
      <c r="BX53" s="343"/>
      <c r="BY53" s="152"/>
      <c r="BZ53" s="155">
        <f>COUNTA(BT58:BT59)</f>
        <v>1</v>
      </c>
      <c r="CA53" s="342" t="s">
        <v>217</v>
      </c>
      <c r="CB53" s="343"/>
      <c r="CC53" s="343"/>
      <c r="CD53" s="343"/>
      <c r="CE53" s="343"/>
      <c r="CF53" s="152"/>
      <c r="CG53" s="155">
        <f>COUNTA(CA58:CA59)</f>
        <v>1</v>
      </c>
      <c r="CH53" s="342" t="s">
        <v>217</v>
      </c>
      <c r="CI53" s="343"/>
      <c r="CJ53" s="343"/>
      <c r="CK53" s="343"/>
      <c r="CL53" s="343"/>
      <c r="CM53" s="152"/>
      <c r="CN53" s="155">
        <f>COUNTA(CH58:CH59)</f>
        <v>1</v>
      </c>
      <c r="CO53" s="342" t="s">
        <v>217</v>
      </c>
      <c r="CP53" s="343"/>
      <c r="CQ53" s="343"/>
      <c r="CR53" s="343"/>
      <c r="CS53" s="343"/>
      <c r="CT53" s="152"/>
      <c r="CU53" s="155">
        <f>COUNTA(CO58:CO59)</f>
        <v>1</v>
      </c>
      <c r="CV53" s="342" t="s">
        <v>217</v>
      </c>
      <c r="CW53" s="343"/>
      <c r="CX53" s="343"/>
      <c r="CY53" s="343"/>
      <c r="CZ53" s="343"/>
      <c r="DA53" s="152"/>
      <c r="DB53" s="155">
        <f>COUNTA(CV58:CV59)</f>
        <v>1</v>
      </c>
      <c r="DC53" s="343" t="s">
        <v>217</v>
      </c>
      <c r="DD53" s="343"/>
      <c r="DE53" s="343"/>
      <c r="DF53" s="343"/>
      <c r="DG53" s="343"/>
      <c r="DH53" s="152"/>
      <c r="DI53" s="155">
        <f>COUNTA(DC58:DC59)</f>
        <v>1</v>
      </c>
      <c r="DJ53" s="342" t="s">
        <v>217</v>
      </c>
      <c r="DK53" s="343"/>
      <c r="DL53" s="343"/>
      <c r="DM53" s="343"/>
      <c r="DN53" s="343"/>
      <c r="DO53" s="152"/>
      <c r="DP53" s="155">
        <f>COUNTA(DJ58:DJ59)</f>
        <v>1</v>
      </c>
      <c r="DQ53" s="342" t="s">
        <v>217</v>
      </c>
      <c r="DR53" s="343"/>
      <c r="DS53" s="343"/>
      <c r="DT53" s="343"/>
      <c r="DU53" s="343"/>
      <c r="DV53" s="152"/>
      <c r="DW53" s="155">
        <f>COUNTA(DQ58:DQ59)</f>
        <v>1</v>
      </c>
      <c r="DX53" s="343" t="s">
        <v>217</v>
      </c>
      <c r="DY53" s="343"/>
      <c r="DZ53" s="343"/>
      <c r="EA53" s="343"/>
      <c r="EB53" s="343"/>
      <c r="EC53" s="152"/>
      <c r="ED53" s="155">
        <f>COUNTA(DX58:DX59)</f>
        <v>1</v>
      </c>
      <c r="EE53" s="342" t="s">
        <v>217</v>
      </c>
      <c r="EF53" s="343"/>
      <c r="EG53" s="343"/>
      <c r="EH53" s="343"/>
      <c r="EI53" s="343"/>
      <c r="EJ53" s="152"/>
      <c r="EK53" s="218">
        <f>COUNTA(EE58:EE59)</f>
        <v>1</v>
      </c>
      <c r="EL53" s="343" t="s">
        <v>217</v>
      </c>
      <c r="EM53" s="343"/>
      <c r="EN53" s="343"/>
      <c r="EO53" s="343"/>
      <c r="EP53" s="343"/>
      <c r="EQ53" s="152"/>
      <c r="ER53" s="218">
        <f>COUNTA(EL58:EL59)</f>
        <v>1</v>
      </c>
      <c r="ES53" s="343" t="s">
        <v>217</v>
      </c>
      <c r="ET53" s="343"/>
      <c r="EU53" s="343"/>
      <c r="EV53" s="343"/>
      <c r="EW53" s="343"/>
      <c r="EX53" s="152"/>
      <c r="EY53" s="155">
        <f>COUNTA(ES58:ES59)</f>
        <v>1</v>
      </c>
      <c r="EZ53" s="342" t="s">
        <v>217</v>
      </c>
      <c r="FA53" s="343"/>
      <c r="FB53" s="343"/>
      <c r="FC53" s="343"/>
      <c r="FD53" s="343"/>
      <c r="FE53" s="152"/>
      <c r="FF53" s="194">
        <f>COUNTA(EZ58:EZ59)</f>
        <v>1</v>
      </c>
      <c r="FG53" s="342" t="s">
        <v>217</v>
      </c>
      <c r="FH53" s="343"/>
      <c r="FI53" s="343"/>
      <c r="FJ53" s="343"/>
      <c r="FK53" s="343"/>
      <c r="FL53" s="152"/>
      <c r="FM53" s="155">
        <f>COUNTA(FG58:FG59)</f>
        <v>1</v>
      </c>
      <c r="FN53" s="156"/>
      <c r="FO53" s="152"/>
      <c r="FP53" s="153"/>
      <c r="FQ53" s="152"/>
      <c r="FR53" s="154"/>
      <c r="FS53" s="152"/>
      <c r="FT53" s="194">
        <f>COUNTA(FN58:FN59)</f>
        <v>1</v>
      </c>
      <c r="FU53" s="366" t="s">
        <v>217</v>
      </c>
      <c r="FV53" s="343"/>
      <c r="FW53" s="343"/>
      <c r="FX53" s="343"/>
      <c r="FY53" s="343"/>
      <c r="FZ53" s="152"/>
      <c r="GA53" s="194">
        <f>COUNTA(FU58:FU59)</f>
        <v>1</v>
      </c>
      <c r="GB53" s="342" t="s">
        <v>217</v>
      </c>
      <c r="GC53" s="343"/>
      <c r="GD53" s="343"/>
      <c r="GE53" s="343"/>
      <c r="GF53" s="343"/>
      <c r="GG53" s="152"/>
      <c r="GH53" s="155">
        <f>COUNTA(GB58:GB59)</f>
        <v>1</v>
      </c>
      <c r="GI53" s="342" t="s">
        <v>217</v>
      </c>
      <c r="GJ53" s="343"/>
      <c r="GK53" s="343"/>
      <c r="GL53" s="343"/>
      <c r="GM53" s="343"/>
      <c r="GN53" s="152"/>
      <c r="GO53" s="155">
        <f>COUNTA(GI58:GI59)</f>
        <v>1</v>
      </c>
      <c r="GP53" s="343" t="s">
        <v>217</v>
      </c>
      <c r="GQ53" s="343"/>
      <c r="GR53" s="343"/>
      <c r="GS53" s="343"/>
      <c r="GT53" s="343"/>
      <c r="GU53" s="152"/>
      <c r="GV53" s="155">
        <f>COUNTA(GP58:GP59)</f>
        <v>1</v>
      </c>
      <c r="GW53" s="342" t="s">
        <v>217</v>
      </c>
      <c r="GX53" s="343"/>
      <c r="GY53" s="343"/>
      <c r="GZ53" s="343"/>
      <c r="HA53" s="343"/>
      <c r="HB53" s="152"/>
      <c r="HC53" s="155">
        <f>COUNTA(GW58:GW59)</f>
        <v>1</v>
      </c>
      <c r="HD53" s="342" t="s">
        <v>217</v>
      </c>
      <c r="HE53" s="343"/>
      <c r="HF53" s="343"/>
      <c r="HG53" s="343"/>
      <c r="HH53" s="343"/>
      <c r="HI53" s="152"/>
      <c r="HJ53" s="218">
        <f>COUNTA(HD58:HD59)</f>
        <v>1</v>
      </c>
      <c r="HK53" s="343" t="s">
        <v>217</v>
      </c>
      <c r="HL53" s="343"/>
      <c r="HM53" s="343"/>
      <c r="HN53" s="343"/>
      <c r="HO53" s="343"/>
      <c r="HP53" s="152"/>
      <c r="HQ53" s="218">
        <f>COUNTA(HK58:HK59)</f>
        <v>1</v>
      </c>
      <c r="HR53" s="152"/>
      <c r="HS53" s="152"/>
      <c r="HT53" s="153"/>
      <c r="HU53" s="152"/>
      <c r="HV53" s="255"/>
      <c r="HW53" s="152"/>
      <c r="HX53" s="155">
        <f>COUNTA(HR58:HR59)</f>
        <v>0</v>
      </c>
    </row>
    <row r="54" spans="2:232" ht="15" customHeight="1" outlineLevel="1" x14ac:dyDescent="0.25">
      <c r="B54" s="147"/>
      <c r="C54" s="147"/>
      <c r="D54" s="147"/>
      <c r="E54" s="147"/>
      <c r="F54" s="157"/>
      <c r="G54" s="147"/>
      <c r="H54" s="157"/>
      <c r="I54" s="175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V54" s="185" t="s">
        <v>224</v>
      </c>
      <c r="W54" s="186"/>
      <c r="X54" s="186"/>
      <c r="Y54" s="186"/>
      <c r="Z54" s="186"/>
      <c r="AA54" s="186"/>
      <c r="AB54" s="187"/>
      <c r="AC54" s="188"/>
      <c r="AD54" s="344" t="s">
        <v>225</v>
      </c>
      <c r="AE54" s="345"/>
      <c r="AF54" s="345"/>
      <c r="AG54" s="181" t="s">
        <v>75</v>
      </c>
      <c r="AH54" s="346" t="s">
        <v>289</v>
      </c>
      <c r="AI54" s="346"/>
      <c r="AJ54" s="346"/>
      <c r="AK54" s="363" t="s">
        <v>227</v>
      </c>
      <c r="AL54" s="345"/>
      <c r="AM54" s="345"/>
      <c r="AN54" s="181" t="s">
        <v>75</v>
      </c>
      <c r="AO54" s="346" t="s">
        <v>319</v>
      </c>
      <c r="AP54" s="346"/>
      <c r="AQ54" s="349"/>
      <c r="AR54" s="344" t="s">
        <v>227</v>
      </c>
      <c r="AS54" s="345"/>
      <c r="AT54" s="345"/>
      <c r="AU54" s="181" t="s">
        <v>75</v>
      </c>
      <c r="AV54" s="346" t="s">
        <v>319</v>
      </c>
      <c r="AW54" s="346"/>
      <c r="AX54" s="349"/>
      <c r="AY54" s="344" t="s">
        <v>227</v>
      </c>
      <c r="AZ54" s="345"/>
      <c r="BA54" s="345"/>
      <c r="BB54" s="181" t="s">
        <v>75</v>
      </c>
      <c r="BC54" s="346" t="s">
        <v>319</v>
      </c>
      <c r="BD54" s="346"/>
      <c r="BE54" s="349"/>
      <c r="BF54" s="344" t="s">
        <v>227</v>
      </c>
      <c r="BG54" s="345"/>
      <c r="BH54" s="345"/>
      <c r="BI54" s="181" t="s">
        <v>75</v>
      </c>
      <c r="BJ54" s="346" t="s">
        <v>319</v>
      </c>
      <c r="BK54" s="346"/>
      <c r="BL54" s="349"/>
      <c r="BM54" s="180"/>
      <c r="BN54" s="181"/>
      <c r="BO54" s="182"/>
      <c r="BP54" s="181"/>
      <c r="BQ54" s="183"/>
      <c r="BR54" s="181"/>
      <c r="BS54" s="210"/>
      <c r="BT54" s="363" t="s">
        <v>232</v>
      </c>
      <c r="BU54" s="345"/>
      <c r="BV54" s="345"/>
      <c r="BW54" s="181" t="s">
        <v>75</v>
      </c>
      <c r="BX54" s="346" t="s">
        <v>338</v>
      </c>
      <c r="BY54" s="346"/>
      <c r="BZ54" s="349"/>
      <c r="CA54" s="344" t="s">
        <v>232</v>
      </c>
      <c r="CB54" s="345"/>
      <c r="CC54" s="345"/>
      <c r="CD54" s="181" t="s">
        <v>75</v>
      </c>
      <c r="CE54" s="346" t="s">
        <v>338</v>
      </c>
      <c r="CF54" s="346"/>
      <c r="CG54" s="349"/>
      <c r="CH54" s="344" t="s">
        <v>232</v>
      </c>
      <c r="CI54" s="345"/>
      <c r="CJ54" s="345"/>
      <c r="CK54" s="181" t="s">
        <v>75</v>
      </c>
      <c r="CL54" s="346" t="s">
        <v>338</v>
      </c>
      <c r="CM54" s="346"/>
      <c r="CN54" s="349"/>
      <c r="CO54" s="344" t="s">
        <v>232</v>
      </c>
      <c r="CP54" s="345"/>
      <c r="CQ54" s="345"/>
      <c r="CR54" s="181" t="s">
        <v>75</v>
      </c>
      <c r="CS54" s="346" t="s">
        <v>338</v>
      </c>
      <c r="CT54" s="346"/>
      <c r="CU54" s="349"/>
      <c r="CV54" s="344" t="s">
        <v>232</v>
      </c>
      <c r="CW54" s="345"/>
      <c r="CX54" s="345"/>
      <c r="CY54" s="181" t="s">
        <v>75</v>
      </c>
      <c r="CZ54" s="346" t="s">
        <v>338</v>
      </c>
      <c r="DA54" s="346"/>
      <c r="DB54" s="349"/>
      <c r="DC54" s="344" t="s">
        <v>232</v>
      </c>
      <c r="DD54" s="345"/>
      <c r="DE54" s="345"/>
      <c r="DF54" s="181" t="s">
        <v>75</v>
      </c>
      <c r="DG54" s="346" t="s">
        <v>338</v>
      </c>
      <c r="DH54" s="346"/>
      <c r="DI54" s="349"/>
      <c r="DJ54" s="344" t="s">
        <v>232</v>
      </c>
      <c r="DK54" s="345"/>
      <c r="DL54" s="345"/>
      <c r="DM54" s="181" t="s">
        <v>75</v>
      </c>
      <c r="DN54" s="346" t="s">
        <v>338</v>
      </c>
      <c r="DO54" s="346"/>
      <c r="DP54" s="349"/>
      <c r="DQ54" s="345" t="s">
        <v>232</v>
      </c>
      <c r="DR54" s="345"/>
      <c r="DS54" s="345"/>
      <c r="DT54" s="181" t="s">
        <v>75</v>
      </c>
      <c r="DU54" s="346" t="s">
        <v>338</v>
      </c>
      <c r="DV54" s="346"/>
      <c r="DW54" s="349"/>
      <c r="DX54" s="345" t="s">
        <v>232</v>
      </c>
      <c r="DY54" s="345"/>
      <c r="DZ54" s="345"/>
      <c r="EA54" s="181" t="s">
        <v>75</v>
      </c>
      <c r="EB54" s="346" t="s">
        <v>338</v>
      </c>
      <c r="EC54" s="346"/>
      <c r="ED54" s="349"/>
      <c r="EE54" s="345" t="s">
        <v>232</v>
      </c>
      <c r="EF54" s="345"/>
      <c r="EG54" s="345"/>
      <c r="EH54" s="181" t="s">
        <v>75</v>
      </c>
      <c r="EI54" s="346" t="s">
        <v>338</v>
      </c>
      <c r="EJ54" s="346"/>
      <c r="EK54" s="347"/>
      <c r="EL54" s="345" t="s">
        <v>539</v>
      </c>
      <c r="EM54" s="345"/>
      <c r="EN54" s="345"/>
      <c r="EO54" s="181" t="s">
        <v>75</v>
      </c>
      <c r="EP54" s="346" t="s">
        <v>338</v>
      </c>
      <c r="EQ54" s="346"/>
      <c r="ER54" s="347"/>
      <c r="ES54" s="345" t="s">
        <v>243</v>
      </c>
      <c r="ET54" s="345"/>
      <c r="EU54" s="345"/>
      <c r="EV54" s="181" t="s">
        <v>75</v>
      </c>
      <c r="EW54" s="346" t="s">
        <v>366</v>
      </c>
      <c r="EX54" s="346"/>
      <c r="EY54" s="349"/>
      <c r="EZ54" s="344" t="s">
        <v>243</v>
      </c>
      <c r="FA54" s="345"/>
      <c r="FB54" s="345"/>
      <c r="FC54" s="181" t="s">
        <v>75</v>
      </c>
      <c r="FD54" s="346" t="s">
        <v>366</v>
      </c>
      <c r="FE54" s="346"/>
      <c r="FF54" s="346"/>
      <c r="FG54" s="344" t="s">
        <v>243</v>
      </c>
      <c r="FH54" s="345"/>
      <c r="FI54" s="345"/>
      <c r="FJ54" s="181" t="s">
        <v>75</v>
      </c>
      <c r="FK54" s="346" t="s">
        <v>366</v>
      </c>
      <c r="FL54" s="346"/>
      <c r="FM54" s="346"/>
      <c r="FN54" s="180"/>
      <c r="FO54" s="181"/>
      <c r="FP54" s="182"/>
      <c r="FQ54" s="181"/>
      <c r="FR54" s="183"/>
      <c r="FS54" s="181"/>
      <c r="FT54" s="210"/>
      <c r="FU54" s="363" t="s">
        <v>246</v>
      </c>
      <c r="FV54" s="345"/>
      <c r="FW54" s="345"/>
      <c r="FX54" s="181" t="s">
        <v>75</v>
      </c>
      <c r="FY54" s="346" t="s">
        <v>389</v>
      </c>
      <c r="FZ54" s="346"/>
      <c r="GA54" s="346"/>
      <c r="GB54" s="344" t="s">
        <v>246</v>
      </c>
      <c r="GC54" s="345"/>
      <c r="GD54" s="345"/>
      <c r="GE54" s="181" t="s">
        <v>75</v>
      </c>
      <c r="GF54" s="346" t="s">
        <v>389</v>
      </c>
      <c r="GG54" s="346"/>
      <c r="GH54" s="349"/>
      <c r="GI54" s="344" t="s">
        <v>246</v>
      </c>
      <c r="GJ54" s="345"/>
      <c r="GK54" s="345"/>
      <c r="GL54" s="181" t="s">
        <v>75</v>
      </c>
      <c r="GM54" s="346" t="s">
        <v>389</v>
      </c>
      <c r="GN54" s="346"/>
      <c r="GO54" s="349"/>
      <c r="GP54" s="345" t="s">
        <v>246</v>
      </c>
      <c r="GQ54" s="345"/>
      <c r="GR54" s="345"/>
      <c r="GS54" s="181" t="s">
        <v>75</v>
      </c>
      <c r="GT54" s="346" t="s">
        <v>389</v>
      </c>
      <c r="GU54" s="346"/>
      <c r="GV54" s="349"/>
      <c r="GW54" s="344" t="s">
        <v>246</v>
      </c>
      <c r="GX54" s="345"/>
      <c r="GY54" s="345"/>
      <c r="GZ54" s="181" t="s">
        <v>75</v>
      </c>
      <c r="HA54" s="346" t="s">
        <v>389</v>
      </c>
      <c r="HB54" s="346"/>
      <c r="HC54" s="349"/>
      <c r="HD54" s="344" t="s">
        <v>246</v>
      </c>
      <c r="HE54" s="345"/>
      <c r="HF54" s="345"/>
      <c r="HG54" s="181" t="s">
        <v>75</v>
      </c>
      <c r="HH54" s="346" t="s">
        <v>389</v>
      </c>
      <c r="HI54" s="346"/>
      <c r="HJ54" s="347"/>
      <c r="HK54" s="345" t="s">
        <v>541</v>
      </c>
      <c r="HL54" s="345"/>
      <c r="HM54" s="345"/>
      <c r="HN54" s="181" t="s">
        <v>75</v>
      </c>
      <c r="HO54" s="346" t="s">
        <v>389</v>
      </c>
      <c r="HP54" s="346"/>
      <c r="HQ54" s="347"/>
      <c r="HR54" s="181"/>
      <c r="HS54" s="181"/>
      <c r="HT54" s="182"/>
      <c r="HU54" s="181"/>
      <c r="HV54" s="256"/>
      <c r="HW54" s="181"/>
      <c r="HX54" s="184"/>
    </row>
    <row r="55" spans="2:232" ht="15" customHeight="1" outlineLevel="1" x14ac:dyDescent="0.25">
      <c r="B55" s="147"/>
      <c r="C55" s="147"/>
      <c r="D55" s="147"/>
      <c r="E55" s="147"/>
      <c r="F55" s="157"/>
      <c r="G55" s="147"/>
      <c r="H55" s="157"/>
      <c r="I55" s="175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V55" s="161" t="s">
        <v>199</v>
      </c>
      <c r="W55" s="12"/>
      <c r="X55" s="12"/>
      <c r="Y55" s="12"/>
      <c r="Z55" s="12"/>
      <c r="AA55" s="12"/>
      <c r="AB55" s="12"/>
      <c r="AC55" s="14"/>
      <c r="AD55" s="352" t="s">
        <v>201</v>
      </c>
      <c r="AE55" s="353"/>
      <c r="AF55" s="353"/>
      <c r="AG55" s="1" t="s">
        <v>57</v>
      </c>
      <c r="AH55" s="337" t="s">
        <v>221</v>
      </c>
      <c r="AI55" s="337"/>
      <c r="AJ55" s="337"/>
      <c r="AK55" s="364" t="s">
        <v>202</v>
      </c>
      <c r="AL55" s="337"/>
      <c r="AM55" s="337"/>
      <c r="AN55" s="1" t="s">
        <v>57</v>
      </c>
      <c r="AO55" s="337" t="s">
        <v>221</v>
      </c>
      <c r="AP55" s="337"/>
      <c r="AQ55" s="338"/>
      <c r="AR55" s="350" t="s">
        <v>221</v>
      </c>
      <c r="AS55" s="337"/>
      <c r="AT55" s="337"/>
      <c r="AU55" s="1" t="s">
        <v>57</v>
      </c>
      <c r="AV55" s="337" t="s">
        <v>228</v>
      </c>
      <c r="AW55" s="337"/>
      <c r="AX55" s="338"/>
      <c r="AY55" s="350" t="s">
        <v>228</v>
      </c>
      <c r="AZ55" s="337"/>
      <c r="BA55" s="337"/>
      <c r="BB55" s="1" t="s">
        <v>57</v>
      </c>
      <c r="BC55" s="337" t="s">
        <v>352</v>
      </c>
      <c r="BD55" s="337"/>
      <c r="BE55" s="337"/>
      <c r="BF55" s="350" t="s">
        <v>556</v>
      </c>
      <c r="BG55" s="337"/>
      <c r="BH55" s="337"/>
      <c r="BI55" s="191"/>
      <c r="BJ55" s="337"/>
      <c r="BK55" s="337"/>
      <c r="BL55" s="338"/>
      <c r="BM55" s="350"/>
      <c r="BN55" s="337"/>
      <c r="BO55" s="337"/>
      <c r="BQ55" s="337"/>
      <c r="BR55" s="337"/>
      <c r="BS55" s="337"/>
      <c r="BT55" s="364" t="s">
        <v>221</v>
      </c>
      <c r="BU55" s="337"/>
      <c r="BV55" s="337"/>
      <c r="BW55" s="1" t="s">
        <v>57</v>
      </c>
      <c r="BX55" s="337" t="s">
        <v>231</v>
      </c>
      <c r="BY55" s="337"/>
      <c r="BZ55" s="338"/>
      <c r="CA55" s="337" t="s">
        <v>231</v>
      </c>
      <c r="CB55" s="337"/>
      <c r="CC55" s="337"/>
      <c r="CD55" s="1" t="s">
        <v>57</v>
      </c>
      <c r="CE55" s="337" t="s">
        <v>221</v>
      </c>
      <c r="CF55" s="337"/>
      <c r="CG55" s="337"/>
      <c r="CH55" s="350" t="s">
        <v>221</v>
      </c>
      <c r="CI55" s="337"/>
      <c r="CJ55" s="337"/>
      <c r="CK55" s="1" t="s">
        <v>57</v>
      </c>
      <c r="CL55" s="337" t="s">
        <v>234</v>
      </c>
      <c r="CM55" s="337"/>
      <c r="CN55" s="338"/>
      <c r="CO55" s="350" t="s">
        <v>262</v>
      </c>
      <c r="CP55" s="337"/>
      <c r="CQ55" s="337"/>
      <c r="CR55" s="1" t="s">
        <v>57</v>
      </c>
      <c r="CS55" s="337" t="s">
        <v>233</v>
      </c>
      <c r="CT55" s="337"/>
      <c r="CU55" s="338"/>
      <c r="CV55" s="350" t="s">
        <v>228</v>
      </c>
      <c r="CW55" s="337"/>
      <c r="CX55" s="337"/>
      <c r="CY55" s="1" t="s">
        <v>57</v>
      </c>
      <c r="CZ55" s="337" t="s">
        <v>231</v>
      </c>
      <c r="DA55" s="337"/>
      <c r="DB55" s="338"/>
      <c r="DC55" s="350" t="s">
        <v>231</v>
      </c>
      <c r="DD55" s="337"/>
      <c r="DE55" s="337"/>
      <c r="DF55" s="1" t="s">
        <v>57</v>
      </c>
      <c r="DG55" s="337" t="s">
        <v>252</v>
      </c>
      <c r="DH55" s="337"/>
      <c r="DI55" s="338"/>
      <c r="DJ55" s="350" t="s">
        <v>252</v>
      </c>
      <c r="DK55" s="337"/>
      <c r="DL55" s="337"/>
      <c r="DM55" s="1" t="s">
        <v>57</v>
      </c>
      <c r="DN55" s="337" t="s">
        <v>234</v>
      </c>
      <c r="DO55" s="337"/>
      <c r="DP55" s="338"/>
      <c r="DQ55" s="350" t="s">
        <v>233</v>
      </c>
      <c r="DR55" s="337"/>
      <c r="DS55" s="337"/>
      <c r="DT55" s="191"/>
      <c r="DU55" s="337"/>
      <c r="DV55" s="337"/>
      <c r="DW55" s="338"/>
      <c r="DX55" s="337" t="s">
        <v>252</v>
      </c>
      <c r="DY55" s="337"/>
      <c r="DZ55" s="337"/>
      <c r="EA55" s="1" t="s">
        <v>57</v>
      </c>
      <c r="EB55" s="337" t="s">
        <v>221</v>
      </c>
      <c r="EC55" s="337"/>
      <c r="ED55" s="337"/>
      <c r="EE55" s="350" t="s">
        <v>231</v>
      </c>
      <c r="EF55" s="337"/>
      <c r="EG55" s="337"/>
      <c r="EH55" s="191"/>
      <c r="EI55" s="337"/>
      <c r="EJ55" s="337"/>
      <c r="EK55" s="351"/>
      <c r="EL55" s="337" t="s">
        <v>383</v>
      </c>
      <c r="EM55" s="337"/>
      <c r="EN55" s="337"/>
      <c r="EO55" s="191"/>
      <c r="EP55" s="337"/>
      <c r="EQ55" s="337"/>
      <c r="ER55" s="351"/>
      <c r="ES55" s="337" t="s">
        <v>384</v>
      </c>
      <c r="ET55" s="337"/>
      <c r="EU55" s="337"/>
      <c r="EV55" s="1" t="s">
        <v>57</v>
      </c>
      <c r="EW55" s="337" t="s">
        <v>228</v>
      </c>
      <c r="EX55" s="337"/>
      <c r="EY55" s="338"/>
      <c r="EZ55" s="350" t="s">
        <v>228</v>
      </c>
      <c r="FA55" s="337"/>
      <c r="FB55" s="337"/>
      <c r="FC55" s="1" t="s">
        <v>57</v>
      </c>
      <c r="FD55" s="337" t="s">
        <v>352</v>
      </c>
      <c r="FE55" s="337"/>
      <c r="FF55" s="337"/>
      <c r="FG55" s="350" t="s">
        <v>352</v>
      </c>
      <c r="FH55" s="337"/>
      <c r="FI55" s="337"/>
      <c r="FJ55" s="191"/>
      <c r="FK55" s="337"/>
      <c r="FL55" s="337"/>
      <c r="FM55" s="338"/>
      <c r="FN55" s="350"/>
      <c r="FO55" s="337"/>
      <c r="FP55" s="337"/>
      <c r="FR55" s="337"/>
      <c r="FS55" s="337"/>
      <c r="FT55" s="337"/>
      <c r="FU55" s="364" t="s">
        <v>252</v>
      </c>
      <c r="FV55" s="337"/>
      <c r="FW55" s="337"/>
      <c r="FX55" s="1" t="s">
        <v>57</v>
      </c>
      <c r="FY55" s="337" t="s">
        <v>231</v>
      </c>
      <c r="FZ55" s="337"/>
      <c r="GA55" s="337"/>
      <c r="GB55" s="350" t="s">
        <v>231</v>
      </c>
      <c r="GC55" s="337"/>
      <c r="GD55" s="337"/>
      <c r="GE55" s="1" t="s">
        <v>57</v>
      </c>
      <c r="GF55" s="337" t="s">
        <v>252</v>
      </c>
      <c r="GG55" s="337"/>
      <c r="GH55" s="338"/>
      <c r="GI55" s="350" t="s">
        <v>252</v>
      </c>
      <c r="GJ55" s="337"/>
      <c r="GK55" s="337"/>
      <c r="GL55" s="1" t="s">
        <v>57</v>
      </c>
      <c r="GM55" s="337" t="s">
        <v>234</v>
      </c>
      <c r="GN55" s="337"/>
      <c r="GO55" s="338"/>
      <c r="GP55" s="337" t="s">
        <v>233</v>
      </c>
      <c r="GQ55" s="337"/>
      <c r="GR55" s="337"/>
      <c r="GS55" s="191"/>
      <c r="GT55" s="337"/>
      <c r="GU55" s="337"/>
      <c r="GV55" s="338"/>
      <c r="GW55" s="350" t="s">
        <v>382</v>
      </c>
      <c r="GX55" s="337"/>
      <c r="GY55" s="337"/>
      <c r="GZ55" s="1" t="s">
        <v>57</v>
      </c>
      <c r="HA55" s="337" t="s">
        <v>426</v>
      </c>
      <c r="HB55" s="337"/>
      <c r="HC55" s="338"/>
      <c r="HD55" s="350" t="s">
        <v>231</v>
      </c>
      <c r="HE55" s="337"/>
      <c r="HF55" s="337"/>
      <c r="HG55" s="191"/>
      <c r="HH55" s="337"/>
      <c r="HI55" s="337"/>
      <c r="HJ55" s="351"/>
      <c r="HK55" s="337" t="s">
        <v>383</v>
      </c>
      <c r="HL55" s="337"/>
      <c r="HM55" s="337"/>
      <c r="HO55" s="337"/>
      <c r="HP55" s="337"/>
      <c r="HQ55" s="351"/>
      <c r="HR55" s="337"/>
      <c r="HS55" s="337"/>
      <c r="HT55" s="337"/>
      <c r="HV55" s="337"/>
      <c r="HW55" s="337"/>
      <c r="HX55" s="338"/>
    </row>
    <row r="56" spans="2:232" ht="15" customHeight="1" outlineLevel="1" x14ac:dyDescent="0.25">
      <c r="B56" s="147"/>
      <c r="C56" s="147"/>
      <c r="D56" s="147"/>
      <c r="E56" s="147"/>
      <c r="F56" s="157"/>
      <c r="G56" s="147"/>
      <c r="H56" s="157"/>
      <c r="I56" s="175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V56" s="161" t="s">
        <v>200</v>
      </c>
      <c r="W56" s="12"/>
      <c r="X56" s="12"/>
      <c r="Y56" s="12"/>
      <c r="Z56" s="12"/>
      <c r="AA56" s="12"/>
      <c r="AB56" s="12"/>
      <c r="AC56" s="14"/>
      <c r="AD56" s="352" t="s">
        <v>201</v>
      </c>
      <c r="AE56" s="353"/>
      <c r="AF56" s="353"/>
      <c r="AG56" s="1" t="s">
        <v>57</v>
      </c>
      <c r="AH56" s="353" t="s">
        <v>220</v>
      </c>
      <c r="AI56" s="353"/>
      <c r="AJ56" s="353"/>
      <c r="AK56" s="367" t="s">
        <v>220</v>
      </c>
      <c r="AL56" s="353"/>
      <c r="AM56" s="353"/>
      <c r="AO56" s="353"/>
      <c r="AP56" s="353"/>
      <c r="AQ56" s="355"/>
      <c r="AR56" s="352" t="s">
        <v>220</v>
      </c>
      <c r="AS56" s="353"/>
      <c r="AT56" s="353"/>
      <c r="AV56" s="353"/>
      <c r="AW56" s="353"/>
      <c r="AX56" s="355"/>
      <c r="AY56" s="352" t="s">
        <v>229</v>
      </c>
      <c r="AZ56" s="353"/>
      <c r="BA56" s="353"/>
      <c r="BC56" s="353"/>
      <c r="BD56" s="353"/>
      <c r="BE56" s="353"/>
      <c r="BF56" s="352" t="s">
        <v>229</v>
      </c>
      <c r="BG56" s="353"/>
      <c r="BH56" s="353"/>
      <c r="BJ56" s="353"/>
      <c r="BK56" s="353"/>
      <c r="BL56" s="355"/>
      <c r="BM56" s="352"/>
      <c r="BN56" s="353"/>
      <c r="BO56" s="353"/>
      <c r="BQ56" s="353"/>
      <c r="BR56" s="353"/>
      <c r="BS56" s="353"/>
      <c r="BT56" s="367" t="s">
        <v>229</v>
      </c>
      <c r="BU56" s="353"/>
      <c r="BV56" s="353"/>
      <c r="BX56" s="353"/>
      <c r="BY56" s="353"/>
      <c r="BZ56" s="355"/>
      <c r="CA56" s="352" t="s">
        <v>229</v>
      </c>
      <c r="CB56" s="353"/>
      <c r="CC56" s="353"/>
      <c r="CE56" s="353"/>
      <c r="CF56" s="353"/>
      <c r="CG56" s="353"/>
      <c r="CH56" s="352" t="s">
        <v>229</v>
      </c>
      <c r="CI56" s="353"/>
      <c r="CJ56" s="353"/>
      <c r="CL56" s="353"/>
      <c r="CM56" s="353"/>
      <c r="CN56" s="355"/>
      <c r="CO56" s="352" t="s">
        <v>229</v>
      </c>
      <c r="CP56" s="353"/>
      <c r="CQ56" s="353"/>
      <c r="CS56" s="353"/>
      <c r="CT56" s="353"/>
      <c r="CU56" s="355"/>
      <c r="CV56" s="352" t="s">
        <v>229</v>
      </c>
      <c r="CW56" s="353"/>
      <c r="CX56" s="353"/>
      <c r="CZ56" s="353"/>
      <c r="DA56" s="353"/>
      <c r="DB56" s="353"/>
      <c r="DC56" s="352" t="s">
        <v>229</v>
      </c>
      <c r="DD56" s="353"/>
      <c r="DE56" s="353"/>
      <c r="DG56" s="353"/>
      <c r="DH56" s="353"/>
      <c r="DI56" s="355"/>
      <c r="DJ56" s="352" t="s">
        <v>229</v>
      </c>
      <c r="DK56" s="353"/>
      <c r="DL56" s="353"/>
      <c r="DN56" s="353"/>
      <c r="DO56" s="353"/>
      <c r="DP56" s="355"/>
      <c r="DQ56" s="352" t="s">
        <v>229</v>
      </c>
      <c r="DR56" s="353"/>
      <c r="DS56" s="353"/>
      <c r="DU56" s="353"/>
      <c r="DV56" s="353"/>
      <c r="DW56" s="355"/>
      <c r="DX56" s="353" t="s">
        <v>229</v>
      </c>
      <c r="DY56" s="353"/>
      <c r="DZ56" s="353"/>
      <c r="EB56" s="353"/>
      <c r="EC56" s="353"/>
      <c r="ED56" s="353"/>
      <c r="EE56" s="352" t="s">
        <v>229</v>
      </c>
      <c r="EF56" s="353"/>
      <c r="EG56" s="353"/>
      <c r="EI56" s="353"/>
      <c r="EJ56" s="353"/>
      <c r="EK56" s="354"/>
      <c r="EL56" s="353" t="s">
        <v>229</v>
      </c>
      <c r="EM56" s="353"/>
      <c r="EN56" s="353"/>
      <c r="EP56" s="353"/>
      <c r="EQ56" s="353"/>
      <c r="ER56" s="354"/>
      <c r="ES56" s="353" t="s">
        <v>220</v>
      </c>
      <c r="ET56" s="353"/>
      <c r="EU56" s="353"/>
      <c r="EW56" s="353"/>
      <c r="EX56" s="353"/>
      <c r="EY56" s="355"/>
      <c r="EZ56" s="352" t="s">
        <v>229</v>
      </c>
      <c r="FA56" s="353"/>
      <c r="FB56" s="353"/>
      <c r="FD56" s="353"/>
      <c r="FE56" s="353"/>
      <c r="FF56" s="353"/>
      <c r="FG56" s="352" t="s">
        <v>229</v>
      </c>
      <c r="FH56" s="353"/>
      <c r="FI56" s="353"/>
      <c r="FK56" s="353"/>
      <c r="FL56" s="353"/>
      <c r="FM56" s="355"/>
      <c r="FN56" s="352"/>
      <c r="FO56" s="353"/>
      <c r="FP56" s="353"/>
      <c r="FR56" s="353"/>
      <c r="FS56" s="353"/>
      <c r="FT56" s="353"/>
      <c r="FU56" s="367" t="s">
        <v>229</v>
      </c>
      <c r="FV56" s="353"/>
      <c r="FW56" s="353"/>
      <c r="FY56" s="353"/>
      <c r="FZ56" s="353"/>
      <c r="GA56" s="353"/>
      <c r="GB56" s="352" t="s">
        <v>229</v>
      </c>
      <c r="GC56" s="353"/>
      <c r="GD56" s="353"/>
      <c r="GF56" s="353"/>
      <c r="GG56" s="353"/>
      <c r="GH56" s="355"/>
      <c r="GI56" s="352" t="s">
        <v>229</v>
      </c>
      <c r="GJ56" s="353"/>
      <c r="GK56" s="353"/>
      <c r="GM56" s="353"/>
      <c r="GN56" s="353"/>
      <c r="GO56" s="355"/>
      <c r="GP56" s="353" t="s">
        <v>229</v>
      </c>
      <c r="GQ56" s="353"/>
      <c r="GR56" s="353"/>
      <c r="GT56" s="353"/>
      <c r="GU56" s="353"/>
      <c r="GV56" s="355"/>
      <c r="GW56" s="352" t="s">
        <v>229</v>
      </c>
      <c r="GX56" s="353"/>
      <c r="GY56" s="353"/>
      <c r="HA56" s="353"/>
      <c r="HB56" s="353"/>
      <c r="HC56" s="355"/>
      <c r="HD56" s="352" t="s">
        <v>229</v>
      </c>
      <c r="HE56" s="353"/>
      <c r="HF56" s="353"/>
      <c r="HH56" s="353"/>
      <c r="HI56" s="353"/>
      <c r="HJ56" s="354"/>
      <c r="HK56" s="353" t="s">
        <v>229</v>
      </c>
      <c r="HL56" s="353"/>
      <c r="HM56" s="353"/>
      <c r="HO56" s="353"/>
      <c r="HP56" s="353"/>
      <c r="HQ56" s="354"/>
      <c r="HR56" s="353"/>
      <c r="HS56" s="353"/>
      <c r="HT56" s="353"/>
      <c r="HV56" s="353"/>
      <c r="HW56" s="353"/>
      <c r="HX56" s="355"/>
    </row>
    <row r="57" spans="2:232" ht="15" customHeight="1" outlineLevel="1" x14ac:dyDescent="0.25">
      <c r="B57" s="147"/>
      <c r="C57" s="147"/>
      <c r="D57" s="147"/>
      <c r="E57" s="147"/>
      <c r="F57" s="157"/>
      <c r="G57" s="147"/>
      <c r="H57" s="157"/>
      <c r="I57" s="175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V57" s="162"/>
      <c r="W57" s="159"/>
      <c r="X57" s="159"/>
      <c r="Y57" s="159"/>
      <c r="Z57" s="159"/>
      <c r="AA57" s="159"/>
      <c r="AB57" s="159"/>
      <c r="AC57" s="160"/>
      <c r="AD57" s="361"/>
      <c r="AE57" s="356"/>
      <c r="AF57" s="356"/>
      <c r="AG57" s="163"/>
      <c r="AH57" s="356"/>
      <c r="AI57" s="356"/>
      <c r="AJ57" s="356"/>
      <c r="AK57" s="368"/>
      <c r="AL57" s="356"/>
      <c r="AM57" s="356"/>
      <c r="AN57" s="163"/>
      <c r="AO57" s="356"/>
      <c r="AP57" s="356"/>
      <c r="AQ57" s="357"/>
      <c r="AR57" s="361"/>
      <c r="AS57" s="356"/>
      <c r="AT57" s="356"/>
      <c r="AU57" s="163"/>
      <c r="AV57" s="356"/>
      <c r="AW57" s="356"/>
      <c r="AX57" s="357"/>
      <c r="AY57" s="361"/>
      <c r="AZ57" s="356"/>
      <c r="BA57" s="356"/>
      <c r="BB57" s="163"/>
      <c r="BC57" s="356"/>
      <c r="BD57" s="356"/>
      <c r="BE57" s="356"/>
      <c r="BF57" s="361"/>
      <c r="BG57" s="356"/>
      <c r="BH57" s="356"/>
      <c r="BI57" s="163"/>
      <c r="BJ57" s="356"/>
      <c r="BK57" s="356"/>
      <c r="BL57" s="357"/>
      <c r="BM57" s="361"/>
      <c r="BN57" s="356"/>
      <c r="BO57" s="356"/>
      <c r="BP57" s="163"/>
      <c r="BQ57" s="356"/>
      <c r="BR57" s="356"/>
      <c r="BS57" s="356"/>
      <c r="BT57" s="368"/>
      <c r="BU57" s="356"/>
      <c r="BV57" s="356"/>
      <c r="BW57" s="163"/>
      <c r="BX57" s="356"/>
      <c r="BY57" s="356"/>
      <c r="BZ57" s="357"/>
      <c r="CA57" s="361"/>
      <c r="CB57" s="356"/>
      <c r="CC57" s="356"/>
      <c r="CD57" s="163"/>
      <c r="CE57" s="356"/>
      <c r="CF57" s="356"/>
      <c r="CG57" s="357"/>
      <c r="CH57" s="361"/>
      <c r="CI57" s="356"/>
      <c r="CJ57" s="356"/>
      <c r="CK57" s="163"/>
      <c r="CL57" s="356"/>
      <c r="CM57" s="356"/>
      <c r="CN57" s="357"/>
      <c r="CO57" s="361"/>
      <c r="CP57" s="356"/>
      <c r="CQ57" s="356"/>
      <c r="CR57" s="163"/>
      <c r="CS57" s="356"/>
      <c r="CT57" s="356"/>
      <c r="CU57" s="357"/>
      <c r="CV57" s="361"/>
      <c r="CW57" s="356"/>
      <c r="CX57" s="356"/>
      <c r="CY57" s="163"/>
      <c r="CZ57" s="356"/>
      <c r="DA57" s="356"/>
      <c r="DB57" s="357"/>
      <c r="DC57" s="356"/>
      <c r="DD57" s="356"/>
      <c r="DE57" s="356"/>
      <c r="DF57" s="163"/>
      <c r="DG57" s="356"/>
      <c r="DH57" s="356"/>
      <c r="DI57" s="357"/>
      <c r="DJ57" s="361"/>
      <c r="DK57" s="356"/>
      <c r="DL57" s="356"/>
      <c r="DM57" s="163"/>
      <c r="DN57" s="356"/>
      <c r="DO57" s="356"/>
      <c r="DP57" s="357"/>
      <c r="DQ57" s="361"/>
      <c r="DR57" s="356"/>
      <c r="DS57" s="356"/>
      <c r="DT57" s="163"/>
      <c r="DU57" s="356"/>
      <c r="DV57" s="356"/>
      <c r="DW57" s="357"/>
      <c r="DX57" s="356"/>
      <c r="DY57" s="356"/>
      <c r="DZ57" s="356"/>
      <c r="EA57" s="163"/>
      <c r="EB57" s="356"/>
      <c r="EC57" s="356"/>
      <c r="ED57" s="357"/>
      <c r="EE57" s="361"/>
      <c r="EF57" s="356"/>
      <c r="EG57" s="356"/>
      <c r="EH57" s="163"/>
      <c r="EI57" s="356"/>
      <c r="EJ57" s="356"/>
      <c r="EK57" s="359"/>
      <c r="EL57" s="356"/>
      <c r="EM57" s="356"/>
      <c r="EN57" s="356"/>
      <c r="EO57" s="163"/>
      <c r="EP57" s="356"/>
      <c r="EQ57" s="356"/>
      <c r="ER57" s="359"/>
      <c r="ES57" s="356"/>
      <c r="ET57" s="356"/>
      <c r="EU57" s="356"/>
      <c r="EV57" s="163"/>
      <c r="EW57" s="356"/>
      <c r="EX57" s="356"/>
      <c r="EY57" s="357"/>
      <c r="EZ57" s="361"/>
      <c r="FA57" s="356"/>
      <c r="FB57" s="356"/>
      <c r="FC57" s="163"/>
      <c r="FD57" s="356"/>
      <c r="FE57" s="356"/>
      <c r="FF57" s="356"/>
      <c r="FG57" s="361"/>
      <c r="FH57" s="356"/>
      <c r="FI57" s="356"/>
      <c r="FJ57" s="163"/>
      <c r="FK57" s="356"/>
      <c r="FL57" s="356"/>
      <c r="FM57" s="357"/>
      <c r="FN57" s="361"/>
      <c r="FO57" s="356"/>
      <c r="FP57" s="356"/>
      <c r="FQ57" s="163"/>
      <c r="FR57" s="356"/>
      <c r="FS57" s="356"/>
      <c r="FT57" s="356"/>
      <c r="FU57" s="368"/>
      <c r="FV57" s="356"/>
      <c r="FW57" s="356"/>
      <c r="FX57" s="163"/>
      <c r="FY57" s="356"/>
      <c r="FZ57" s="356"/>
      <c r="GA57" s="356"/>
      <c r="GB57" s="361"/>
      <c r="GC57" s="356"/>
      <c r="GD57" s="356"/>
      <c r="GE57" s="163"/>
      <c r="GF57" s="356"/>
      <c r="GG57" s="356"/>
      <c r="GH57" s="357"/>
      <c r="GI57" s="361"/>
      <c r="GJ57" s="356"/>
      <c r="GK57" s="356"/>
      <c r="GL57" s="163"/>
      <c r="GM57" s="356"/>
      <c r="GN57" s="356"/>
      <c r="GO57" s="357"/>
      <c r="GP57" s="356"/>
      <c r="GQ57" s="356"/>
      <c r="GR57" s="356"/>
      <c r="GS57" s="163"/>
      <c r="GT57" s="356"/>
      <c r="GU57" s="356"/>
      <c r="GV57" s="357"/>
      <c r="GW57" s="361"/>
      <c r="GX57" s="356"/>
      <c r="GY57" s="356"/>
      <c r="GZ57" s="163"/>
      <c r="HA57" s="356"/>
      <c r="HB57" s="356"/>
      <c r="HC57" s="357"/>
      <c r="HD57" s="361"/>
      <c r="HE57" s="356"/>
      <c r="HF57" s="356"/>
      <c r="HG57" s="163"/>
      <c r="HH57" s="356"/>
      <c r="HI57" s="356"/>
      <c r="HJ57" s="359"/>
      <c r="HK57" s="356"/>
      <c r="HL57" s="356"/>
      <c r="HM57" s="356"/>
      <c r="HN57" s="163"/>
      <c r="HO57" s="356"/>
      <c r="HP57" s="356"/>
      <c r="HQ57" s="359"/>
      <c r="HR57" s="356"/>
      <c r="HS57" s="356"/>
      <c r="HT57" s="356"/>
      <c r="HU57" s="163"/>
      <c r="HV57" s="356"/>
      <c r="HW57" s="356"/>
      <c r="HX57" s="357"/>
    </row>
    <row r="58" spans="2:232" outlineLevel="1" x14ac:dyDescent="0.25">
      <c r="B58" s="32"/>
      <c r="C58" s="333">
        <f>MAX(C51:C52)+1</f>
        <v>6</v>
      </c>
      <c r="D58" s="164" t="s">
        <v>21</v>
      </c>
      <c r="E58" s="34"/>
      <c r="F58" s="165" t="s">
        <v>529</v>
      </c>
      <c r="G58" s="165" t="s">
        <v>529</v>
      </c>
      <c r="H58" s="165" t="s">
        <v>99</v>
      </c>
      <c r="I58" s="176" t="s">
        <v>85</v>
      </c>
      <c r="J58" s="165" t="s">
        <v>171</v>
      </c>
      <c r="K58" s="165">
        <v>2031</v>
      </c>
      <c r="L58" s="165">
        <v>1</v>
      </c>
      <c r="M58" s="165"/>
      <c r="N58" s="165"/>
      <c r="O58" s="165"/>
      <c r="P58" s="165"/>
      <c r="Q58" s="165"/>
      <c r="R58" s="165"/>
      <c r="S58" s="165"/>
      <c r="T58" s="165"/>
      <c r="V58" s="11" t="s">
        <v>283</v>
      </c>
      <c r="W58" s="12"/>
      <c r="X58" s="12"/>
      <c r="Y58" s="12"/>
      <c r="Z58" s="12"/>
      <c r="AA58" s="12"/>
      <c r="AB58" s="12"/>
      <c r="AC58" s="14"/>
      <c r="AD58" s="166">
        <f>$C58</f>
        <v>6</v>
      </c>
      <c r="AE58" s="358" t="s">
        <v>175</v>
      </c>
      <c r="AF58" s="358"/>
      <c r="AG58" s="358"/>
      <c r="AH58" s="158"/>
      <c r="AI58" s="337"/>
      <c r="AJ58" s="337"/>
      <c r="AK58" s="214">
        <f>$C58</f>
        <v>6</v>
      </c>
      <c r="AL58" s="358" t="s">
        <v>175</v>
      </c>
      <c r="AM58" s="358"/>
      <c r="AN58" s="358"/>
      <c r="AO58" s="32"/>
      <c r="AP58" s="353"/>
      <c r="AQ58" s="355"/>
      <c r="AR58" s="166">
        <f>$C58</f>
        <v>6</v>
      </c>
      <c r="AS58" s="358" t="s">
        <v>532</v>
      </c>
      <c r="AT58" s="358"/>
      <c r="AU58" s="358"/>
      <c r="AV58" s="32"/>
      <c r="AW58" s="353"/>
      <c r="AX58" s="355"/>
      <c r="AY58" s="166">
        <f>$C58</f>
        <v>6</v>
      </c>
      <c r="AZ58" s="358" t="s">
        <v>531</v>
      </c>
      <c r="BA58" s="358"/>
      <c r="BB58" s="358"/>
      <c r="BC58" s="32"/>
      <c r="BD58" s="353"/>
      <c r="BE58" s="353"/>
      <c r="BF58" s="166">
        <f>$C58</f>
        <v>6</v>
      </c>
      <c r="BG58" s="358" t="s">
        <v>531</v>
      </c>
      <c r="BH58" s="358"/>
      <c r="BI58" s="358"/>
      <c r="BJ58" s="158"/>
      <c r="BK58" s="337"/>
      <c r="BL58" s="338"/>
      <c r="BM58" s="166">
        <f>$C58</f>
        <v>6</v>
      </c>
      <c r="BN58" s="358" t="s">
        <v>531</v>
      </c>
      <c r="BO58" s="358"/>
      <c r="BP58" s="358"/>
      <c r="BQ58" s="158"/>
      <c r="BR58" s="337"/>
      <c r="BS58" s="337"/>
      <c r="BT58" s="214">
        <f>$C58</f>
        <v>6</v>
      </c>
      <c r="BU58" s="358" t="s">
        <v>538</v>
      </c>
      <c r="BV58" s="358"/>
      <c r="BW58" s="358"/>
      <c r="BX58" s="158"/>
      <c r="BY58" s="337"/>
      <c r="BZ58" s="338"/>
      <c r="CA58" s="166">
        <f>$C58</f>
        <v>6</v>
      </c>
      <c r="CB58" s="358" t="s">
        <v>532</v>
      </c>
      <c r="CC58" s="358"/>
      <c r="CD58" s="358"/>
      <c r="CE58" s="158"/>
      <c r="CF58" s="337"/>
      <c r="CG58" s="338"/>
      <c r="CH58" s="166">
        <f>$C58</f>
        <v>6</v>
      </c>
      <c r="CI58" s="358" t="s">
        <v>532</v>
      </c>
      <c r="CJ58" s="358"/>
      <c r="CK58" s="358"/>
      <c r="CL58" s="158"/>
      <c r="CM58" s="337"/>
      <c r="CN58" s="338"/>
      <c r="CO58" s="166">
        <f>$C58</f>
        <v>6</v>
      </c>
      <c r="CP58" s="358" t="s">
        <v>173</v>
      </c>
      <c r="CQ58" s="358"/>
      <c r="CR58" s="358"/>
      <c r="CS58" s="158"/>
      <c r="CT58" s="337"/>
      <c r="CU58" s="338"/>
      <c r="CV58" s="166">
        <f>$C58</f>
        <v>6</v>
      </c>
      <c r="CW58" s="358" t="s">
        <v>531</v>
      </c>
      <c r="CX58" s="358"/>
      <c r="CY58" s="358"/>
      <c r="CZ58" s="158"/>
      <c r="DA58" s="337"/>
      <c r="DB58" s="338"/>
      <c r="DC58" s="166">
        <f>$C58</f>
        <v>6</v>
      </c>
      <c r="DD58" s="358" t="s">
        <v>531</v>
      </c>
      <c r="DE58" s="358"/>
      <c r="DF58" s="358"/>
      <c r="DG58" s="158"/>
      <c r="DH58" s="337"/>
      <c r="DI58" s="338"/>
      <c r="DJ58" s="166">
        <f>$C58</f>
        <v>6</v>
      </c>
      <c r="DK58" s="358" t="s">
        <v>531</v>
      </c>
      <c r="DL58" s="358"/>
      <c r="DM58" s="358"/>
      <c r="DN58" s="158"/>
      <c r="DO58" s="337"/>
      <c r="DP58" s="338"/>
      <c r="DQ58" s="166">
        <f>$C58</f>
        <v>6</v>
      </c>
      <c r="DR58" s="358" t="s">
        <v>173</v>
      </c>
      <c r="DS58" s="358"/>
      <c r="DT58" s="358"/>
      <c r="DU58" s="158"/>
      <c r="DV58" s="337"/>
      <c r="DW58" s="338"/>
      <c r="DX58" s="166">
        <f>$C58</f>
        <v>6</v>
      </c>
      <c r="DY58" s="358" t="s">
        <v>532</v>
      </c>
      <c r="DZ58" s="358"/>
      <c r="EA58" s="358"/>
      <c r="EB58" s="158"/>
      <c r="EC58" s="337"/>
      <c r="ED58" s="338"/>
      <c r="EE58" s="166">
        <f>$C58</f>
        <v>6</v>
      </c>
      <c r="EF58" s="358" t="s">
        <v>531</v>
      </c>
      <c r="EG58" s="358"/>
      <c r="EH58" s="358"/>
      <c r="EI58" s="158"/>
      <c r="EJ58" s="337"/>
      <c r="EK58" s="351"/>
      <c r="EL58" s="193">
        <f>$C58</f>
        <v>6</v>
      </c>
      <c r="EM58" s="358" t="s">
        <v>645</v>
      </c>
      <c r="EN58" s="358"/>
      <c r="EO58" s="358"/>
      <c r="EP58" s="158"/>
      <c r="EQ58" s="337"/>
      <c r="ER58" s="351"/>
      <c r="ES58" s="193">
        <f>$C58</f>
        <v>6</v>
      </c>
      <c r="ET58" s="358" t="s">
        <v>175</v>
      </c>
      <c r="EU58" s="358"/>
      <c r="EV58" s="358"/>
      <c r="EW58" s="32"/>
      <c r="EX58" s="353"/>
      <c r="EY58" s="355"/>
      <c r="EZ58" s="166">
        <f>$C58</f>
        <v>6</v>
      </c>
      <c r="FA58" s="358" t="s">
        <v>532</v>
      </c>
      <c r="FB58" s="358"/>
      <c r="FC58" s="358"/>
      <c r="FD58" s="32"/>
      <c r="FE58" s="353"/>
      <c r="FF58" s="353"/>
      <c r="FG58" s="166">
        <f>$C58</f>
        <v>6</v>
      </c>
      <c r="FH58" s="358" t="s">
        <v>532</v>
      </c>
      <c r="FI58" s="358"/>
      <c r="FJ58" s="358"/>
      <c r="FK58" s="32"/>
      <c r="FL58" s="337"/>
      <c r="FM58" s="338"/>
      <c r="FN58" s="166">
        <f>$C58</f>
        <v>6</v>
      </c>
      <c r="FO58" s="358" t="s">
        <v>532</v>
      </c>
      <c r="FP58" s="358"/>
      <c r="FQ58" s="358"/>
      <c r="FR58" s="32"/>
      <c r="FS58" s="337"/>
      <c r="FT58" s="337"/>
      <c r="FU58" s="214">
        <f>$C58</f>
        <v>6</v>
      </c>
      <c r="FV58" s="358" t="s">
        <v>532</v>
      </c>
      <c r="FW58" s="358"/>
      <c r="FX58" s="358"/>
      <c r="FY58" s="32"/>
      <c r="FZ58" s="337"/>
      <c r="GA58" s="337"/>
      <c r="GB58" s="166">
        <f>$C58</f>
        <v>6</v>
      </c>
      <c r="GC58" s="358" t="s">
        <v>532</v>
      </c>
      <c r="GD58" s="358"/>
      <c r="GE58" s="358"/>
      <c r="GF58" s="32"/>
      <c r="GG58" s="337"/>
      <c r="GH58" s="338"/>
      <c r="GI58" s="166">
        <f>$C58</f>
        <v>6</v>
      </c>
      <c r="GJ58" s="358" t="s">
        <v>532</v>
      </c>
      <c r="GK58" s="358"/>
      <c r="GL58" s="358"/>
      <c r="GM58" s="32"/>
      <c r="GN58" s="337"/>
      <c r="GO58" s="338"/>
      <c r="GP58" s="193">
        <f>$C58</f>
        <v>6</v>
      </c>
      <c r="GQ58" s="358" t="s">
        <v>175</v>
      </c>
      <c r="GR58" s="358"/>
      <c r="GS58" s="358"/>
      <c r="GT58" s="32"/>
      <c r="GU58" s="337"/>
      <c r="GV58" s="338"/>
      <c r="GW58" s="166">
        <f>$C58</f>
        <v>6</v>
      </c>
      <c r="GX58" s="358" t="s">
        <v>175</v>
      </c>
      <c r="GY58" s="358"/>
      <c r="GZ58" s="358"/>
      <c r="HA58" s="32"/>
      <c r="HB58" s="337"/>
      <c r="HC58" s="338"/>
      <c r="HD58" s="166">
        <f>$C58</f>
        <v>6</v>
      </c>
      <c r="HE58" s="358" t="s">
        <v>532</v>
      </c>
      <c r="HF58" s="358"/>
      <c r="HG58" s="358"/>
      <c r="HH58" s="32"/>
      <c r="HI58" s="337"/>
      <c r="HJ58" s="351"/>
      <c r="HK58" s="193">
        <f>$C58</f>
        <v>6</v>
      </c>
      <c r="HL58" s="358" t="s">
        <v>645</v>
      </c>
      <c r="HM58" s="358"/>
      <c r="HN58" s="358"/>
      <c r="HO58" s="32"/>
      <c r="HP58" s="337"/>
      <c r="HQ58" s="351"/>
      <c r="HR58" s="193"/>
      <c r="HS58" s="362"/>
      <c r="HT58" s="362"/>
      <c r="HU58" s="362"/>
      <c r="HV58" s="257"/>
      <c r="HW58" s="337"/>
      <c r="HX58" s="338"/>
    </row>
    <row r="59" spans="2:232" outlineLevel="1" x14ac:dyDescent="0.25">
      <c r="B59" s="32"/>
      <c r="C59" s="167"/>
      <c r="D59" s="167"/>
      <c r="E59" s="34"/>
      <c r="F59" s="168"/>
      <c r="G59" s="167"/>
      <c r="H59" s="168"/>
      <c r="I59" s="177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V59" s="107"/>
      <c r="W59" s="108"/>
      <c r="X59" s="108"/>
      <c r="Y59" s="108"/>
      <c r="Z59" s="108"/>
      <c r="AA59" s="108"/>
      <c r="AB59" s="108"/>
      <c r="AC59" s="109"/>
      <c r="AD59" s="169"/>
      <c r="AE59" s="365"/>
      <c r="AF59" s="365"/>
      <c r="AG59" s="365"/>
      <c r="AH59" s="30"/>
      <c r="AI59" s="340"/>
      <c r="AJ59" s="340"/>
      <c r="AK59" s="215"/>
      <c r="AL59" s="339"/>
      <c r="AM59" s="339"/>
      <c r="AN59" s="339"/>
      <c r="AO59" s="30"/>
      <c r="AP59" s="340"/>
      <c r="AQ59" s="341"/>
      <c r="AR59" s="169"/>
      <c r="AS59" s="339"/>
      <c r="AT59" s="339"/>
      <c r="AU59" s="339"/>
      <c r="AV59" s="30"/>
      <c r="AW59" s="340"/>
      <c r="AX59" s="341"/>
      <c r="AY59" s="169"/>
      <c r="AZ59" s="339"/>
      <c r="BA59" s="339"/>
      <c r="BB59" s="339"/>
      <c r="BC59" s="30"/>
      <c r="BD59" s="340"/>
      <c r="BE59" s="340"/>
      <c r="BF59" s="169"/>
      <c r="BG59" s="339"/>
      <c r="BH59" s="339"/>
      <c r="BI59" s="339"/>
      <c r="BJ59" s="30"/>
      <c r="BK59" s="340"/>
      <c r="BL59" s="341"/>
      <c r="BM59" s="169"/>
      <c r="BN59" s="339"/>
      <c r="BO59" s="339"/>
      <c r="BP59" s="339"/>
      <c r="BQ59" s="30"/>
      <c r="BR59" s="340"/>
      <c r="BS59" s="340"/>
      <c r="BT59" s="215"/>
      <c r="BU59" s="339"/>
      <c r="BV59" s="339"/>
      <c r="BW59" s="339"/>
      <c r="BX59" s="30"/>
      <c r="BY59" s="340"/>
      <c r="BZ59" s="341"/>
      <c r="CA59" s="169"/>
      <c r="CB59" s="339"/>
      <c r="CC59" s="339"/>
      <c r="CD59" s="339"/>
      <c r="CE59" s="30"/>
      <c r="CF59" s="340"/>
      <c r="CG59" s="341"/>
      <c r="CH59" s="169"/>
      <c r="CI59" s="339"/>
      <c r="CJ59" s="339"/>
      <c r="CK59" s="339"/>
      <c r="CL59" s="30"/>
      <c r="CM59" s="340"/>
      <c r="CN59" s="341"/>
      <c r="CO59" s="169"/>
      <c r="CP59" s="339"/>
      <c r="CQ59" s="339"/>
      <c r="CR59" s="339"/>
      <c r="CS59" s="30"/>
      <c r="CT59" s="340"/>
      <c r="CU59" s="341"/>
      <c r="CV59" s="169"/>
      <c r="CW59" s="339"/>
      <c r="CX59" s="339"/>
      <c r="CY59" s="339"/>
      <c r="CZ59" s="30"/>
      <c r="DA59" s="340"/>
      <c r="DB59" s="341"/>
      <c r="DC59" s="192"/>
      <c r="DD59" s="339"/>
      <c r="DE59" s="339"/>
      <c r="DF59" s="339"/>
      <c r="DG59" s="30"/>
      <c r="DH59" s="340"/>
      <c r="DI59" s="341"/>
      <c r="DJ59" s="169"/>
      <c r="DK59" s="339"/>
      <c r="DL59" s="339"/>
      <c r="DM59" s="339"/>
      <c r="DN59" s="30"/>
      <c r="DO59" s="340"/>
      <c r="DP59" s="341"/>
      <c r="DQ59" s="169"/>
      <c r="DR59" s="339"/>
      <c r="DS59" s="339"/>
      <c r="DT59" s="339"/>
      <c r="DU59" s="30"/>
      <c r="DV59" s="340"/>
      <c r="DW59" s="341"/>
      <c r="DX59" s="192"/>
      <c r="DY59" s="339"/>
      <c r="DZ59" s="339"/>
      <c r="EA59" s="339"/>
      <c r="EB59" s="30"/>
      <c r="EC59" s="340"/>
      <c r="ED59" s="341"/>
      <c r="EE59" s="169"/>
      <c r="EF59" s="339"/>
      <c r="EG59" s="339"/>
      <c r="EH59" s="339"/>
      <c r="EI59" s="30"/>
      <c r="EJ59" s="340"/>
      <c r="EK59" s="360"/>
      <c r="EL59" s="192"/>
      <c r="EM59" s="339"/>
      <c r="EN59" s="339"/>
      <c r="EO59" s="339"/>
      <c r="EP59" s="30"/>
      <c r="EQ59" s="340"/>
      <c r="ER59" s="360"/>
      <c r="ES59" s="192"/>
      <c r="ET59" s="339"/>
      <c r="EU59" s="339"/>
      <c r="EV59" s="339"/>
      <c r="EW59" s="30"/>
      <c r="EX59" s="340"/>
      <c r="EY59" s="341"/>
      <c r="EZ59" s="169"/>
      <c r="FA59" s="339"/>
      <c r="FB59" s="339"/>
      <c r="FC59" s="339"/>
      <c r="FD59" s="30"/>
      <c r="FE59" s="340"/>
      <c r="FF59" s="340"/>
      <c r="FG59" s="169"/>
      <c r="FH59" s="339"/>
      <c r="FI59" s="339"/>
      <c r="FJ59" s="339"/>
      <c r="FK59" s="30"/>
      <c r="FL59" s="340"/>
      <c r="FM59" s="341"/>
      <c r="FN59" s="169"/>
      <c r="FO59" s="339"/>
      <c r="FP59" s="339"/>
      <c r="FQ59" s="339"/>
      <c r="FR59" s="30"/>
      <c r="FS59" s="340"/>
      <c r="FT59" s="340"/>
      <c r="FU59" s="215"/>
      <c r="FV59" s="339"/>
      <c r="FW59" s="339"/>
      <c r="FX59" s="339"/>
      <c r="FY59" s="30"/>
      <c r="FZ59" s="340"/>
      <c r="GA59" s="340"/>
      <c r="GB59" s="169"/>
      <c r="GC59" s="339"/>
      <c r="GD59" s="339"/>
      <c r="GE59" s="339"/>
      <c r="GF59" s="30"/>
      <c r="GG59" s="340"/>
      <c r="GH59" s="341"/>
      <c r="GI59" s="169"/>
      <c r="GJ59" s="339"/>
      <c r="GK59" s="339"/>
      <c r="GL59" s="339"/>
      <c r="GM59" s="30"/>
      <c r="GN59" s="340"/>
      <c r="GO59" s="341"/>
      <c r="GP59" s="192"/>
      <c r="GQ59" s="339"/>
      <c r="GR59" s="339"/>
      <c r="GS59" s="339"/>
      <c r="GT59" s="30"/>
      <c r="GU59" s="340"/>
      <c r="GV59" s="341"/>
      <c r="GW59" s="169"/>
      <c r="GX59" s="339"/>
      <c r="GY59" s="339"/>
      <c r="GZ59" s="339"/>
      <c r="HA59" s="30"/>
      <c r="HB59" s="340"/>
      <c r="HC59" s="341"/>
      <c r="HD59" s="169"/>
      <c r="HE59" s="339"/>
      <c r="HF59" s="339"/>
      <c r="HG59" s="339"/>
      <c r="HH59" s="30"/>
      <c r="HI59" s="340"/>
      <c r="HJ59" s="360"/>
      <c r="HK59" s="192"/>
      <c r="HL59" s="339"/>
      <c r="HM59" s="339"/>
      <c r="HN59" s="339"/>
      <c r="HO59" s="30"/>
      <c r="HP59" s="340"/>
      <c r="HQ59" s="360"/>
      <c r="HR59" s="192"/>
      <c r="HS59" s="339"/>
      <c r="HT59" s="339"/>
      <c r="HU59" s="339"/>
      <c r="HV59" s="258"/>
      <c r="HW59" s="340"/>
      <c r="HX59" s="341"/>
    </row>
    <row r="60" spans="2:232" ht="15" customHeight="1" outlineLevel="1" x14ac:dyDescent="0.25">
      <c r="B60" s="147"/>
      <c r="C60" s="147"/>
      <c r="D60" s="148"/>
      <c r="E60" s="147"/>
      <c r="F60" s="149"/>
      <c r="G60" s="148"/>
      <c r="H60" s="149"/>
      <c r="I60" s="174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V60" s="150" t="s">
        <v>170</v>
      </c>
      <c r="W60" s="151"/>
      <c r="X60" s="151"/>
      <c r="Y60" s="151"/>
      <c r="Z60" s="151"/>
      <c r="AA60" s="151"/>
      <c r="AB60" s="369"/>
      <c r="AC60" s="370"/>
      <c r="AD60" s="342" t="s">
        <v>217</v>
      </c>
      <c r="AE60" s="343"/>
      <c r="AF60" s="343"/>
      <c r="AG60" s="343"/>
      <c r="AH60" s="343"/>
      <c r="AI60" s="152"/>
      <c r="AJ60" s="194">
        <f>COUNTA(AD65:AD66)</f>
        <v>1</v>
      </c>
      <c r="AK60" s="366" t="s">
        <v>217</v>
      </c>
      <c r="AL60" s="343"/>
      <c r="AM60" s="343"/>
      <c r="AN60" s="343"/>
      <c r="AO60" s="343"/>
      <c r="AP60" s="152"/>
      <c r="AQ60" s="155">
        <f>COUNTA(AK65:AK66)</f>
        <v>1</v>
      </c>
      <c r="AR60" s="342" t="s">
        <v>217</v>
      </c>
      <c r="AS60" s="343"/>
      <c r="AT60" s="343"/>
      <c r="AU60" s="343"/>
      <c r="AV60" s="343"/>
      <c r="AW60" s="152"/>
      <c r="AX60" s="155">
        <f>COUNTA(AR65:AR66)</f>
        <v>1</v>
      </c>
      <c r="AY60" s="342" t="s">
        <v>217</v>
      </c>
      <c r="AZ60" s="343"/>
      <c r="BA60" s="343"/>
      <c r="BB60" s="343"/>
      <c r="BC60" s="343"/>
      <c r="BD60" s="152"/>
      <c r="BE60" s="194">
        <f>COUNTA(AY65:AY66)</f>
        <v>1</v>
      </c>
      <c r="BF60" s="342" t="s">
        <v>217</v>
      </c>
      <c r="BG60" s="343"/>
      <c r="BH60" s="343"/>
      <c r="BI60" s="343"/>
      <c r="BJ60" s="343"/>
      <c r="BK60" s="152"/>
      <c r="BL60" s="155">
        <f>COUNTA(BF65:BF66)</f>
        <v>1</v>
      </c>
      <c r="BM60" s="342" t="s">
        <v>217</v>
      </c>
      <c r="BN60" s="343"/>
      <c r="BO60" s="343"/>
      <c r="BP60" s="343"/>
      <c r="BQ60" s="343"/>
      <c r="BR60" s="152"/>
      <c r="BS60" s="194">
        <f>COUNTA(BM65:BM66)</f>
        <v>1</v>
      </c>
      <c r="BT60" s="366" t="s">
        <v>217</v>
      </c>
      <c r="BU60" s="343"/>
      <c r="BV60" s="343"/>
      <c r="BW60" s="343"/>
      <c r="BX60" s="343"/>
      <c r="BY60" s="152"/>
      <c r="BZ60" s="155">
        <f>COUNTA(BT65:BT66)</f>
        <v>1</v>
      </c>
      <c r="CA60" s="342" t="s">
        <v>217</v>
      </c>
      <c r="CB60" s="343"/>
      <c r="CC60" s="343"/>
      <c r="CD60" s="343"/>
      <c r="CE60" s="343"/>
      <c r="CF60" s="152"/>
      <c r="CG60" s="155">
        <f>COUNTA(CA65:CA66)</f>
        <v>1</v>
      </c>
      <c r="CH60" s="342" t="s">
        <v>217</v>
      </c>
      <c r="CI60" s="343"/>
      <c r="CJ60" s="343"/>
      <c r="CK60" s="343"/>
      <c r="CL60" s="343"/>
      <c r="CM60" s="152"/>
      <c r="CN60" s="155">
        <f>COUNTA(CH65:CH66)</f>
        <v>1</v>
      </c>
      <c r="CO60" s="342" t="s">
        <v>217</v>
      </c>
      <c r="CP60" s="343"/>
      <c r="CQ60" s="343"/>
      <c r="CR60" s="343"/>
      <c r="CS60" s="343"/>
      <c r="CT60" s="152"/>
      <c r="CU60" s="155">
        <f>COUNTA(CO65:CO66)</f>
        <v>1</v>
      </c>
      <c r="CV60" s="342" t="s">
        <v>217</v>
      </c>
      <c r="CW60" s="343"/>
      <c r="CX60" s="343"/>
      <c r="CY60" s="343"/>
      <c r="CZ60" s="343"/>
      <c r="DA60" s="152"/>
      <c r="DB60" s="155">
        <f>COUNTA(CV65:CV66)</f>
        <v>1</v>
      </c>
      <c r="DC60" s="343" t="s">
        <v>217</v>
      </c>
      <c r="DD60" s="343"/>
      <c r="DE60" s="343"/>
      <c r="DF60" s="343"/>
      <c r="DG60" s="343"/>
      <c r="DH60" s="152"/>
      <c r="DI60" s="155">
        <f>COUNTA(DC65:DC66)</f>
        <v>1</v>
      </c>
      <c r="DJ60" s="342" t="s">
        <v>217</v>
      </c>
      <c r="DK60" s="343"/>
      <c r="DL60" s="343"/>
      <c r="DM60" s="343"/>
      <c r="DN60" s="343"/>
      <c r="DO60" s="152"/>
      <c r="DP60" s="155">
        <f>COUNTA(DJ65:DJ66)</f>
        <v>1</v>
      </c>
      <c r="DQ60" s="342" t="s">
        <v>217</v>
      </c>
      <c r="DR60" s="343"/>
      <c r="DS60" s="343"/>
      <c r="DT60" s="343"/>
      <c r="DU60" s="343"/>
      <c r="DV60" s="152"/>
      <c r="DW60" s="155">
        <f>COUNTA(DQ65:DQ66)</f>
        <v>1</v>
      </c>
      <c r="DX60" s="343" t="s">
        <v>217</v>
      </c>
      <c r="DY60" s="343"/>
      <c r="DZ60" s="343"/>
      <c r="EA60" s="343"/>
      <c r="EB60" s="343"/>
      <c r="EC60" s="152"/>
      <c r="ED60" s="155">
        <f>COUNTA(DX65:DX66)</f>
        <v>1</v>
      </c>
      <c r="EE60" s="342" t="s">
        <v>217</v>
      </c>
      <c r="EF60" s="343"/>
      <c r="EG60" s="343"/>
      <c r="EH60" s="343"/>
      <c r="EI60" s="343"/>
      <c r="EJ60" s="152"/>
      <c r="EK60" s="218">
        <f>COUNTA(EE65:EE66)</f>
        <v>1</v>
      </c>
      <c r="EL60" s="343" t="s">
        <v>217</v>
      </c>
      <c r="EM60" s="343"/>
      <c r="EN60" s="343"/>
      <c r="EO60" s="343"/>
      <c r="EP60" s="343"/>
      <c r="EQ60" s="152"/>
      <c r="ER60" s="218">
        <f>COUNTA(EL65:EL66)</f>
        <v>1</v>
      </c>
      <c r="ES60" s="343" t="s">
        <v>217</v>
      </c>
      <c r="ET60" s="343"/>
      <c r="EU60" s="343"/>
      <c r="EV60" s="343"/>
      <c r="EW60" s="343"/>
      <c r="EX60" s="152"/>
      <c r="EY60" s="155">
        <f>COUNTA(ES65:ES66)</f>
        <v>1</v>
      </c>
      <c r="EZ60" s="342" t="s">
        <v>217</v>
      </c>
      <c r="FA60" s="343"/>
      <c r="FB60" s="343"/>
      <c r="FC60" s="343"/>
      <c r="FD60" s="343"/>
      <c r="FE60" s="152"/>
      <c r="FF60" s="194">
        <f>COUNTA(EZ65:EZ66)</f>
        <v>1</v>
      </c>
      <c r="FG60" s="342" t="s">
        <v>217</v>
      </c>
      <c r="FH60" s="343"/>
      <c r="FI60" s="343"/>
      <c r="FJ60" s="343"/>
      <c r="FK60" s="343"/>
      <c r="FL60" s="152"/>
      <c r="FM60" s="155">
        <f>COUNTA(FG65:FG66)</f>
        <v>1</v>
      </c>
      <c r="FN60" s="342" t="s">
        <v>217</v>
      </c>
      <c r="FO60" s="343"/>
      <c r="FP60" s="343"/>
      <c r="FQ60" s="343"/>
      <c r="FR60" s="343"/>
      <c r="FS60" s="152"/>
      <c r="FT60" s="194">
        <f>COUNTA(FN65:FN66)</f>
        <v>1</v>
      </c>
      <c r="FU60" s="366" t="s">
        <v>217</v>
      </c>
      <c r="FV60" s="343"/>
      <c r="FW60" s="343"/>
      <c r="FX60" s="343"/>
      <c r="FY60" s="343"/>
      <c r="FZ60" s="152"/>
      <c r="GA60" s="194">
        <f>COUNTA(FU65:FU66)</f>
        <v>1</v>
      </c>
      <c r="GB60" s="342" t="s">
        <v>217</v>
      </c>
      <c r="GC60" s="343"/>
      <c r="GD60" s="343"/>
      <c r="GE60" s="343"/>
      <c r="GF60" s="343"/>
      <c r="GG60" s="152"/>
      <c r="GH60" s="155">
        <f>COUNTA(GB65:GB66)</f>
        <v>1</v>
      </c>
      <c r="GI60" s="342" t="s">
        <v>217</v>
      </c>
      <c r="GJ60" s="343"/>
      <c r="GK60" s="343"/>
      <c r="GL60" s="343"/>
      <c r="GM60" s="343"/>
      <c r="GN60" s="152"/>
      <c r="GO60" s="155">
        <f>COUNTA(GI65:GI66)</f>
        <v>1</v>
      </c>
      <c r="GP60" s="343" t="s">
        <v>217</v>
      </c>
      <c r="GQ60" s="343"/>
      <c r="GR60" s="343"/>
      <c r="GS60" s="343"/>
      <c r="GT60" s="343"/>
      <c r="GU60" s="152"/>
      <c r="GV60" s="155">
        <f>COUNTA(GP65:GP66)</f>
        <v>1</v>
      </c>
      <c r="GW60" s="342" t="s">
        <v>217</v>
      </c>
      <c r="GX60" s="343"/>
      <c r="GY60" s="343"/>
      <c r="GZ60" s="343"/>
      <c r="HA60" s="343"/>
      <c r="HB60" s="152"/>
      <c r="HC60" s="155">
        <f>COUNTA(GW65:GW66)</f>
        <v>1</v>
      </c>
      <c r="HD60" s="342" t="s">
        <v>217</v>
      </c>
      <c r="HE60" s="343"/>
      <c r="HF60" s="343"/>
      <c r="HG60" s="343"/>
      <c r="HH60" s="343"/>
      <c r="HI60" s="152"/>
      <c r="HJ60" s="218">
        <f>COUNTA(HD65:HD66)</f>
        <v>1</v>
      </c>
      <c r="HK60" s="343" t="s">
        <v>217</v>
      </c>
      <c r="HL60" s="343"/>
      <c r="HM60" s="343"/>
      <c r="HN60" s="343"/>
      <c r="HO60" s="343"/>
      <c r="HP60" s="152"/>
      <c r="HQ60" s="218">
        <f>COUNTA(HK65:HK66)</f>
        <v>1</v>
      </c>
      <c r="HR60" s="152"/>
      <c r="HS60" s="152"/>
      <c r="HT60" s="153"/>
      <c r="HU60" s="152"/>
      <c r="HV60" s="255"/>
      <c r="HW60" s="152"/>
      <c r="HX60" s="155">
        <f>COUNTA(HR65:HR66)</f>
        <v>0</v>
      </c>
    </row>
    <row r="61" spans="2:232" ht="15" customHeight="1" outlineLevel="1" x14ac:dyDescent="0.25">
      <c r="B61" s="147"/>
      <c r="C61" s="147"/>
      <c r="D61" s="147"/>
      <c r="E61" s="147"/>
      <c r="F61" s="157"/>
      <c r="G61" s="147"/>
      <c r="H61" s="157"/>
      <c r="I61" s="175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V61" s="185" t="s">
        <v>224</v>
      </c>
      <c r="W61" s="186"/>
      <c r="X61" s="186"/>
      <c r="Y61" s="186"/>
      <c r="Z61" s="186"/>
      <c r="AA61" s="186"/>
      <c r="AB61" s="187"/>
      <c r="AC61" s="188"/>
      <c r="AD61" s="344" t="s">
        <v>225</v>
      </c>
      <c r="AE61" s="345"/>
      <c r="AF61" s="345"/>
      <c r="AG61" s="181" t="s">
        <v>75</v>
      </c>
      <c r="AH61" s="346" t="s">
        <v>290</v>
      </c>
      <c r="AI61" s="346"/>
      <c r="AJ61" s="346"/>
      <c r="AK61" s="363" t="s">
        <v>227</v>
      </c>
      <c r="AL61" s="345"/>
      <c r="AM61" s="345"/>
      <c r="AN61" s="181" t="s">
        <v>75</v>
      </c>
      <c r="AO61" s="346" t="s">
        <v>320</v>
      </c>
      <c r="AP61" s="346"/>
      <c r="AQ61" s="349"/>
      <c r="AR61" s="344" t="s">
        <v>227</v>
      </c>
      <c r="AS61" s="345"/>
      <c r="AT61" s="345"/>
      <c r="AU61" s="181" t="s">
        <v>75</v>
      </c>
      <c r="AV61" s="346" t="s">
        <v>320</v>
      </c>
      <c r="AW61" s="346"/>
      <c r="AX61" s="349"/>
      <c r="AY61" s="344" t="s">
        <v>227</v>
      </c>
      <c r="AZ61" s="345"/>
      <c r="BA61" s="345"/>
      <c r="BB61" s="181" t="s">
        <v>75</v>
      </c>
      <c r="BC61" s="346" t="s">
        <v>320</v>
      </c>
      <c r="BD61" s="346"/>
      <c r="BE61" s="349"/>
      <c r="BF61" s="344" t="s">
        <v>227</v>
      </c>
      <c r="BG61" s="345"/>
      <c r="BH61" s="345"/>
      <c r="BI61" s="181" t="s">
        <v>75</v>
      </c>
      <c r="BJ61" s="346" t="s">
        <v>320</v>
      </c>
      <c r="BK61" s="346"/>
      <c r="BL61" s="349"/>
      <c r="BM61" s="344" t="s">
        <v>227</v>
      </c>
      <c r="BN61" s="345"/>
      <c r="BO61" s="345"/>
      <c r="BP61" s="181" t="s">
        <v>75</v>
      </c>
      <c r="BQ61" s="346" t="s">
        <v>320</v>
      </c>
      <c r="BR61" s="346"/>
      <c r="BS61" s="349"/>
      <c r="BT61" s="363" t="s">
        <v>232</v>
      </c>
      <c r="BU61" s="345"/>
      <c r="BV61" s="345"/>
      <c r="BW61" s="181" t="s">
        <v>75</v>
      </c>
      <c r="BX61" s="346" t="s">
        <v>339</v>
      </c>
      <c r="BY61" s="346"/>
      <c r="BZ61" s="349"/>
      <c r="CA61" s="344" t="s">
        <v>232</v>
      </c>
      <c r="CB61" s="345"/>
      <c r="CC61" s="345"/>
      <c r="CD61" s="181" t="s">
        <v>75</v>
      </c>
      <c r="CE61" s="346" t="s">
        <v>339</v>
      </c>
      <c r="CF61" s="346"/>
      <c r="CG61" s="349"/>
      <c r="CH61" s="344" t="s">
        <v>232</v>
      </c>
      <c r="CI61" s="345"/>
      <c r="CJ61" s="345"/>
      <c r="CK61" s="181" t="s">
        <v>75</v>
      </c>
      <c r="CL61" s="346" t="s">
        <v>339</v>
      </c>
      <c r="CM61" s="346"/>
      <c r="CN61" s="349"/>
      <c r="CO61" s="344" t="s">
        <v>232</v>
      </c>
      <c r="CP61" s="345"/>
      <c r="CQ61" s="345"/>
      <c r="CR61" s="181" t="s">
        <v>75</v>
      </c>
      <c r="CS61" s="346" t="s">
        <v>339</v>
      </c>
      <c r="CT61" s="346"/>
      <c r="CU61" s="349"/>
      <c r="CV61" s="344" t="s">
        <v>232</v>
      </c>
      <c r="CW61" s="345"/>
      <c r="CX61" s="345"/>
      <c r="CY61" s="181" t="s">
        <v>75</v>
      </c>
      <c r="CZ61" s="346" t="s">
        <v>339</v>
      </c>
      <c r="DA61" s="346"/>
      <c r="DB61" s="349"/>
      <c r="DC61" s="344" t="s">
        <v>232</v>
      </c>
      <c r="DD61" s="345"/>
      <c r="DE61" s="345"/>
      <c r="DF61" s="181" t="s">
        <v>75</v>
      </c>
      <c r="DG61" s="346" t="s">
        <v>339</v>
      </c>
      <c r="DH61" s="346"/>
      <c r="DI61" s="349"/>
      <c r="DJ61" s="344" t="s">
        <v>232</v>
      </c>
      <c r="DK61" s="345"/>
      <c r="DL61" s="345"/>
      <c r="DM61" s="181" t="s">
        <v>75</v>
      </c>
      <c r="DN61" s="346" t="s">
        <v>339</v>
      </c>
      <c r="DO61" s="346"/>
      <c r="DP61" s="349"/>
      <c r="DQ61" s="345" t="s">
        <v>232</v>
      </c>
      <c r="DR61" s="345"/>
      <c r="DS61" s="345"/>
      <c r="DT61" s="181" t="s">
        <v>75</v>
      </c>
      <c r="DU61" s="346" t="s">
        <v>339</v>
      </c>
      <c r="DV61" s="346"/>
      <c r="DW61" s="349"/>
      <c r="DX61" s="345" t="s">
        <v>232</v>
      </c>
      <c r="DY61" s="345"/>
      <c r="DZ61" s="345"/>
      <c r="EA61" s="181" t="s">
        <v>75</v>
      </c>
      <c r="EB61" s="346" t="s">
        <v>339</v>
      </c>
      <c r="EC61" s="346"/>
      <c r="ED61" s="349"/>
      <c r="EE61" s="345" t="s">
        <v>232</v>
      </c>
      <c r="EF61" s="345"/>
      <c r="EG61" s="345"/>
      <c r="EH61" s="181" t="s">
        <v>75</v>
      </c>
      <c r="EI61" s="346" t="s">
        <v>339</v>
      </c>
      <c r="EJ61" s="346"/>
      <c r="EK61" s="347"/>
      <c r="EL61" s="345" t="s">
        <v>539</v>
      </c>
      <c r="EM61" s="345"/>
      <c r="EN61" s="345"/>
      <c r="EO61" s="181" t="s">
        <v>75</v>
      </c>
      <c r="EP61" s="346" t="s">
        <v>339</v>
      </c>
      <c r="EQ61" s="346"/>
      <c r="ER61" s="347"/>
      <c r="ES61" s="345" t="s">
        <v>243</v>
      </c>
      <c r="ET61" s="345"/>
      <c r="EU61" s="345"/>
      <c r="EV61" s="181" t="s">
        <v>75</v>
      </c>
      <c r="EW61" s="346" t="s">
        <v>367</v>
      </c>
      <c r="EX61" s="346"/>
      <c r="EY61" s="349"/>
      <c r="EZ61" s="344" t="s">
        <v>243</v>
      </c>
      <c r="FA61" s="345"/>
      <c r="FB61" s="345"/>
      <c r="FC61" s="181" t="s">
        <v>75</v>
      </c>
      <c r="FD61" s="346" t="s">
        <v>367</v>
      </c>
      <c r="FE61" s="346"/>
      <c r="FF61" s="346"/>
      <c r="FG61" s="344" t="s">
        <v>243</v>
      </c>
      <c r="FH61" s="345"/>
      <c r="FI61" s="345"/>
      <c r="FJ61" s="181" t="s">
        <v>75</v>
      </c>
      <c r="FK61" s="346" t="s">
        <v>367</v>
      </c>
      <c r="FL61" s="346"/>
      <c r="FM61" s="346"/>
      <c r="FN61" s="344" t="s">
        <v>243</v>
      </c>
      <c r="FO61" s="345"/>
      <c r="FP61" s="345"/>
      <c r="FQ61" s="181" t="s">
        <v>75</v>
      </c>
      <c r="FR61" s="346" t="s">
        <v>367</v>
      </c>
      <c r="FS61" s="346"/>
      <c r="FT61" s="346"/>
      <c r="FU61" s="363" t="s">
        <v>246</v>
      </c>
      <c r="FV61" s="345"/>
      <c r="FW61" s="345"/>
      <c r="FX61" s="181" t="s">
        <v>75</v>
      </c>
      <c r="FY61" s="346" t="s">
        <v>390</v>
      </c>
      <c r="FZ61" s="346"/>
      <c r="GA61" s="346"/>
      <c r="GB61" s="344" t="s">
        <v>246</v>
      </c>
      <c r="GC61" s="345"/>
      <c r="GD61" s="345"/>
      <c r="GE61" s="181" t="s">
        <v>75</v>
      </c>
      <c r="GF61" s="346" t="s">
        <v>390</v>
      </c>
      <c r="GG61" s="346"/>
      <c r="GH61" s="349"/>
      <c r="GI61" s="344" t="s">
        <v>246</v>
      </c>
      <c r="GJ61" s="345"/>
      <c r="GK61" s="345"/>
      <c r="GL61" s="181" t="s">
        <v>75</v>
      </c>
      <c r="GM61" s="346" t="s">
        <v>390</v>
      </c>
      <c r="GN61" s="346"/>
      <c r="GO61" s="349"/>
      <c r="GP61" s="345" t="s">
        <v>246</v>
      </c>
      <c r="GQ61" s="345"/>
      <c r="GR61" s="345"/>
      <c r="GS61" s="181" t="s">
        <v>75</v>
      </c>
      <c r="GT61" s="346" t="s">
        <v>390</v>
      </c>
      <c r="GU61" s="346"/>
      <c r="GV61" s="349"/>
      <c r="GW61" s="344" t="s">
        <v>250</v>
      </c>
      <c r="GX61" s="345"/>
      <c r="GY61" s="345"/>
      <c r="GZ61" s="181" t="s">
        <v>75</v>
      </c>
      <c r="HA61" s="346" t="s">
        <v>390</v>
      </c>
      <c r="HB61" s="346"/>
      <c r="HC61" s="349"/>
      <c r="HD61" s="344" t="s">
        <v>246</v>
      </c>
      <c r="HE61" s="345"/>
      <c r="HF61" s="345"/>
      <c r="HG61" s="181" t="s">
        <v>75</v>
      </c>
      <c r="HH61" s="346" t="s">
        <v>390</v>
      </c>
      <c r="HI61" s="346"/>
      <c r="HJ61" s="347"/>
      <c r="HK61" s="345" t="s">
        <v>541</v>
      </c>
      <c r="HL61" s="345"/>
      <c r="HM61" s="345"/>
      <c r="HN61" s="181" t="s">
        <v>75</v>
      </c>
      <c r="HO61" s="346" t="s">
        <v>390</v>
      </c>
      <c r="HP61" s="346"/>
      <c r="HQ61" s="347"/>
      <c r="HR61" s="181"/>
      <c r="HS61" s="181"/>
      <c r="HT61" s="182"/>
      <c r="HU61" s="181"/>
      <c r="HV61" s="256"/>
      <c r="HW61" s="181"/>
      <c r="HX61" s="184"/>
    </row>
    <row r="62" spans="2:232" ht="15" customHeight="1" outlineLevel="1" x14ac:dyDescent="0.25">
      <c r="B62" s="147"/>
      <c r="C62" s="147"/>
      <c r="D62" s="147"/>
      <c r="E62" s="147"/>
      <c r="F62" s="157"/>
      <c r="G62" s="147"/>
      <c r="H62" s="157"/>
      <c r="I62" s="175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V62" s="161" t="s">
        <v>199</v>
      </c>
      <c r="W62" s="12"/>
      <c r="X62" s="12"/>
      <c r="Y62" s="12"/>
      <c r="Z62" s="12"/>
      <c r="AA62" s="12"/>
      <c r="AB62" s="12"/>
      <c r="AC62" s="14"/>
      <c r="AD62" s="350" t="s">
        <v>201</v>
      </c>
      <c r="AE62" s="337"/>
      <c r="AF62" s="337"/>
      <c r="AG62" s="1" t="s">
        <v>57</v>
      </c>
      <c r="AH62" s="337" t="s">
        <v>221</v>
      </c>
      <c r="AI62" s="337"/>
      <c r="AJ62" s="337"/>
      <c r="AK62" s="364" t="s">
        <v>202</v>
      </c>
      <c r="AL62" s="337"/>
      <c r="AM62" s="337"/>
      <c r="AN62" s="1" t="s">
        <v>57</v>
      </c>
      <c r="AO62" s="337" t="s">
        <v>221</v>
      </c>
      <c r="AP62" s="337"/>
      <c r="AQ62" s="338"/>
      <c r="AR62" s="350" t="s">
        <v>221</v>
      </c>
      <c r="AS62" s="337"/>
      <c r="AT62" s="337"/>
      <c r="AU62" s="1" t="s">
        <v>57</v>
      </c>
      <c r="AV62" s="337" t="s">
        <v>228</v>
      </c>
      <c r="AW62" s="337"/>
      <c r="AX62" s="338"/>
      <c r="AY62" s="350" t="s">
        <v>228</v>
      </c>
      <c r="AZ62" s="337"/>
      <c r="BA62" s="337"/>
      <c r="BB62" s="1" t="s">
        <v>57</v>
      </c>
      <c r="BC62" s="337" t="s">
        <v>352</v>
      </c>
      <c r="BD62" s="337"/>
      <c r="BE62" s="337"/>
      <c r="BF62" s="350" t="s">
        <v>556</v>
      </c>
      <c r="BG62" s="337"/>
      <c r="BH62" s="337"/>
      <c r="BI62" s="191"/>
      <c r="BJ62" s="337"/>
      <c r="BK62" s="337"/>
      <c r="BL62" s="338"/>
      <c r="BM62" s="350" t="s">
        <v>556</v>
      </c>
      <c r="BN62" s="337"/>
      <c r="BO62" s="337"/>
      <c r="BQ62" s="337"/>
      <c r="BR62" s="337"/>
      <c r="BS62" s="337"/>
      <c r="BT62" s="364" t="s">
        <v>221</v>
      </c>
      <c r="BU62" s="337"/>
      <c r="BV62" s="337"/>
      <c r="BW62" s="1" t="s">
        <v>57</v>
      </c>
      <c r="BX62" s="337" t="s">
        <v>231</v>
      </c>
      <c r="BY62" s="337"/>
      <c r="BZ62" s="338"/>
      <c r="CA62" s="337" t="s">
        <v>231</v>
      </c>
      <c r="CB62" s="337"/>
      <c r="CC62" s="337"/>
      <c r="CD62" s="1" t="s">
        <v>57</v>
      </c>
      <c r="CE62" s="337" t="s">
        <v>221</v>
      </c>
      <c r="CF62" s="337"/>
      <c r="CG62" s="337"/>
      <c r="CH62" s="350" t="s">
        <v>221</v>
      </c>
      <c r="CI62" s="337"/>
      <c r="CJ62" s="337"/>
      <c r="CK62" s="1" t="s">
        <v>57</v>
      </c>
      <c r="CL62" s="337" t="s">
        <v>234</v>
      </c>
      <c r="CM62" s="337"/>
      <c r="CN62" s="338"/>
      <c r="CO62" s="350" t="s">
        <v>262</v>
      </c>
      <c r="CP62" s="337"/>
      <c r="CQ62" s="337"/>
      <c r="CR62" s="1" t="s">
        <v>57</v>
      </c>
      <c r="CS62" s="337" t="s">
        <v>233</v>
      </c>
      <c r="CT62" s="337"/>
      <c r="CU62" s="338"/>
      <c r="CV62" s="350" t="s">
        <v>228</v>
      </c>
      <c r="CW62" s="337"/>
      <c r="CX62" s="337"/>
      <c r="CY62" s="1" t="s">
        <v>57</v>
      </c>
      <c r="CZ62" s="337" t="s">
        <v>231</v>
      </c>
      <c r="DA62" s="337"/>
      <c r="DB62" s="338"/>
      <c r="DC62" s="350" t="s">
        <v>231</v>
      </c>
      <c r="DD62" s="337"/>
      <c r="DE62" s="337"/>
      <c r="DF62" s="1" t="s">
        <v>57</v>
      </c>
      <c r="DG62" s="337" t="s">
        <v>252</v>
      </c>
      <c r="DH62" s="337"/>
      <c r="DI62" s="338"/>
      <c r="DJ62" s="350" t="s">
        <v>252</v>
      </c>
      <c r="DK62" s="337"/>
      <c r="DL62" s="337"/>
      <c r="DM62" s="1" t="s">
        <v>57</v>
      </c>
      <c r="DN62" s="337" t="s">
        <v>234</v>
      </c>
      <c r="DO62" s="337"/>
      <c r="DP62" s="338"/>
      <c r="DQ62" s="350" t="s">
        <v>233</v>
      </c>
      <c r="DR62" s="337"/>
      <c r="DS62" s="337"/>
      <c r="DT62" s="191"/>
      <c r="DU62" s="337"/>
      <c r="DV62" s="337"/>
      <c r="DW62" s="338"/>
      <c r="DX62" s="337" t="s">
        <v>252</v>
      </c>
      <c r="DY62" s="337"/>
      <c r="DZ62" s="337"/>
      <c r="EA62" s="1" t="s">
        <v>57</v>
      </c>
      <c r="EB62" s="337" t="s">
        <v>221</v>
      </c>
      <c r="EC62" s="337"/>
      <c r="ED62" s="337"/>
      <c r="EE62" s="350" t="s">
        <v>231</v>
      </c>
      <c r="EF62" s="337"/>
      <c r="EG62" s="337"/>
      <c r="EH62" s="191"/>
      <c r="EI62" s="337"/>
      <c r="EJ62" s="337"/>
      <c r="EK62" s="351"/>
      <c r="EL62" s="337" t="s">
        <v>383</v>
      </c>
      <c r="EM62" s="337"/>
      <c r="EN62" s="337"/>
      <c r="EO62" s="191"/>
      <c r="EP62" s="337"/>
      <c r="EQ62" s="337"/>
      <c r="ER62" s="351"/>
      <c r="ES62" s="337" t="s">
        <v>384</v>
      </c>
      <c r="ET62" s="337"/>
      <c r="EU62" s="337"/>
      <c r="EV62" s="1" t="s">
        <v>57</v>
      </c>
      <c r="EW62" s="337" t="s">
        <v>228</v>
      </c>
      <c r="EX62" s="337"/>
      <c r="EY62" s="338"/>
      <c r="EZ62" s="350" t="s">
        <v>228</v>
      </c>
      <c r="FA62" s="337"/>
      <c r="FB62" s="337"/>
      <c r="FC62" s="1" t="s">
        <v>57</v>
      </c>
      <c r="FD62" s="337" t="s">
        <v>352</v>
      </c>
      <c r="FE62" s="337"/>
      <c r="FF62" s="337"/>
      <c r="FG62" s="350" t="s">
        <v>352</v>
      </c>
      <c r="FH62" s="337"/>
      <c r="FI62" s="337"/>
      <c r="FJ62" s="191"/>
      <c r="FK62" s="337"/>
      <c r="FL62" s="337"/>
      <c r="FM62" s="338"/>
      <c r="FN62" s="350" t="s">
        <v>352</v>
      </c>
      <c r="FO62" s="337"/>
      <c r="FP62" s="337"/>
      <c r="FQ62" s="191"/>
      <c r="FR62" s="337"/>
      <c r="FS62" s="337"/>
      <c r="FT62" s="338"/>
      <c r="FU62" s="364" t="s">
        <v>252</v>
      </c>
      <c r="FV62" s="337"/>
      <c r="FW62" s="337"/>
      <c r="FX62" s="1" t="s">
        <v>57</v>
      </c>
      <c r="FY62" s="337" t="s">
        <v>231</v>
      </c>
      <c r="FZ62" s="337"/>
      <c r="GA62" s="337"/>
      <c r="GB62" s="350" t="s">
        <v>231</v>
      </c>
      <c r="GC62" s="337"/>
      <c r="GD62" s="337"/>
      <c r="GE62" s="1" t="s">
        <v>57</v>
      </c>
      <c r="GF62" s="337" t="s">
        <v>252</v>
      </c>
      <c r="GG62" s="337"/>
      <c r="GH62" s="338"/>
      <c r="GI62" s="350" t="s">
        <v>252</v>
      </c>
      <c r="GJ62" s="337"/>
      <c r="GK62" s="337"/>
      <c r="GL62" s="1" t="s">
        <v>57</v>
      </c>
      <c r="GM62" s="337" t="s">
        <v>234</v>
      </c>
      <c r="GN62" s="337"/>
      <c r="GO62" s="338"/>
      <c r="GP62" s="337" t="s">
        <v>233</v>
      </c>
      <c r="GQ62" s="337"/>
      <c r="GR62" s="337"/>
      <c r="GS62" s="191"/>
      <c r="GT62" s="337"/>
      <c r="GU62" s="337"/>
      <c r="GV62" s="338"/>
      <c r="GW62" s="350" t="s">
        <v>382</v>
      </c>
      <c r="GX62" s="337"/>
      <c r="GY62" s="337"/>
      <c r="GZ62" s="1" t="s">
        <v>57</v>
      </c>
      <c r="HA62" s="337" t="s">
        <v>426</v>
      </c>
      <c r="HB62" s="337"/>
      <c r="HC62" s="338"/>
      <c r="HD62" s="350" t="s">
        <v>231</v>
      </c>
      <c r="HE62" s="337"/>
      <c r="HF62" s="337"/>
      <c r="HG62" s="191"/>
      <c r="HH62" s="337"/>
      <c r="HI62" s="337"/>
      <c r="HJ62" s="351"/>
      <c r="HK62" s="337" t="s">
        <v>383</v>
      </c>
      <c r="HL62" s="337"/>
      <c r="HM62" s="337"/>
      <c r="HO62" s="337"/>
      <c r="HP62" s="337"/>
      <c r="HQ62" s="351"/>
      <c r="HR62" s="337"/>
      <c r="HS62" s="337"/>
      <c r="HT62" s="337"/>
      <c r="HV62" s="337"/>
      <c r="HW62" s="337"/>
      <c r="HX62" s="338"/>
    </row>
    <row r="63" spans="2:232" ht="15" customHeight="1" outlineLevel="1" x14ac:dyDescent="0.25">
      <c r="B63" s="147"/>
      <c r="C63" s="147"/>
      <c r="D63" s="147"/>
      <c r="E63" s="147"/>
      <c r="F63" s="157"/>
      <c r="G63" s="147"/>
      <c r="H63" s="157"/>
      <c r="I63" s="175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V63" s="161" t="s">
        <v>200</v>
      </c>
      <c r="W63" s="12"/>
      <c r="X63" s="12"/>
      <c r="Y63" s="12"/>
      <c r="Z63" s="12"/>
      <c r="AA63" s="12"/>
      <c r="AB63" s="12"/>
      <c r="AC63" s="14"/>
      <c r="AD63" s="352" t="s">
        <v>201</v>
      </c>
      <c r="AE63" s="353"/>
      <c r="AF63" s="353"/>
      <c r="AG63" s="1" t="s">
        <v>57</v>
      </c>
      <c r="AH63" s="353" t="s">
        <v>203</v>
      </c>
      <c r="AI63" s="353"/>
      <c r="AJ63" s="353"/>
      <c r="AK63" s="367" t="s">
        <v>203</v>
      </c>
      <c r="AL63" s="353"/>
      <c r="AM63" s="353"/>
      <c r="AO63" s="353"/>
      <c r="AP63" s="353"/>
      <c r="AQ63" s="355"/>
      <c r="AR63" s="352" t="s">
        <v>203</v>
      </c>
      <c r="AS63" s="353"/>
      <c r="AT63" s="353"/>
      <c r="AV63" s="353"/>
      <c r="AW63" s="353"/>
      <c r="AX63" s="355"/>
      <c r="AY63" s="352" t="s">
        <v>203</v>
      </c>
      <c r="AZ63" s="353"/>
      <c r="BA63" s="353"/>
      <c r="BC63" s="353"/>
      <c r="BD63" s="353"/>
      <c r="BE63" s="353"/>
      <c r="BF63" s="352" t="s">
        <v>203</v>
      </c>
      <c r="BG63" s="353"/>
      <c r="BH63" s="353"/>
      <c r="BJ63" s="353"/>
      <c r="BK63" s="353"/>
      <c r="BL63" s="355"/>
      <c r="BM63" s="352" t="s">
        <v>203</v>
      </c>
      <c r="BN63" s="353"/>
      <c r="BO63" s="353"/>
      <c r="BQ63" s="353"/>
      <c r="BR63" s="353"/>
      <c r="BS63" s="353"/>
      <c r="BT63" s="367" t="s">
        <v>203</v>
      </c>
      <c r="BU63" s="353"/>
      <c r="BV63" s="353"/>
      <c r="BX63" s="353"/>
      <c r="BY63" s="353"/>
      <c r="BZ63" s="355"/>
      <c r="CA63" s="352" t="s">
        <v>203</v>
      </c>
      <c r="CB63" s="353"/>
      <c r="CC63" s="353"/>
      <c r="CE63" s="353"/>
      <c r="CF63" s="353"/>
      <c r="CG63" s="353"/>
      <c r="CH63" s="352" t="s">
        <v>203</v>
      </c>
      <c r="CI63" s="353"/>
      <c r="CJ63" s="353"/>
      <c r="CL63" s="353"/>
      <c r="CM63" s="353"/>
      <c r="CN63" s="355"/>
      <c r="CO63" s="352" t="s">
        <v>203</v>
      </c>
      <c r="CP63" s="353"/>
      <c r="CQ63" s="353"/>
      <c r="CS63" s="353"/>
      <c r="CT63" s="353"/>
      <c r="CU63" s="355"/>
      <c r="CV63" s="352" t="s">
        <v>203</v>
      </c>
      <c r="CW63" s="353"/>
      <c r="CX63" s="353"/>
      <c r="CZ63" s="353"/>
      <c r="DA63" s="353"/>
      <c r="DB63" s="353"/>
      <c r="DC63" s="352" t="s">
        <v>203</v>
      </c>
      <c r="DD63" s="353"/>
      <c r="DE63" s="353"/>
      <c r="DG63" s="353"/>
      <c r="DH63" s="353"/>
      <c r="DI63" s="355"/>
      <c r="DJ63" s="352" t="s">
        <v>203</v>
      </c>
      <c r="DK63" s="353"/>
      <c r="DL63" s="353"/>
      <c r="DN63" s="353"/>
      <c r="DO63" s="353"/>
      <c r="DP63" s="355"/>
      <c r="DQ63" s="352" t="s">
        <v>203</v>
      </c>
      <c r="DR63" s="353"/>
      <c r="DS63" s="353"/>
      <c r="DU63" s="353"/>
      <c r="DV63" s="353"/>
      <c r="DW63" s="355"/>
      <c r="DX63" s="352" t="s">
        <v>203</v>
      </c>
      <c r="DY63" s="353"/>
      <c r="DZ63" s="353"/>
      <c r="EB63" s="353"/>
      <c r="EC63" s="353"/>
      <c r="ED63" s="353"/>
      <c r="EE63" s="352" t="s">
        <v>203</v>
      </c>
      <c r="EF63" s="353"/>
      <c r="EG63" s="353"/>
      <c r="EI63" s="353"/>
      <c r="EJ63" s="353"/>
      <c r="EK63" s="354"/>
      <c r="EL63" s="353" t="s">
        <v>203</v>
      </c>
      <c r="EM63" s="353"/>
      <c r="EN63" s="353"/>
      <c r="EP63" s="353"/>
      <c r="EQ63" s="353"/>
      <c r="ER63" s="354"/>
      <c r="ES63" s="353" t="s">
        <v>203</v>
      </c>
      <c r="ET63" s="353"/>
      <c r="EU63" s="353"/>
      <c r="EW63" s="353"/>
      <c r="EX63" s="353"/>
      <c r="EY63" s="355"/>
      <c r="EZ63" s="353" t="s">
        <v>203</v>
      </c>
      <c r="FA63" s="353"/>
      <c r="FB63" s="353"/>
      <c r="FD63" s="353"/>
      <c r="FE63" s="353"/>
      <c r="FF63" s="353"/>
      <c r="FG63" s="352" t="s">
        <v>203</v>
      </c>
      <c r="FH63" s="353"/>
      <c r="FI63" s="353"/>
      <c r="FK63" s="353"/>
      <c r="FL63" s="353"/>
      <c r="FM63" s="355"/>
      <c r="FN63" s="352" t="s">
        <v>203</v>
      </c>
      <c r="FO63" s="353"/>
      <c r="FP63" s="353"/>
      <c r="FR63" s="353"/>
      <c r="FS63" s="353"/>
      <c r="FT63" s="355"/>
      <c r="FU63" s="367" t="s">
        <v>203</v>
      </c>
      <c r="FV63" s="353"/>
      <c r="FW63" s="353"/>
      <c r="FY63" s="353"/>
      <c r="FZ63" s="353"/>
      <c r="GA63" s="353"/>
      <c r="GB63" s="352" t="s">
        <v>203</v>
      </c>
      <c r="GC63" s="353"/>
      <c r="GD63" s="353"/>
      <c r="GF63" s="353"/>
      <c r="GG63" s="353"/>
      <c r="GH63" s="355"/>
      <c r="GI63" s="352" t="s">
        <v>203</v>
      </c>
      <c r="GJ63" s="353"/>
      <c r="GK63" s="353"/>
      <c r="GM63" s="353"/>
      <c r="GN63" s="353"/>
      <c r="GO63" s="355"/>
      <c r="GP63" s="353" t="s">
        <v>203</v>
      </c>
      <c r="GQ63" s="353"/>
      <c r="GR63" s="353"/>
      <c r="GT63" s="353"/>
      <c r="GU63" s="353"/>
      <c r="GV63" s="353"/>
      <c r="GW63" s="352" t="s">
        <v>203</v>
      </c>
      <c r="GX63" s="353"/>
      <c r="GY63" s="353"/>
      <c r="HA63" s="353"/>
      <c r="HB63" s="353"/>
      <c r="HC63" s="355"/>
      <c r="HD63" s="352" t="s">
        <v>203</v>
      </c>
      <c r="HE63" s="353"/>
      <c r="HF63" s="353"/>
      <c r="HH63" s="353"/>
      <c r="HI63" s="353"/>
      <c r="HJ63" s="354"/>
      <c r="HK63" s="353" t="s">
        <v>203</v>
      </c>
      <c r="HL63" s="353"/>
      <c r="HM63" s="353"/>
      <c r="HO63" s="353"/>
      <c r="HP63" s="353"/>
      <c r="HQ63" s="354"/>
      <c r="HR63" s="353"/>
      <c r="HS63" s="353"/>
      <c r="HT63" s="353"/>
      <c r="HV63" s="353"/>
      <c r="HW63" s="353"/>
      <c r="HX63" s="355"/>
    </row>
    <row r="64" spans="2:232" ht="15" customHeight="1" outlineLevel="1" x14ac:dyDescent="0.25">
      <c r="B64" s="147"/>
      <c r="C64" s="147"/>
      <c r="D64" s="147"/>
      <c r="E64" s="147"/>
      <c r="F64" s="157"/>
      <c r="G64" s="147"/>
      <c r="H64" s="157"/>
      <c r="I64" s="175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V64" s="162"/>
      <c r="W64" s="159"/>
      <c r="X64" s="159"/>
      <c r="Y64" s="159"/>
      <c r="Z64" s="159"/>
      <c r="AA64" s="159"/>
      <c r="AB64" s="159"/>
      <c r="AC64" s="160"/>
      <c r="AD64" s="361"/>
      <c r="AE64" s="356"/>
      <c r="AF64" s="356"/>
      <c r="AG64" s="163"/>
      <c r="AH64" s="356"/>
      <c r="AI64" s="356"/>
      <c r="AJ64" s="356"/>
      <c r="AK64" s="368"/>
      <c r="AL64" s="356"/>
      <c r="AM64" s="356"/>
      <c r="AN64" s="163"/>
      <c r="AO64" s="356"/>
      <c r="AP64" s="356"/>
      <c r="AQ64" s="357"/>
      <c r="AR64" s="361"/>
      <c r="AS64" s="356"/>
      <c r="AT64" s="356"/>
      <c r="AU64" s="163"/>
      <c r="AV64" s="356"/>
      <c r="AW64" s="356"/>
      <c r="AX64" s="357"/>
      <c r="AY64" s="361"/>
      <c r="AZ64" s="356"/>
      <c r="BA64" s="356"/>
      <c r="BB64" s="163"/>
      <c r="BC64" s="356"/>
      <c r="BD64" s="356"/>
      <c r="BE64" s="356"/>
      <c r="BF64" s="361"/>
      <c r="BG64" s="356"/>
      <c r="BH64" s="356"/>
      <c r="BI64" s="163"/>
      <c r="BJ64" s="356"/>
      <c r="BK64" s="356"/>
      <c r="BL64" s="357"/>
      <c r="BM64" s="361"/>
      <c r="BN64" s="356"/>
      <c r="BO64" s="356"/>
      <c r="BP64" s="163"/>
      <c r="BQ64" s="356"/>
      <c r="BR64" s="356"/>
      <c r="BS64" s="356"/>
      <c r="BT64" s="368"/>
      <c r="BU64" s="356"/>
      <c r="BV64" s="356"/>
      <c r="BW64" s="163"/>
      <c r="BX64" s="356"/>
      <c r="BY64" s="356"/>
      <c r="BZ64" s="357"/>
      <c r="CA64" s="361"/>
      <c r="CB64" s="356"/>
      <c r="CC64" s="356"/>
      <c r="CD64" s="163"/>
      <c r="CE64" s="356"/>
      <c r="CF64" s="356"/>
      <c r="CG64" s="357"/>
      <c r="CH64" s="361"/>
      <c r="CI64" s="356"/>
      <c r="CJ64" s="356"/>
      <c r="CK64" s="163"/>
      <c r="CL64" s="356"/>
      <c r="CM64" s="356"/>
      <c r="CN64" s="357"/>
      <c r="CO64" s="361"/>
      <c r="CP64" s="356"/>
      <c r="CQ64" s="356"/>
      <c r="CR64" s="163"/>
      <c r="CS64" s="356"/>
      <c r="CT64" s="356"/>
      <c r="CU64" s="357"/>
      <c r="CV64" s="361"/>
      <c r="CW64" s="356"/>
      <c r="CX64" s="356"/>
      <c r="CY64" s="163"/>
      <c r="CZ64" s="356"/>
      <c r="DA64" s="356"/>
      <c r="DB64" s="357"/>
      <c r="DC64" s="356"/>
      <c r="DD64" s="356"/>
      <c r="DE64" s="356"/>
      <c r="DF64" s="163"/>
      <c r="DG64" s="356"/>
      <c r="DH64" s="356"/>
      <c r="DI64" s="357"/>
      <c r="DJ64" s="361"/>
      <c r="DK64" s="356"/>
      <c r="DL64" s="356"/>
      <c r="DM64" s="163"/>
      <c r="DN64" s="356"/>
      <c r="DO64" s="356"/>
      <c r="DP64" s="357"/>
      <c r="DQ64" s="361"/>
      <c r="DR64" s="356"/>
      <c r="DS64" s="356"/>
      <c r="DT64" s="163"/>
      <c r="DU64" s="356"/>
      <c r="DV64" s="356"/>
      <c r="DW64" s="357"/>
      <c r="DX64" s="356"/>
      <c r="DY64" s="356"/>
      <c r="DZ64" s="356"/>
      <c r="EA64" s="163"/>
      <c r="EB64" s="356"/>
      <c r="EC64" s="356"/>
      <c r="ED64" s="357"/>
      <c r="EE64" s="361"/>
      <c r="EF64" s="356"/>
      <c r="EG64" s="356"/>
      <c r="EH64" s="163"/>
      <c r="EI64" s="356"/>
      <c r="EJ64" s="356"/>
      <c r="EK64" s="359"/>
      <c r="EL64" s="356"/>
      <c r="EM64" s="356"/>
      <c r="EN64" s="356"/>
      <c r="EO64" s="163"/>
      <c r="EP64" s="356"/>
      <c r="EQ64" s="356"/>
      <c r="ER64" s="359"/>
      <c r="ES64" s="356"/>
      <c r="ET64" s="356"/>
      <c r="EU64" s="356"/>
      <c r="EV64" s="163"/>
      <c r="EW64" s="356"/>
      <c r="EX64" s="356"/>
      <c r="EY64" s="357"/>
      <c r="EZ64" s="361"/>
      <c r="FA64" s="356"/>
      <c r="FB64" s="356"/>
      <c r="FC64" s="163"/>
      <c r="FD64" s="356"/>
      <c r="FE64" s="356"/>
      <c r="FF64" s="356"/>
      <c r="FG64" s="361"/>
      <c r="FH64" s="356"/>
      <c r="FI64" s="356"/>
      <c r="FJ64" s="163"/>
      <c r="FK64" s="356"/>
      <c r="FL64" s="356"/>
      <c r="FM64" s="357"/>
      <c r="FN64" s="361"/>
      <c r="FO64" s="356"/>
      <c r="FP64" s="356"/>
      <c r="FQ64" s="163"/>
      <c r="FR64" s="356"/>
      <c r="FS64" s="356"/>
      <c r="FT64" s="356"/>
      <c r="FU64" s="368"/>
      <c r="FV64" s="356"/>
      <c r="FW64" s="356"/>
      <c r="FX64" s="163"/>
      <c r="FY64" s="356"/>
      <c r="FZ64" s="356"/>
      <c r="GA64" s="356"/>
      <c r="GB64" s="361"/>
      <c r="GC64" s="356"/>
      <c r="GD64" s="356"/>
      <c r="GE64" s="163"/>
      <c r="GF64" s="356"/>
      <c r="GG64" s="356"/>
      <c r="GH64" s="357"/>
      <c r="GI64" s="361"/>
      <c r="GJ64" s="356"/>
      <c r="GK64" s="356"/>
      <c r="GL64" s="163"/>
      <c r="GM64" s="356"/>
      <c r="GN64" s="356"/>
      <c r="GO64" s="357"/>
      <c r="GP64" s="356"/>
      <c r="GQ64" s="356"/>
      <c r="GR64" s="356"/>
      <c r="GS64" s="163"/>
      <c r="GT64" s="356"/>
      <c r="GU64" s="356"/>
      <c r="GV64" s="357"/>
      <c r="GW64" s="361"/>
      <c r="GX64" s="356"/>
      <c r="GY64" s="356"/>
      <c r="GZ64" s="163"/>
      <c r="HA64" s="356"/>
      <c r="HB64" s="356"/>
      <c r="HC64" s="357"/>
      <c r="HD64" s="361"/>
      <c r="HE64" s="356"/>
      <c r="HF64" s="356"/>
      <c r="HG64" s="163"/>
      <c r="HH64" s="356"/>
      <c r="HI64" s="356"/>
      <c r="HJ64" s="359"/>
      <c r="HK64" s="356"/>
      <c r="HL64" s="356"/>
      <c r="HM64" s="356"/>
      <c r="HN64" s="163"/>
      <c r="HO64" s="356"/>
      <c r="HP64" s="356"/>
      <c r="HQ64" s="359"/>
      <c r="HR64" s="356"/>
      <c r="HS64" s="356"/>
      <c r="HT64" s="356"/>
      <c r="HU64" s="163"/>
      <c r="HV64" s="356"/>
      <c r="HW64" s="356"/>
      <c r="HX64" s="357"/>
    </row>
    <row r="65" spans="2:232" outlineLevel="1" x14ac:dyDescent="0.25">
      <c r="B65" s="32"/>
      <c r="C65" s="333">
        <f>MAX(C58:C59)+1</f>
        <v>7</v>
      </c>
      <c r="D65" s="164" t="s">
        <v>21</v>
      </c>
      <c r="E65" s="34"/>
      <c r="F65" s="165" t="s">
        <v>529</v>
      </c>
      <c r="G65" s="165" t="s">
        <v>529</v>
      </c>
      <c r="H65" s="165" t="s">
        <v>185</v>
      </c>
      <c r="I65" s="176" t="s">
        <v>186</v>
      </c>
      <c r="J65" s="165" t="s">
        <v>171</v>
      </c>
      <c r="K65" s="165">
        <v>2031</v>
      </c>
      <c r="L65" s="165">
        <v>1</v>
      </c>
      <c r="M65" s="165"/>
      <c r="N65" s="165"/>
      <c r="O65" s="165"/>
      <c r="P65" s="165"/>
      <c r="Q65" s="165"/>
      <c r="R65" s="165"/>
      <c r="S65" s="165"/>
      <c r="T65" s="165"/>
      <c r="V65" s="11" t="s">
        <v>283</v>
      </c>
      <c r="W65" s="12"/>
      <c r="X65" s="12"/>
      <c r="Y65" s="12"/>
      <c r="Z65" s="12"/>
      <c r="AA65" s="12"/>
      <c r="AB65" s="12"/>
      <c r="AC65" s="14"/>
      <c r="AD65" s="166">
        <f>$C65</f>
        <v>7</v>
      </c>
      <c r="AE65" s="358" t="s">
        <v>175</v>
      </c>
      <c r="AF65" s="358"/>
      <c r="AG65" s="358"/>
      <c r="AH65" s="158"/>
      <c r="AI65" s="337"/>
      <c r="AJ65" s="337"/>
      <c r="AK65" s="214">
        <f>$C65</f>
        <v>7</v>
      </c>
      <c r="AL65" s="358" t="s">
        <v>175</v>
      </c>
      <c r="AM65" s="358"/>
      <c r="AN65" s="358"/>
      <c r="AO65" s="32"/>
      <c r="AP65" s="353"/>
      <c r="AQ65" s="355"/>
      <c r="AR65" s="166">
        <f>$C65</f>
        <v>7</v>
      </c>
      <c r="AS65" s="358" t="s">
        <v>532</v>
      </c>
      <c r="AT65" s="358"/>
      <c r="AU65" s="358"/>
      <c r="AV65" s="32"/>
      <c r="AW65" s="353"/>
      <c r="AX65" s="355"/>
      <c r="AY65" s="166">
        <f>$C65</f>
        <v>7</v>
      </c>
      <c r="AZ65" s="358" t="s">
        <v>531</v>
      </c>
      <c r="BA65" s="358"/>
      <c r="BB65" s="358"/>
      <c r="BC65" s="32"/>
      <c r="BD65" s="353"/>
      <c r="BE65" s="353"/>
      <c r="BF65" s="166">
        <f>$C65</f>
        <v>7</v>
      </c>
      <c r="BG65" s="358" t="s">
        <v>531</v>
      </c>
      <c r="BH65" s="358"/>
      <c r="BI65" s="358"/>
      <c r="BJ65" s="158"/>
      <c r="BK65" s="337"/>
      <c r="BL65" s="338"/>
      <c r="BM65" s="166">
        <f>$C65</f>
        <v>7</v>
      </c>
      <c r="BN65" s="358" t="s">
        <v>531</v>
      </c>
      <c r="BO65" s="358"/>
      <c r="BP65" s="358"/>
      <c r="BQ65" s="158"/>
      <c r="BR65" s="337"/>
      <c r="BS65" s="337"/>
      <c r="BT65" s="214">
        <f>$C65</f>
        <v>7</v>
      </c>
      <c r="BU65" s="358" t="s">
        <v>538</v>
      </c>
      <c r="BV65" s="358"/>
      <c r="BW65" s="358"/>
      <c r="BX65" s="158"/>
      <c r="BY65" s="337"/>
      <c r="BZ65" s="338"/>
      <c r="CA65" s="166">
        <f>$C65</f>
        <v>7</v>
      </c>
      <c r="CB65" s="358" t="s">
        <v>532</v>
      </c>
      <c r="CC65" s="358"/>
      <c r="CD65" s="358"/>
      <c r="CE65" s="158"/>
      <c r="CF65" s="337"/>
      <c r="CG65" s="338"/>
      <c r="CH65" s="166">
        <f>$C65</f>
        <v>7</v>
      </c>
      <c r="CI65" s="358" t="s">
        <v>532</v>
      </c>
      <c r="CJ65" s="358"/>
      <c r="CK65" s="358"/>
      <c r="CL65" s="158"/>
      <c r="CM65" s="337"/>
      <c r="CN65" s="338"/>
      <c r="CO65" s="166">
        <f>$C65</f>
        <v>7</v>
      </c>
      <c r="CP65" s="358" t="s">
        <v>173</v>
      </c>
      <c r="CQ65" s="358"/>
      <c r="CR65" s="358"/>
      <c r="CS65" s="158"/>
      <c r="CT65" s="337"/>
      <c r="CU65" s="338"/>
      <c r="CV65" s="166">
        <f>$C65</f>
        <v>7</v>
      </c>
      <c r="CW65" s="358" t="s">
        <v>531</v>
      </c>
      <c r="CX65" s="358"/>
      <c r="CY65" s="358"/>
      <c r="CZ65" s="158"/>
      <c r="DA65" s="337"/>
      <c r="DB65" s="338"/>
      <c r="DC65" s="166">
        <f>$C65</f>
        <v>7</v>
      </c>
      <c r="DD65" s="358" t="s">
        <v>531</v>
      </c>
      <c r="DE65" s="358"/>
      <c r="DF65" s="358"/>
      <c r="DG65" s="158"/>
      <c r="DH65" s="337"/>
      <c r="DI65" s="338"/>
      <c r="DJ65" s="166">
        <f>$C65</f>
        <v>7</v>
      </c>
      <c r="DK65" s="358" t="s">
        <v>531</v>
      </c>
      <c r="DL65" s="358"/>
      <c r="DM65" s="358"/>
      <c r="DN65" s="158"/>
      <c r="DO65" s="337"/>
      <c r="DP65" s="338"/>
      <c r="DQ65" s="166">
        <f>$C65</f>
        <v>7</v>
      </c>
      <c r="DR65" s="358" t="s">
        <v>173</v>
      </c>
      <c r="DS65" s="358"/>
      <c r="DT65" s="358"/>
      <c r="DU65" s="158"/>
      <c r="DV65" s="337"/>
      <c r="DW65" s="338"/>
      <c r="DX65" s="166">
        <f>$C65</f>
        <v>7</v>
      </c>
      <c r="DY65" s="358" t="s">
        <v>532</v>
      </c>
      <c r="DZ65" s="358"/>
      <c r="EA65" s="358"/>
      <c r="EB65" s="158"/>
      <c r="EC65" s="337"/>
      <c r="ED65" s="338"/>
      <c r="EE65" s="166">
        <f>$C65</f>
        <v>7</v>
      </c>
      <c r="EF65" s="358" t="s">
        <v>531</v>
      </c>
      <c r="EG65" s="358"/>
      <c r="EH65" s="358"/>
      <c r="EI65" s="158"/>
      <c r="EJ65" s="337"/>
      <c r="EK65" s="351"/>
      <c r="EL65" s="193">
        <f>$C65</f>
        <v>7</v>
      </c>
      <c r="EM65" s="358" t="s">
        <v>645</v>
      </c>
      <c r="EN65" s="358"/>
      <c r="EO65" s="358"/>
      <c r="EP65" s="158"/>
      <c r="EQ65" s="337"/>
      <c r="ER65" s="351"/>
      <c r="ES65" s="193">
        <f>$C65</f>
        <v>7</v>
      </c>
      <c r="ET65" s="358" t="s">
        <v>175</v>
      </c>
      <c r="EU65" s="358"/>
      <c r="EV65" s="358"/>
      <c r="EW65" s="32"/>
      <c r="EX65" s="353"/>
      <c r="EY65" s="355"/>
      <c r="EZ65" s="166">
        <f>$C65</f>
        <v>7</v>
      </c>
      <c r="FA65" s="358" t="s">
        <v>532</v>
      </c>
      <c r="FB65" s="358"/>
      <c r="FC65" s="358"/>
      <c r="FD65" s="32"/>
      <c r="FE65" s="353"/>
      <c r="FF65" s="353"/>
      <c r="FG65" s="166">
        <f>$C65</f>
        <v>7</v>
      </c>
      <c r="FH65" s="358" t="s">
        <v>532</v>
      </c>
      <c r="FI65" s="358"/>
      <c r="FJ65" s="358"/>
      <c r="FK65" s="32"/>
      <c r="FL65" s="337"/>
      <c r="FM65" s="338"/>
      <c r="FN65" s="166">
        <f>$C65</f>
        <v>7</v>
      </c>
      <c r="FO65" s="358" t="s">
        <v>532</v>
      </c>
      <c r="FP65" s="358"/>
      <c r="FQ65" s="358"/>
      <c r="FR65" s="32"/>
      <c r="FS65" s="337"/>
      <c r="FT65" s="337"/>
      <c r="FU65" s="214">
        <f>$C65</f>
        <v>7</v>
      </c>
      <c r="FV65" s="358" t="s">
        <v>532</v>
      </c>
      <c r="FW65" s="358"/>
      <c r="FX65" s="358"/>
      <c r="FY65" s="32"/>
      <c r="FZ65" s="337"/>
      <c r="GA65" s="337"/>
      <c r="GB65" s="166">
        <f>$C65</f>
        <v>7</v>
      </c>
      <c r="GC65" s="358" t="s">
        <v>532</v>
      </c>
      <c r="GD65" s="358"/>
      <c r="GE65" s="358"/>
      <c r="GF65" s="32"/>
      <c r="GG65" s="337"/>
      <c r="GH65" s="338"/>
      <c r="GI65" s="166">
        <f>$C65</f>
        <v>7</v>
      </c>
      <c r="GJ65" s="358" t="s">
        <v>532</v>
      </c>
      <c r="GK65" s="358"/>
      <c r="GL65" s="358"/>
      <c r="GM65" s="32"/>
      <c r="GN65" s="337"/>
      <c r="GO65" s="338"/>
      <c r="GP65" s="193">
        <f>$C65</f>
        <v>7</v>
      </c>
      <c r="GQ65" s="358" t="s">
        <v>175</v>
      </c>
      <c r="GR65" s="358"/>
      <c r="GS65" s="358"/>
      <c r="GT65" s="32"/>
      <c r="GU65" s="337"/>
      <c r="GV65" s="338"/>
      <c r="GW65" s="166">
        <f>$C65</f>
        <v>7</v>
      </c>
      <c r="GX65" s="358" t="s">
        <v>175</v>
      </c>
      <c r="GY65" s="358"/>
      <c r="GZ65" s="358"/>
      <c r="HA65" s="32"/>
      <c r="HB65" s="337"/>
      <c r="HC65" s="338"/>
      <c r="HD65" s="166">
        <f>$C65</f>
        <v>7</v>
      </c>
      <c r="HE65" s="358" t="s">
        <v>532</v>
      </c>
      <c r="HF65" s="358"/>
      <c r="HG65" s="358"/>
      <c r="HH65" s="32"/>
      <c r="HI65" s="337"/>
      <c r="HJ65" s="351"/>
      <c r="HK65" s="193">
        <f>$C65</f>
        <v>7</v>
      </c>
      <c r="HL65" s="358" t="s">
        <v>645</v>
      </c>
      <c r="HM65" s="358"/>
      <c r="HN65" s="358"/>
      <c r="HO65" s="32"/>
      <c r="HP65" s="337"/>
      <c r="HQ65" s="351"/>
      <c r="HR65" s="193"/>
      <c r="HS65" s="362"/>
      <c r="HT65" s="362"/>
      <c r="HU65" s="362"/>
      <c r="HV65" s="257"/>
      <c r="HW65" s="337"/>
      <c r="HX65" s="338"/>
    </row>
    <row r="66" spans="2:232" outlineLevel="1" x14ac:dyDescent="0.25">
      <c r="B66" s="32"/>
      <c r="C66" s="167"/>
      <c r="D66" s="167"/>
      <c r="E66" s="34"/>
      <c r="F66" s="168"/>
      <c r="G66" s="167"/>
      <c r="H66" s="168"/>
      <c r="I66" s="177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V66" s="107"/>
      <c r="W66" s="108"/>
      <c r="X66" s="108"/>
      <c r="Y66" s="108"/>
      <c r="Z66" s="108"/>
      <c r="AA66" s="108"/>
      <c r="AB66" s="108"/>
      <c r="AC66" s="109"/>
      <c r="AD66" s="169"/>
      <c r="AE66" s="365"/>
      <c r="AF66" s="365"/>
      <c r="AG66" s="365"/>
      <c r="AH66" s="30"/>
      <c r="AI66" s="340"/>
      <c r="AJ66" s="340"/>
      <c r="AK66" s="215"/>
      <c r="AL66" s="339"/>
      <c r="AM66" s="339"/>
      <c r="AN66" s="339"/>
      <c r="AO66" s="30"/>
      <c r="AP66" s="340"/>
      <c r="AQ66" s="341"/>
      <c r="AR66" s="169"/>
      <c r="AS66" s="339"/>
      <c r="AT66" s="339"/>
      <c r="AU66" s="339"/>
      <c r="AV66" s="30"/>
      <c r="AW66" s="340"/>
      <c r="AX66" s="341"/>
      <c r="AY66" s="169"/>
      <c r="AZ66" s="339"/>
      <c r="BA66" s="339"/>
      <c r="BB66" s="339"/>
      <c r="BC66" s="30"/>
      <c r="BD66" s="340"/>
      <c r="BE66" s="340"/>
      <c r="BF66" s="169"/>
      <c r="BG66" s="339"/>
      <c r="BH66" s="339"/>
      <c r="BI66" s="339"/>
      <c r="BJ66" s="30"/>
      <c r="BK66" s="340"/>
      <c r="BL66" s="341"/>
      <c r="BM66" s="169"/>
      <c r="BN66" s="339"/>
      <c r="BO66" s="339"/>
      <c r="BP66" s="339"/>
      <c r="BQ66" s="30"/>
      <c r="BR66" s="340"/>
      <c r="BS66" s="340"/>
      <c r="BT66" s="215"/>
      <c r="BU66" s="339"/>
      <c r="BV66" s="339"/>
      <c r="BW66" s="339"/>
      <c r="BX66" s="30"/>
      <c r="BY66" s="340"/>
      <c r="BZ66" s="341"/>
      <c r="CA66" s="169"/>
      <c r="CB66" s="339"/>
      <c r="CC66" s="339"/>
      <c r="CD66" s="339"/>
      <c r="CE66" s="30"/>
      <c r="CF66" s="340"/>
      <c r="CG66" s="341"/>
      <c r="CH66" s="169"/>
      <c r="CI66" s="339"/>
      <c r="CJ66" s="339"/>
      <c r="CK66" s="339"/>
      <c r="CL66" s="30"/>
      <c r="CM66" s="340"/>
      <c r="CN66" s="341"/>
      <c r="CO66" s="169"/>
      <c r="CP66" s="339"/>
      <c r="CQ66" s="339"/>
      <c r="CR66" s="339"/>
      <c r="CS66" s="30"/>
      <c r="CT66" s="340"/>
      <c r="CU66" s="341"/>
      <c r="CV66" s="169"/>
      <c r="CW66" s="339"/>
      <c r="CX66" s="339"/>
      <c r="CY66" s="339"/>
      <c r="CZ66" s="30"/>
      <c r="DA66" s="340"/>
      <c r="DB66" s="341"/>
      <c r="DC66" s="192"/>
      <c r="DD66" s="339"/>
      <c r="DE66" s="339"/>
      <c r="DF66" s="339"/>
      <c r="DG66" s="30"/>
      <c r="DH66" s="340"/>
      <c r="DI66" s="341"/>
      <c r="DJ66" s="169"/>
      <c r="DK66" s="339"/>
      <c r="DL66" s="339"/>
      <c r="DM66" s="339"/>
      <c r="DN66" s="30"/>
      <c r="DO66" s="340"/>
      <c r="DP66" s="341"/>
      <c r="DQ66" s="169"/>
      <c r="DR66" s="339"/>
      <c r="DS66" s="339"/>
      <c r="DT66" s="339"/>
      <c r="DU66" s="30"/>
      <c r="DV66" s="340"/>
      <c r="DW66" s="341"/>
      <c r="DX66" s="192"/>
      <c r="DY66" s="339"/>
      <c r="DZ66" s="339"/>
      <c r="EA66" s="339"/>
      <c r="EB66" s="30"/>
      <c r="EC66" s="340"/>
      <c r="ED66" s="341"/>
      <c r="EE66" s="169"/>
      <c r="EF66" s="339"/>
      <c r="EG66" s="339"/>
      <c r="EH66" s="339"/>
      <c r="EI66" s="30"/>
      <c r="EJ66" s="340"/>
      <c r="EK66" s="360"/>
      <c r="EL66" s="192"/>
      <c r="EM66" s="339"/>
      <c r="EN66" s="339"/>
      <c r="EO66" s="339"/>
      <c r="EP66" s="30"/>
      <c r="EQ66" s="340"/>
      <c r="ER66" s="360"/>
      <c r="ES66" s="192"/>
      <c r="ET66" s="339"/>
      <c r="EU66" s="339"/>
      <c r="EV66" s="339"/>
      <c r="EW66" s="30"/>
      <c r="EX66" s="340"/>
      <c r="EY66" s="341"/>
      <c r="EZ66" s="169"/>
      <c r="FA66" s="339"/>
      <c r="FB66" s="339"/>
      <c r="FC66" s="339"/>
      <c r="FD66" s="30"/>
      <c r="FE66" s="340"/>
      <c r="FF66" s="340"/>
      <c r="FG66" s="169"/>
      <c r="FH66" s="339"/>
      <c r="FI66" s="339"/>
      <c r="FJ66" s="339"/>
      <c r="FK66" s="30"/>
      <c r="FL66" s="340"/>
      <c r="FM66" s="341"/>
      <c r="FN66" s="169"/>
      <c r="FO66" s="339"/>
      <c r="FP66" s="339"/>
      <c r="FQ66" s="339"/>
      <c r="FR66" s="30"/>
      <c r="FS66" s="340"/>
      <c r="FT66" s="340"/>
      <c r="FU66" s="215"/>
      <c r="FV66" s="339"/>
      <c r="FW66" s="339"/>
      <c r="FX66" s="339"/>
      <c r="FY66" s="30"/>
      <c r="FZ66" s="340"/>
      <c r="GA66" s="340"/>
      <c r="GB66" s="169"/>
      <c r="GC66" s="339"/>
      <c r="GD66" s="339"/>
      <c r="GE66" s="339"/>
      <c r="GF66" s="30"/>
      <c r="GG66" s="340"/>
      <c r="GH66" s="341"/>
      <c r="GI66" s="169"/>
      <c r="GJ66" s="339"/>
      <c r="GK66" s="339"/>
      <c r="GL66" s="339"/>
      <c r="GM66" s="30"/>
      <c r="GN66" s="340"/>
      <c r="GO66" s="341"/>
      <c r="GP66" s="192"/>
      <c r="GQ66" s="339"/>
      <c r="GR66" s="339"/>
      <c r="GS66" s="339"/>
      <c r="GT66" s="30"/>
      <c r="GU66" s="340"/>
      <c r="GV66" s="341"/>
      <c r="GW66" s="169"/>
      <c r="GX66" s="339"/>
      <c r="GY66" s="339"/>
      <c r="GZ66" s="339"/>
      <c r="HA66" s="30"/>
      <c r="HB66" s="340"/>
      <c r="HC66" s="341"/>
      <c r="HD66" s="169"/>
      <c r="HE66" s="339"/>
      <c r="HF66" s="339"/>
      <c r="HG66" s="339"/>
      <c r="HH66" s="30"/>
      <c r="HI66" s="340"/>
      <c r="HJ66" s="360"/>
      <c r="HK66" s="192"/>
      <c r="HL66" s="339"/>
      <c r="HM66" s="339"/>
      <c r="HN66" s="339"/>
      <c r="HO66" s="30"/>
      <c r="HP66" s="340"/>
      <c r="HQ66" s="360"/>
      <c r="HR66" s="192"/>
      <c r="HS66" s="339"/>
      <c r="HT66" s="339"/>
      <c r="HU66" s="339"/>
      <c r="HV66" s="258"/>
      <c r="HW66" s="340"/>
      <c r="HX66" s="341"/>
    </row>
    <row r="67" spans="2:232" ht="15" customHeight="1" outlineLevel="1" x14ac:dyDescent="0.25">
      <c r="B67" s="147"/>
      <c r="C67" s="147"/>
      <c r="D67" s="148"/>
      <c r="E67" s="147"/>
      <c r="F67" s="149"/>
      <c r="G67" s="148"/>
      <c r="H67" s="149"/>
      <c r="I67" s="174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V67" s="150" t="s">
        <v>170</v>
      </c>
      <c r="W67" s="151"/>
      <c r="X67" s="151"/>
      <c r="Y67" s="151"/>
      <c r="Z67" s="151"/>
      <c r="AA67" s="151"/>
      <c r="AB67" s="369"/>
      <c r="AC67" s="370"/>
      <c r="AD67" s="342" t="s">
        <v>217</v>
      </c>
      <c r="AE67" s="343"/>
      <c r="AF67" s="343"/>
      <c r="AG67" s="343"/>
      <c r="AH67" s="343"/>
      <c r="AI67" s="152"/>
      <c r="AJ67" s="194">
        <f>COUNTA(AD72:AD73)</f>
        <v>1</v>
      </c>
      <c r="AK67" s="366" t="s">
        <v>217</v>
      </c>
      <c r="AL67" s="343"/>
      <c r="AM67" s="343"/>
      <c r="AN67" s="343"/>
      <c r="AO67" s="343"/>
      <c r="AP67" s="152"/>
      <c r="AQ67" s="155">
        <f>COUNTA(AK72:AK73)</f>
        <v>1</v>
      </c>
      <c r="AR67" s="342" t="s">
        <v>217</v>
      </c>
      <c r="AS67" s="343"/>
      <c r="AT67" s="343"/>
      <c r="AU67" s="343"/>
      <c r="AV67" s="343"/>
      <c r="AW67" s="152"/>
      <c r="AX67" s="155">
        <f>COUNTA(AR72:AR73)</f>
        <v>1</v>
      </c>
      <c r="AY67" s="342" t="s">
        <v>217</v>
      </c>
      <c r="AZ67" s="343"/>
      <c r="BA67" s="343"/>
      <c r="BB67" s="343"/>
      <c r="BC67" s="343"/>
      <c r="BD67" s="152"/>
      <c r="BE67" s="194">
        <f>COUNTA(AY72:AY73)</f>
        <v>1</v>
      </c>
      <c r="BF67" s="342" t="s">
        <v>217</v>
      </c>
      <c r="BG67" s="343"/>
      <c r="BH67" s="343"/>
      <c r="BI67" s="343"/>
      <c r="BJ67" s="343"/>
      <c r="BK67" s="152"/>
      <c r="BL67" s="155">
        <f>COUNTA(BF72:BF73)</f>
        <v>1</v>
      </c>
      <c r="BM67" s="156"/>
      <c r="BN67" s="152"/>
      <c r="BO67" s="153"/>
      <c r="BP67" s="152"/>
      <c r="BQ67" s="154"/>
      <c r="BR67" s="152"/>
      <c r="BS67" s="194">
        <f>COUNTA(BM72:BM73)</f>
        <v>1</v>
      </c>
      <c r="BT67" s="366" t="s">
        <v>217</v>
      </c>
      <c r="BU67" s="343"/>
      <c r="BV67" s="343"/>
      <c r="BW67" s="343"/>
      <c r="BX67" s="343"/>
      <c r="BY67" s="152"/>
      <c r="BZ67" s="155">
        <f>COUNTA(BT72:BT73)</f>
        <v>1</v>
      </c>
      <c r="CA67" s="342" t="s">
        <v>217</v>
      </c>
      <c r="CB67" s="343"/>
      <c r="CC67" s="343"/>
      <c r="CD67" s="343"/>
      <c r="CE67" s="343"/>
      <c r="CF67" s="152"/>
      <c r="CG67" s="155">
        <f>COUNTA(CA72:CA73)</f>
        <v>1</v>
      </c>
      <c r="CH67" s="342" t="s">
        <v>217</v>
      </c>
      <c r="CI67" s="343"/>
      <c r="CJ67" s="343"/>
      <c r="CK67" s="343"/>
      <c r="CL67" s="343"/>
      <c r="CM67" s="152"/>
      <c r="CN67" s="155">
        <f>COUNTA(CH72:CH73)</f>
        <v>1</v>
      </c>
      <c r="CO67" s="342" t="s">
        <v>217</v>
      </c>
      <c r="CP67" s="343"/>
      <c r="CQ67" s="343"/>
      <c r="CR67" s="343"/>
      <c r="CS67" s="343"/>
      <c r="CT67" s="152"/>
      <c r="CU67" s="155">
        <f>COUNTA(CO72:CO73)</f>
        <v>1</v>
      </c>
      <c r="CV67" s="342" t="s">
        <v>217</v>
      </c>
      <c r="CW67" s="343"/>
      <c r="CX67" s="343"/>
      <c r="CY67" s="343"/>
      <c r="CZ67" s="343"/>
      <c r="DA67" s="152"/>
      <c r="DB67" s="155">
        <f>COUNTA(CV72:CV73)</f>
        <v>1</v>
      </c>
      <c r="DC67" s="343" t="s">
        <v>217</v>
      </c>
      <c r="DD67" s="343"/>
      <c r="DE67" s="343"/>
      <c r="DF67" s="343"/>
      <c r="DG67" s="343"/>
      <c r="DH67" s="152"/>
      <c r="DI67" s="155">
        <f>COUNTA(DC72:DC73)</f>
        <v>1</v>
      </c>
      <c r="DJ67" s="342" t="s">
        <v>217</v>
      </c>
      <c r="DK67" s="343"/>
      <c r="DL67" s="343"/>
      <c r="DM67" s="343"/>
      <c r="DN67" s="343"/>
      <c r="DO67" s="152"/>
      <c r="DP67" s="155">
        <f>COUNTA(DJ72:DJ73)</f>
        <v>1</v>
      </c>
      <c r="DQ67" s="342" t="s">
        <v>217</v>
      </c>
      <c r="DR67" s="343"/>
      <c r="DS67" s="343"/>
      <c r="DT67" s="343"/>
      <c r="DU67" s="343"/>
      <c r="DV67" s="152"/>
      <c r="DW67" s="155">
        <f>COUNTA(DQ72:DQ73)</f>
        <v>1</v>
      </c>
      <c r="DX67" s="343" t="s">
        <v>217</v>
      </c>
      <c r="DY67" s="343"/>
      <c r="DZ67" s="343"/>
      <c r="EA67" s="343"/>
      <c r="EB67" s="343"/>
      <c r="EC67" s="152"/>
      <c r="ED67" s="155">
        <f>COUNTA(DX72:DX73)</f>
        <v>1</v>
      </c>
      <c r="EE67" s="342" t="s">
        <v>217</v>
      </c>
      <c r="EF67" s="343"/>
      <c r="EG67" s="343"/>
      <c r="EH67" s="343"/>
      <c r="EI67" s="343"/>
      <c r="EJ67" s="152"/>
      <c r="EK67" s="218">
        <f>COUNTA(EE72:EE73)</f>
        <v>1</v>
      </c>
      <c r="EL67" s="343" t="s">
        <v>217</v>
      </c>
      <c r="EM67" s="343"/>
      <c r="EN67" s="343"/>
      <c r="EO67" s="343"/>
      <c r="EP67" s="343"/>
      <c r="EQ67" s="152"/>
      <c r="ER67" s="218">
        <f>COUNTA(EL72:EL73)</f>
        <v>1</v>
      </c>
      <c r="ES67" s="343" t="s">
        <v>217</v>
      </c>
      <c r="ET67" s="343"/>
      <c r="EU67" s="343"/>
      <c r="EV67" s="343"/>
      <c r="EW67" s="343"/>
      <c r="EX67" s="152"/>
      <c r="EY67" s="155">
        <f>COUNTA(ES72:ES73)</f>
        <v>1</v>
      </c>
      <c r="EZ67" s="342" t="s">
        <v>217</v>
      </c>
      <c r="FA67" s="343"/>
      <c r="FB67" s="343"/>
      <c r="FC67" s="343"/>
      <c r="FD67" s="343"/>
      <c r="FE67" s="152"/>
      <c r="FF67" s="194">
        <f>COUNTA(EZ72:EZ73)</f>
        <v>1</v>
      </c>
      <c r="FG67" s="342" t="s">
        <v>217</v>
      </c>
      <c r="FH67" s="343"/>
      <c r="FI67" s="343"/>
      <c r="FJ67" s="343"/>
      <c r="FK67" s="343"/>
      <c r="FL67" s="152"/>
      <c r="FM67" s="155">
        <f>COUNTA(FG72:FG73)</f>
        <v>1</v>
      </c>
      <c r="FN67" s="156"/>
      <c r="FO67" s="152"/>
      <c r="FP67" s="153"/>
      <c r="FQ67" s="152"/>
      <c r="FR67" s="154"/>
      <c r="FS67" s="152"/>
      <c r="FT67" s="194">
        <f>COUNTA(FN72:FN73)</f>
        <v>1</v>
      </c>
      <c r="FU67" s="366" t="s">
        <v>217</v>
      </c>
      <c r="FV67" s="343"/>
      <c r="FW67" s="343"/>
      <c r="FX67" s="343"/>
      <c r="FY67" s="343"/>
      <c r="FZ67" s="152"/>
      <c r="GA67" s="194">
        <f>COUNTA(FU72:FU73)</f>
        <v>1</v>
      </c>
      <c r="GB67" s="342" t="s">
        <v>217</v>
      </c>
      <c r="GC67" s="343"/>
      <c r="GD67" s="343"/>
      <c r="GE67" s="343"/>
      <c r="GF67" s="343"/>
      <c r="GG67" s="152"/>
      <c r="GH67" s="155">
        <f>COUNTA(GB72:GB73)</f>
        <v>1</v>
      </c>
      <c r="GI67" s="342" t="s">
        <v>217</v>
      </c>
      <c r="GJ67" s="343"/>
      <c r="GK67" s="343"/>
      <c r="GL67" s="343"/>
      <c r="GM67" s="343"/>
      <c r="GN67" s="152"/>
      <c r="GO67" s="155">
        <f>COUNTA(GI72:GI73)</f>
        <v>1</v>
      </c>
      <c r="GP67" s="343" t="s">
        <v>217</v>
      </c>
      <c r="GQ67" s="343"/>
      <c r="GR67" s="343"/>
      <c r="GS67" s="343"/>
      <c r="GT67" s="343"/>
      <c r="GU67" s="152"/>
      <c r="GV67" s="155">
        <f>COUNTA(GP72:GP73)</f>
        <v>1</v>
      </c>
      <c r="GW67" s="342" t="s">
        <v>217</v>
      </c>
      <c r="GX67" s="343"/>
      <c r="GY67" s="343"/>
      <c r="GZ67" s="343"/>
      <c r="HA67" s="343"/>
      <c r="HB67" s="152"/>
      <c r="HC67" s="155">
        <f>COUNTA(GW72:GW73)</f>
        <v>1</v>
      </c>
      <c r="HD67" s="342" t="s">
        <v>217</v>
      </c>
      <c r="HE67" s="343"/>
      <c r="HF67" s="343"/>
      <c r="HG67" s="343"/>
      <c r="HH67" s="343"/>
      <c r="HI67" s="152"/>
      <c r="HJ67" s="218">
        <f>COUNTA(HD72:HD73)</f>
        <v>1</v>
      </c>
      <c r="HK67" s="343" t="s">
        <v>217</v>
      </c>
      <c r="HL67" s="343"/>
      <c r="HM67" s="343"/>
      <c r="HN67" s="343"/>
      <c r="HO67" s="343"/>
      <c r="HP67" s="152"/>
      <c r="HQ67" s="218">
        <f>COUNTA(HK72:HK73)</f>
        <v>1</v>
      </c>
      <c r="HR67" s="152"/>
      <c r="HS67" s="152"/>
      <c r="HT67" s="153"/>
      <c r="HU67" s="152"/>
      <c r="HV67" s="255"/>
      <c r="HW67" s="152"/>
      <c r="HX67" s="155">
        <f>COUNTA(HR72:HR73)</f>
        <v>0</v>
      </c>
    </row>
    <row r="68" spans="2:232" ht="15" customHeight="1" outlineLevel="1" x14ac:dyDescent="0.25">
      <c r="B68" s="147"/>
      <c r="C68" s="147"/>
      <c r="D68" s="147"/>
      <c r="E68" s="147"/>
      <c r="F68" s="157"/>
      <c r="G68" s="147"/>
      <c r="H68" s="157"/>
      <c r="I68" s="175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V68" s="185" t="s">
        <v>224</v>
      </c>
      <c r="W68" s="186"/>
      <c r="X68" s="186"/>
      <c r="Y68" s="186"/>
      <c r="Z68" s="186"/>
      <c r="AA68" s="186"/>
      <c r="AB68" s="187"/>
      <c r="AC68" s="188"/>
      <c r="AD68" s="344" t="s">
        <v>225</v>
      </c>
      <c r="AE68" s="345"/>
      <c r="AF68" s="345"/>
      <c r="AG68" s="181" t="s">
        <v>75</v>
      </c>
      <c r="AH68" s="346" t="s">
        <v>291</v>
      </c>
      <c r="AI68" s="346"/>
      <c r="AJ68" s="346"/>
      <c r="AK68" s="363" t="s">
        <v>227</v>
      </c>
      <c r="AL68" s="345"/>
      <c r="AM68" s="345"/>
      <c r="AN68" s="181" t="s">
        <v>75</v>
      </c>
      <c r="AO68" s="346" t="s">
        <v>321</v>
      </c>
      <c r="AP68" s="346"/>
      <c r="AQ68" s="349"/>
      <c r="AR68" s="344" t="s">
        <v>227</v>
      </c>
      <c r="AS68" s="345"/>
      <c r="AT68" s="345"/>
      <c r="AU68" s="181" t="s">
        <v>75</v>
      </c>
      <c r="AV68" s="346" t="s">
        <v>321</v>
      </c>
      <c r="AW68" s="346"/>
      <c r="AX68" s="349"/>
      <c r="AY68" s="344" t="s">
        <v>227</v>
      </c>
      <c r="AZ68" s="345"/>
      <c r="BA68" s="345"/>
      <c r="BB68" s="181" t="s">
        <v>75</v>
      </c>
      <c r="BC68" s="346" t="s">
        <v>321</v>
      </c>
      <c r="BD68" s="346"/>
      <c r="BE68" s="349"/>
      <c r="BF68" s="344" t="s">
        <v>227</v>
      </c>
      <c r="BG68" s="345"/>
      <c r="BH68" s="345"/>
      <c r="BI68" s="181" t="s">
        <v>75</v>
      </c>
      <c r="BJ68" s="346" t="s">
        <v>321</v>
      </c>
      <c r="BK68" s="346"/>
      <c r="BL68" s="349"/>
      <c r="BM68" s="180"/>
      <c r="BN68" s="181"/>
      <c r="BO68" s="182"/>
      <c r="BP68" s="181"/>
      <c r="BQ68" s="183"/>
      <c r="BR68" s="181"/>
      <c r="BS68" s="210"/>
      <c r="BT68" s="363" t="s">
        <v>232</v>
      </c>
      <c r="BU68" s="345"/>
      <c r="BV68" s="345"/>
      <c r="BW68" s="181" t="s">
        <v>75</v>
      </c>
      <c r="BX68" s="346" t="s">
        <v>340</v>
      </c>
      <c r="BY68" s="346"/>
      <c r="BZ68" s="349"/>
      <c r="CA68" s="344" t="s">
        <v>232</v>
      </c>
      <c r="CB68" s="345"/>
      <c r="CC68" s="345"/>
      <c r="CD68" s="181" t="s">
        <v>75</v>
      </c>
      <c r="CE68" s="346" t="s">
        <v>340</v>
      </c>
      <c r="CF68" s="346"/>
      <c r="CG68" s="349"/>
      <c r="CH68" s="344" t="s">
        <v>232</v>
      </c>
      <c r="CI68" s="345"/>
      <c r="CJ68" s="345"/>
      <c r="CK68" s="181" t="s">
        <v>75</v>
      </c>
      <c r="CL68" s="346" t="s">
        <v>340</v>
      </c>
      <c r="CM68" s="346"/>
      <c r="CN68" s="349"/>
      <c r="CO68" s="344" t="s">
        <v>232</v>
      </c>
      <c r="CP68" s="345"/>
      <c r="CQ68" s="345"/>
      <c r="CR68" s="181" t="s">
        <v>75</v>
      </c>
      <c r="CS68" s="346" t="s">
        <v>340</v>
      </c>
      <c r="CT68" s="346"/>
      <c r="CU68" s="349"/>
      <c r="CV68" s="344" t="s">
        <v>232</v>
      </c>
      <c r="CW68" s="345"/>
      <c r="CX68" s="345"/>
      <c r="CY68" s="181" t="s">
        <v>75</v>
      </c>
      <c r="CZ68" s="346" t="s">
        <v>340</v>
      </c>
      <c r="DA68" s="346"/>
      <c r="DB68" s="349"/>
      <c r="DC68" s="344" t="s">
        <v>232</v>
      </c>
      <c r="DD68" s="345"/>
      <c r="DE68" s="345"/>
      <c r="DF68" s="181" t="s">
        <v>75</v>
      </c>
      <c r="DG68" s="346" t="s">
        <v>340</v>
      </c>
      <c r="DH68" s="346"/>
      <c r="DI68" s="349"/>
      <c r="DJ68" s="344" t="s">
        <v>232</v>
      </c>
      <c r="DK68" s="345"/>
      <c r="DL68" s="345"/>
      <c r="DM68" s="181" t="s">
        <v>75</v>
      </c>
      <c r="DN68" s="346" t="s">
        <v>340</v>
      </c>
      <c r="DO68" s="346"/>
      <c r="DP68" s="349"/>
      <c r="DQ68" s="345" t="s">
        <v>232</v>
      </c>
      <c r="DR68" s="345"/>
      <c r="DS68" s="345"/>
      <c r="DT68" s="181" t="s">
        <v>75</v>
      </c>
      <c r="DU68" s="346" t="s">
        <v>340</v>
      </c>
      <c r="DV68" s="346"/>
      <c r="DW68" s="349"/>
      <c r="DX68" s="345" t="s">
        <v>232</v>
      </c>
      <c r="DY68" s="345"/>
      <c r="DZ68" s="345"/>
      <c r="EA68" s="181" t="s">
        <v>75</v>
      </c>
      <c r="EB68" s="346" t="s">
        <v>340</v>
      </c>
      <c r="EC68" s="346"/>
      <c r="ED68" s="349"/>
      <c r="EE68" s="345" t="s">
        <v>232</v>
      </c>
      <c r="EF68" s="345"/>
      <c r="EG68" s="345"/>
      <c r="EH68" s="181" t="s">
        <v>75</v>
      </c>
      <c r="EI68" s="346" t="s">
        <v>340</v>
      </c>
      <c r="EJ68" s="346"/>
      <c r="EK68" s="347"/>
      <c r="EL68" s="345" t="s">
        <v>539</v>
      </c>
      <c r="EM68" s="345"/>
      <c r="EN68" s="345"/>
      <c r="EO68" s="181" t="s">
        <v>75</v>
      </c>
      <c r="EP68" s="346" t="s">
        <v>340</v>
      </c>
      <c r="EQ68" s="346"/>
      <c r="ER68" s="347"/>
      <c r="ES68" s="345" t="s">
        <v>243</v>
      </c>
      <c r="ET68" s="345"/>
      <c r="EU68" s="345"/>
      <c r="EV68" s="181" t="s">
        <v>75</v>
      </c>
      <c r="EW68" s="346" t="s">
        <v>368</v>
      </c>
      <c r="EX68" s="346"/>
      <c r="EY68" s="349"/>
      <c r="EZ68" s="344" t="s">
        <v>243</v>
      </c>
      <c r="FA68" s="345"/>
      <c r="FB68" s="345"/>
      <c r="FC68" s="181" t="s">
        <v>75</v>
      </c>
      <c r="FD68" s="346" t="s">
        <v>368</v>
      </c>
      <c r="FE68" s="346"/>
      <c r="FF68" s="346"/>
      <c r="FG68" s="344" t="s">
        <v>243</v>
      </c>
      <c r="FH68" s="345"/>
      <c r="FI68" s="345"/>
      <c r="FJ68" s="181" t="s">
        <v>75</v>
      </c>
      <c r="FK68" s="346" t="s">
        <v>368</v>
      </c>
      <c r="FL68" s="346"/>
      <c r="FM68" s="346"/>
      <c r="FN68" s="180"/>
      <c r="FO68" s="181"/>
      <c r="FP68" s="182"/>
      <c r="FQ68" s="181"/>
      <c r="FR68" s="183"/>
      <c r="FS68" s="181"/>
      <c r="FT68" s="210"/>
      <c r="FU68" s="363" t="s">
        <v>246</v>
      </c>
      <c r="FV68" s="345"/>
      <c r="FW68" s="345"/>
      <c r="FX68" s="181" t="s">
        <v>75</v>
      </c>
      <c r="FY68" s="346" t="s">
        <v>391</v>
      </c>
      <c r="FZ68" s="346"/>
      <c r="GA68" s="346"/>
      <c r="GB68" s="344" t="s">
        <v>246</v>
      </c>
      <c r="GC68" s="345"/>
      <c r="GD68" s="345"/>
      <c r="GE68" s="181" t="s">
        <v>75</v>
      </c>
      <c r="GF68" s="346" t="s">
        <v>391</v>
      </c>
      <c r="GG68" s="346"/>
      <c r="GH68" s="349"/>
      <c r="GI68" s="344" t="s">
        <v>246</v>
      </c>
      <c r="GJ68" s="345"/>
      <c r="GK68" s="345"/>
      <c r="GL68" s="181" t="s">
        <v>75</v>
      </c>
      <c r="GM68" s="346" t="s">
        <v>391</v>
      </c>
      <c r="GN68" s="346"/>
      <c r="GO68" s="349"/>
      <c r="GP68" s="345" t="s">
        <v>246</v>
      </c>
      <c r="GQ68" s="345"/>
      <c r="GR68" s="345"/>
      <c r="GS68" s="181" t="s">
        <v>75</v>
      </c>
      <c r="GT68" s="346" t="s">
        <v>391</v>
      </c>
      <c r="GU68" s="346"/>
      <c r="GV68" s="349"/>
      <c r="GW68" s="344" t="s">
        <v>246</v>
      </c>
      <c r="GX68" s="345"/>
      <c r="GY68" s="345"/>
      <c r="GZ68" s="181" t="s">
        <v>75</v>
      </c>
      <c r="HA68" s="346" t="s">
        <v>391</v>
      </c>
      <c r="HB68" s="346"/>
      <c r="HC68" s="349"/>
      <c r="HD68" s="344" t="s">
        <v>246</v>
      </c>
      <c r="HE68" s="345"/>
      <c r="HF68" s="345"/>
      <c r="HG68" s="181" t="s">
        <v>75</v>
      </c>
      <c r="HH68" s="346" t="s">
        <v>391</v>
      </c>
      <c r="HI68" s="346"/>
      <c r="HJ68" s="347"/>
      <c r="HK68" s="345" t="s">
        <v>541</v>
      </c>
      <c r="HL68" s="345"/>
      <c r="HM68" s="345"/>
      <c r="HN68" s="181" t="s">
        <v>75</v>
      </c>
      <c r="HO68" s="346" t="s">
        <v>391</v>
      </c>
      <c r="HP68" s="346"/>
      <c r="HQ68" s="347"/>
      <c r="HR68" s="181"/>
      <c r="HS68" s="181"/>
      <c r="HT68" s="182"/>
      <c r="HU68" s="181"/>
      <c r="HV68" s="256"/>
      <c r="HW68" s="181"/>
      <c r="HX68" s="184"/>
    </row>
    <row r="69" spans="2:232" ht="15" customHeight="1" outlineLevel="1" x14ac:dyDescent="0.25">
      <c r="B69" s="147"/>
      <c r="C69" s="147"/>
      <c r="D69" s="147"/>
      <c r="E69" s="147"/>
      <c r="F69" s="157"/>
      <c r="G69" s="147"/>
      <c r="H69" s="157"/>
      <c r="I69" s="175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V69" s="161" t="s">
        <v>199</v>
      </c>
      <c r="W69" s="12"/>
      <c r="X69" s="12"/>
      <c r="Y69" s="12"/>
      <c r="Z69" s="12"/>
      <c r="AA69" s="12"/>
      <c r="AB69" s="12"/>
      <c r="AC69" s="14"/>
      <c r="AD69" s="352" t="s">
        <v>201</v>
      </c>
      <c r="AE69" s="353"/>
      <c r="AF69" s="353"/>
      <c r="AG69" s="1" t="s">
        <v>57</v>
      </c>
      <c r="AH69" s="337" t="s">
        <v>221</v>
      </c>
      <c r="AI69" s="337"/>
      <c r="AJ69" s="337"/>
      <c r="AK69" s="364" t="s">
        <v>202</v>
      </c>
      <c r="AL69" s="337"/>
      <c r="AM69" s="337"/>
      <c r="AN69" s="1" t="s">
        <v>57</v>
      </c>
      <c r="AO69" s="337" t="s">
        <v>221</v>
      </c>
      <c r="AP69" s="337"/>
      <c r="AQ69" s="338"/>
      <c r="AR69" s="350" t="s">
        <v>221</v>
      </c>
      <c r="AS69" s="337"/>
      <c r="AT69" s="337"/>
      <c r="AU69" s="1" t="s">
        <v>57</v>
      </c>
      <c r="AV69" s="337" t="s">
        <v>228</v>
      </c>
      <c r="AW69" s="337"/>
      <c r="AX69" s="338"/>
      <c r="AY69" s="350" t="s">
        <v>228</v>
      </c>
      <c r="AZ69" s="337"/>
      <c r="BA69" s="337"/>
      <c r="BB69" s="1" t="s">
        <v>57</v>
      </c>
      <c r="BC69" s="337" t="s">
        <v>352</v>
      </c>
      <c r="BD69" s="337"/>
      <c r="BE69" s="337"/>
      <c r="BF69" s="350" t="s">
        <v>556</v>
      </c>
      <c r="BG69" s="337"/>
      <c r="BH69" s="337"/>
      <c r="BI69" s="191"/>
      <c r="BJ69" s="337"/>
      <c r="BK69" s="337"/>
      <c r="BL69" s="338"/>
      <c r="BM69" s="350"/>
      <c r="BN69" s="337"/>
      <c r="BO69" s="337"/>
      <c r="BQ69" s="337"/>
      <c r="BR69" s="337"/>
      <c r="BS69" s="337"/>
      <c r="BT69" s="364" t="s">
        <v>221</v>
      </c>
      <c r="BU69" s="337"/>
      <c r="BV69" s="337"/>
      <c r="BW69" s="1" t="s">
        <v>57</v>
      </c>
      <c r="BX69" s="337" t="s">
        <v>231</v>
      </c>
      <c r="BY69" s="337"/>
      <c r="BZ69" s="338"/>
      <c r="CA69" s="337" t="s">
        <v>231</v>
      </c>
      <c r="CB69" s="337"/>
      <c r="CC69" s="337"/>
      <c r="CD69" s="1" t="s">
        <v>57</v>
      </c>
      <c r="CE69" s="337" t="s">
        <v>221</v>
      </c>
      <c r="CF69" s="337"/>
      <c r="CG69" s="337"/>
      <c r="CH69" s="350" t="s">
        <v>221</v>
      </c>
      <c r="CI69" s="337"/>
      <c r="CJ69" s="337"/>
      <c r="CK69" s="1" t="s">
        <v>57</v>
      </c>
      <c r="CL69" s="337" t="s">
        <v>234</v>
      </c>
      <c r="CM69" s="337"/>
      <c r="CN69" s="338"/>
      <c r="CO69" s="350" t="s">
        <v>262</v>
      </c>
      <c r="CP69" s="337"/>
      <c r="CQ69" s="337"/>
      <c r="CR69" s="1" t="s">
        <v>57</v>
      </c>
      <c r="CS69" s="337" t="s">
        <v>233</v>
      </c>
      <c r="CT69" s="337"/>
      <c r="CU69" s="338"/>
      <c r="CV69" s="350" t="s">
        <v>228</v>
      </c>
      <c r="CW69" s="337"/>
      <c r="CX69" s="337"/>
      <c r="CY69" s="1" t="s">
        <v>57</v>
      </c>
      <c r="CZ69" s="337" t="s">
        <v>231</v>
      </c>
      <c r="DA69" s="337"/>
      <c r="DB69" s="338"/>
      <c r="DC69" s="350" t="s">
        <v>231</v>
      </c>
      <c r="DD69" s="337"/>
      <c r="DE69" s="337"/>
      <c r="DF69" s="1" t="s">
        <v>57</v>
      </c>
      <c r="DG69" s="337" t="s">
        <v>252</v>
      </c>
      <c r="DH69" s="337"/>
      <c r="DI69" s="338"/>
      <c r="DJ69" s="350" t="s">
        <v>252</v>
      </c>
      <c r="DK69" s="337"/>
      <c r="DL69" s="337"/>
      <c r="DM69" s="1" t="s">
        <v>57</v>
      </c>
      <c r="DN69" s="337" t="s">
        <v>234</v>
      </c>
      <c r="DO69" s="337"/>
      <c r="DP69" s="338"/>
      <c r="DQ69" s="350" t="s">
        <v>233</v>
      </c>
      <c r="DR69" s="337"/>
      <c r="DS69" s="337"/>
      <c r="DT69" s="191"/>
      <c r="DU69" s="337"/>
      <c r="DV69" s="337"/>
      <c r="DW69" s="338"/>
      <c r="DX69" s="350" t="s">
        <v>252</v>
      </c>
      <c r="DY69" s="337"/>
      <c r="DZ69" s="337"/>
      <c r="EA69" s="1" t="s">
        <v>57</v>
      </c>
      <c r="EB69" s="337" t="s">
        <v>221</v>
      </c>
      <c r="EC69" s="337"/>
      <c r="ED69" s="338"/>
      <c r="EE69" s="350" t="s">
        <v>231</v>
      </c>
      <c r="EF69" s="337"/>
      <c r="EG69" s="337"/>
      <c r="EH69" s="191"/>
      <c r="EI69" s="337"/>
      <c r="EJ69" s="337"/>
      <c r="EK69" s="351"/>
      <c r="EL69" s="337" t="s">
        <v>383</v>
      </c>
      <c r="EM69" s="337"/>
      <c r="EN69" s="337"/>
      <c r="EO69" s="191"/>
      <c r="EP69" s="337"/>
      <c r="EQ69" s="337"/>
      <c r="ER69" s="351"/>
      <c r="ES69" s="337" t="s">
        <v>384</v>
      </c>
      <c r="ET69" s="337"/>
      <c r="EU69" s="337"/>
      <c r="EV69" s="1" t="s">
        <v>57</v>
      </c>
      <c r="EW69" s="337" t="s">
        <v>228</v>
      </c>
      <c r="EX69" s="337"/>
      <c r="EY69" s="338"/>
      <c r="EZ69" s="350" t="s">
        <v>228</v>
      </c>
      <c r="FA69" s="337"/>
      <c r="FB69" s="337"/>
      <c r="FC69" s="1" t="s">
        <v>57</v>
      </c>
      <c r="FD69" s="337" t="s">
        <v>352</v>
      </c>
      <c r="FE69" s="337"/>
      <c r="FF69" s="337"/>
      <c r="FG69" s="350" t="s">
        <v>352</v>
      </c>
      <c r="FH69" s="337"/>
      <c r="FI69" s="337"/>
      <c r="FJ69" s="191"/>
      <c r="FK69" s="337"/>
      <c r="FL69" s="337"/>
      <c r="FM69" s="338"/>
      <c r="FN69" s="350"/>
      <c r="FO69" s="337"/>
      <c r="FP69" s="337"/>
      <c r="FR69" s="337"/>
      <c r="FS69" s="337"/>
      <c r="FT69" s="337"/>
      <c r="FU69" s="364" t="s">
        <v>252</v>
      </c>
      <c r="FV69" s="337"/>
      <c r="FW69" s="337"/>
      <c r="FX69" s="1" t="s">
        <v>57</v>
      </c>
      <c r="FY69" s="337" t="s">
        <v>231</v>
      </c>
      <c r="FZ69" s="337"/>
      <c r="GA69" s="337"/>
      <c r="GB69" s="350" t="s">
        <v>231</v>
      </c>
      <c r="GC69" s="337"/>
      <c r="GD69" s="337"/>
      <c r="GE69" s="1" t="s">
        <v>57</v>
      </c>
      <c r="GF69" s="337" t="s">
        <v>252</v>
      </c>
      <c r="GG69" s="337"/>
      <c r="GH69" s="338"/>
      <c r="GI69" s="350" t="s">
        <v>252</v>
      </c>
      <c r="GJ69" s="337"/>
      <c r="GK69" s="337"/>
      <c r="GL69" s="1" t="s">
        <v>57</v>
      </c>
      <c r="GM69" s="337" t="s">
        <v>234</v>
      </c>
      <c r="GN69" s="337"/>
      <c r="GO69" s="338"/>
      <c r="GP69" s="337" t="s">
        <v>233</v>
      </c>
      <c r="GQ69" s="337"/>
      <c r="GR69" s="337"/>
      <c r="GS69" s="191"/>
      <c r="GT69" s="337"/>
      <c r="GU69" s="337"/>
      <c r="GV69" s="338"/>
      <c r="GW69" s="350" t="s">
        <v>382</v>
      </c>
      <c r="GX69" s="337"/>
      <c r="GY69" s="337"/>
      <c r="GZ69" s="1" t="s">
        <v>57</v>
      </c>
      <c r="HA69" s="337" t="s">
        <v>426</v>
      </c>
      <c r="HB69" s="337"/>
      <c r="HC69" s="338"/>
      <c r="HD69" s="350" t="s">
        <v>231</v>
      </c>
      <c r="HE69" s="337"/>
      <c r="HF69" s="337"/>
      <c r="HG69" s="191"/>
      <c r="HH69" s="337"/>
      <c r="HI69" s="337"/>
      <c r="HJ69" s="351"/>
      <c r="HK69" s="337" t="s">
        <v>383</v>
      </c>
      <c r="HL69" s="337"/>
      <c r="HM69" s="337"/>
      <c r="HO69" s="337"/>
      <c r="HP69" s="337"/>
      <c r="HQ69" s="351"/>
      <c r="HR69" s="337"/>
      <c r="HS69" s="337"/>
      <c r="HT69" s="337"/>
      <c r="HV69" s="337"/>
      <c r="HW69" s="337"/>
      <c r="HX69" s="338"/>
    </row>
    <row r="70" spans="2:232" ht="15" customHeight="1" outlineLevel="1" x14ac:dyDescent="0.25">
      <c r="B70" s="147"/>
      <c r="C70" s="147"/>
      <c r="D70" s="147"/>
      <c r="E70" s="147"/>
      <c r="F70" s="157"/>
      <c r="G70" s="147"/>
      <c r="H70" s="157"/>
      <c r="I70" s="175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V70" s="161" t="s">
        <v>200</v>
      </c>
      <c r="W70" s="12"/>
      <c r="X70" s="12"/>
      <c r="Y70" s="12"/>
      <c r="Z70" s="12"/>
      <c r="AA70" s="12"/>
      <c r="AB70" s="12"/>
      <c r="AC70" s="14"/>
      <c r="AD70" s="352" t="s">
        <v>201</v>
      </c>
      <c r="AE70" s="353"/>
      <c r="AF70" s="353"/>
      <c r="AG70" s="1" t="s">
        <v>57</v>
      </c>
      <c r="AH70" s="353" t="s">
        <v>220</v>
      </c>
      <c r="AI70" s="353"/>
      <c r="AJ70" s="353"/>
      <c r="AK70" s="367" t="s">
        <v>220</v>
      </c>
      <c r="AL70" s="353"/>
      <c r="AM70" s="353"/>
      <c r="AO70" s="353"/>
      <c r="AP70" s="353"/>
      <c r="AQ70" s="355"/>
      <c r="AR70" s="352" t="s">
        <v>220</v>
      </c>
      <c r="AS70" s="353"/>
      <c r="AT70" s="353"/>
      <c r="AV70" s="353"/>
      <c r="AW70" s="353"/>
      <c r="AX70" s="355"/>
      <c r="AY70" s="352" t="s">
        <v>229</v>
      </c>
      <c r="AZ70" s="353"/>
      <c r="BA70" s="353"/>
      <c r="BC70" s="353"/>
      <c r="BD70" s="353"/>
      <c r="BE70" s="353"/>
      <c r="BF70" s="352" t="s">
        <v>229</v>
      </c>
      <c r="BG70" s="353"/>
      <c r="BH70" s="353"/>
      <c r="BJ70" s="353"/>
      <c r="BK70" s="353"/>
      <c r="BL70" s="353"/>
      <c r="BM70" s="352"/>
      <c r="BN70" s="353"/>
      <c r="BO70" s="353"/>
      <c r="BQ70" s="353"/>
      <c r="BR70" s="353"/>
      <c r="BS70" s="353"/>
      <c r="BT70" s="367" t="s">
        <v>229</v>
      </c>
      <c r="BU70" s="353"/>
      <c r="BV70" s="353"/>
      <c r="BX70" s="353"/>
      <c r="BY70" s="353"/>
      <c r="BZ70" s="355"/>
      <c r="CA70" s="352" t="s">
        <v>229</v>
      </c>
      <c r="CB70" s="353"/>
      <c r="CC70" s="353"/>
      <c r="CE70" s="353"/>
      <c r="CF70" s="353"/>
      <c r="CG70" s="353"/>
      <c r="CH70" s="352" t="s">
        <v>229</v>
      </c>
      <c r="CI70" s="353"/>
      <c r="CJ70" s="353"/>
      <c r="CL70" s="353"/>
      <c r="CM70" s="353"/>
      <c r="CN70" s="355"/>
      <c r="CO70" s="352" t="s">
        <v>229</v>
      </c>
      <c r="CP70" s="353"/>
      <c r="CQ70" s="353"/>
      <c r="CS70" s="353"/>
      <c r="CT70" s="353"/>
      <c r="CU70" s="355"/>
      <c r="CV70" s="352" t="s">
        <v>229</v>
      </c>
      <c r="CW70" s="353"/>
      <c r="CX70" s="353"/>
      <c r="CZ70" s="353"/>
      <c r="DA70" s="353"/>
      <c r="DB70" s="355"/>
      <c r="DC70" s="352" t="s">
        <v>229</v>
      </c>
      <c r="DD70" s="353"/>
      <c r="DE70" s="353"/>
      <c r="DG70" s="353"/>
      <c r="DH70" s="353"/>
      <c r="DI70" s="355"/>
      <c r="DJ70" s="352" t="s">
        <v>229</v>
      </c>
      <c r="DK70" s="353"/>
      <c r="DL70" s="353"/>
      <c r="DN70" s="353"/>
      <c r="DO70" s="353"/>
      <c r="DP70" s="355"/>
      <c r="DQ70" s="352" t="s">
        <v>203</v>
      </c>
      <c r="DR70" s="353"/>
      <c r="DS70" s="353"/>
      <c r="DU70" s="353"/>
      <c r="DV70" s="353"/>
      <c r="DW70" s="355"/>
      <c r="DX70" s="352" t="s">
        <v>229</v>
      </c>
      <c r="DY70" s="353"/>
      <c r="DZ70" s="353"/>
      <c r="EB70" s="353"/>
      <c r="EC70" s="353"/>
      <c r="ED70" s="355"/>
      <c r="EE70" s="352" t="s">
        <v>229</v>
      </c>
      <c r="EF70" s="353"/>
      <c r="EG70" s="353"/>
      <c r="EI70" s="353"/>
      <c r="EJ70" s="353"/>
      <c r="EK70" s="354"/>
      <c r="EL70" s="353" t="s">
        <v>229</v>
      </c>
      <c r="EM70" s="353"/>
      <c r="EN70" s="353"/>
      <c r="EP70" s="353"/>
      <c r="EQ70" s="353"/>
      <c r="ER70" s="354"/>
      <c r="ES70" s="353" t="s">
        <v>220</v>
      </c>
      <c r="ET70" s="353"/>
      <c r="EU70" s="353"/>
      <c r="EW70" s="353"/>
      <c r="EX70" s="353"/>
      <c r="EY70" s="355"/>
      <c r="EZ70" s="352" t="s">
        <v>229</v>
      </c>
      <c r="FA70" s="353"/>
      <c r="FB70" s="353"/>
      <c r="FD70" s="353"/>
      <c r="FE70" s="353"/>
      <c r="FF70" s="353"/>
      <c r="FG70" s="352" t="s">
        <v>229</v>
      </c>
      <c r="FH70" s="353"/>
      <c r="FI70" s="353"/>
      <c r="FK70" s="353"/>
      <c r="FL70" s="353"/>
      <c r="FM70" s="355"/>
      <c r="FN70" s="352"/>
      <c r="FO70" s="353"/>
      <c r="FP70" s="353"/>
      <c r="FR70" s="353"/>
      <c r="FS70" s="353"/>
      <c r="FT70" s="353"/>
      <c r="FU70" s="367" t="s">
        <v>229</v>
      </c>
      <c r="FV70" s="353"/>
      <c r="FW70" s="353"/>
      <c r="FY70" s="353"/>
      <c r="FZ70" s="353"/>
      <c r="GA70" s="353"/>
      <c r="GB70" s="352" t="s">
        <v>229</v>
      </c>
      <c r="GC70" s="353"/>
      <c r="GD70" s="353"/>
      <c r="GF70" s="353"/>
      <c r="GG70" s="353"/>
      <c r="GH70" s="355"/>
      <c r="GI70" s="352" t="s">
        <v>229</v>
      </c>
      <c r="GJ70" s="353"/>
      <c r="GK70" s="353"/>
      <c r="GM70" s="353"/>
      <c r="GN70" s="353"/>
      <c r="GO70" s="355"/>
      <c r="GP70" s="353" t="s">
        <v>229</v>
      </c>
      <c r="GQ70" s="353"/>
      <c r="GR70" s="353"/>
      <c r="GT70" s="353"/>
      <c r="GU70" s="353"/>
      <c r="GV70" s="355"/>
      <c r="GW70" s="352" t="s">
        <v>229</v>
      </c>
      <c r="GX70" s="353"/>
      <c r="GY70" s="353"/>
      <c r="HA70" s="353"/>
      <c r="HB70" s="353"/>
      <c r="HC70" s="355"/>
      <c r="HD70" s="352" t="s">
        <v>229</v>
      </c>
      <c r="HE70" s="353"/>
      <c r="HF70" s="353"/>
      <c r="HH70" s="353"/>
      <c r="HI70" s="353"/>
      <c r="HJ70" s="354"/>
      <c r="HK70" s="353" t="s">
        <v>229</v>
      </c>
      <c r="HL70" s="353"/>
      <c r="HM70" s="353"/>
      <c r="HO70" s="353"/>
      <c r="HP70" s="353"/>
      <c r="HQ70" s="354"/>
      <c r="HR70" s="353"/>
      <c r="HS70" s="353"/>
      <c r="HT70" s="353"/>
      <c r="HV70" s="353"/>
      <c r="HW70" s="353"/>
      <c r="HX70" s="355"/>
    </row>
    <row r="71" spans="2:232" ht="15" customHeight="1" outlineLevel="1" x14ac:dyDescent="0.25">
      <c r="B71" s="147"/>
      <c r="C71" s="147"/>
      <c r="D71" s="147"/>
      <c r="E71" s="147"/>
      <c r="F71" s="157"/>
      <c r="G71" s="147"/>
      <c r="H71" s="157"/>
      <c r="I71" s="175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V71" s="162"/>
      <c r="W71" s="159"/>
      <c r="X71" s="159"/>
      <c r="Y71" s="159"/>
      <c r="Z71" s="159"/>
      <c r="AA71" s="159"/>
      <c r="AB71" s="159"/>
      <c r="AC71" s="160"/>
      <c r="AD71" s="361"/>
      <c r="AE71" s="356"/>
      <c r="AF71" s="356"/>
      <c r="AG71" s="163"/>
      <c r="AH71" s="356"/>
      <c r="AI71" s="356"/>
      <c r="AJ71" s="356"/>
      <c r="AK71" s="368"/>
      <c r="AL71" s="356"/>
      <c r="AM71" s="356"/>
      <c r="AN71" s="163"/>
      <c r="AO71" s="356"/>
      <c r="AP71" s="356"/>
      <c r="AQ71" s="357"/>
      <c r="AR71" s="361"/>
      <c r="AS71" s="356"/>
      <c r="AT71" s="356"/>
      <c r="AU71" s="163"/>
      <c r="AV71" s="356"/>
      <c r="AW71" s="356"/>
      <c r="AX71" s="357"/>
      <c r="AY71" s="361"/>
      <c r="AZ71" s="356"/>
      <c r="BA71" s="356"/>
      <c r="BB71" s="163"/>
      <c r="BC71" s="356"/>
      <c r="BD71" s="356"/>
      <c r="BE71" s="356"/>
      <c r="BF71" s="361"/>
      <c r="BG71" s="356"/>
      <c r="BH71" s="356"/>
      <c r="BI71" s="163"/>
      <c r="BJ71" s="356"/>
      <c r="BK71" s="356"/>
      <c r="BL71" s="357"/>
      <c r="BM71" s="361"/>
      <c r="BN71" s="356"/>
      <c r="BO71" s="356"/>
      <c r="BP71" s="163"/>
      <c r="BQ71" s="356"/>
      <c r="BR71" s="356"/>
      <c r="BS71" s="356"/>
      <c r="BT71" s="368"/>
      <c r="BU71" s="356"/>
      <c r="BV71" s="356"/>
      <c r="BW71" s="163"/>
      <c r="BX71" s="356"/>
      <c r="BY71" s="356"/>
      <c r="BZ71" s="357"/>
      <c r="CA71" s="361"/>
      <c r="CB71" s="356"/>
      <c r="CC71" s="356"/>
      <c r="CD71" s="163"/>
      <c r="CE71" s="356"/>
      <c r="CF71" s="356"/>
      <c r="CG71" s="357"/>
      <c r="CH71" s="361"/>
      <c r="CI71" s="356"/>
      <c r="CJ71" s="356"/>
      <c r="CK71" s="163"/>
      <c r="CL71" s="356"/>
      <c r="CM71" s="356"/>
      <c r="CN71" s="357"/>
      <c r="CO71" s="361"/>
      <c r="CP71" s="356"/>
      <c r="CQ71" s="356"/>
      <c r="CR71" s="163"/>
      <c r="CS71" s="356"/>
      <c r="CT71" s="356"/>
      <c r="CU71" s="357"/>
      <c r="CV71" s="361"/>
      <c r="CW71" s="356"/>
      <c r="CX71" s="356"/>
      <c r="CY71" s="163"/>
      <c r="CZ71" s="356"/>
      <c r="DA71" s="356"/>
      <c r="DB71" s="357"/>
      <c r="DC71" s="361"/>
      <c r="DD71" s="356"/>
      <c r="DE71" s="356"/>
      <c r="DF71" s="163"/>
      <c r="DG71" s="356"/>
      <c r="DH71" s="356"/>
      <c r="DI71" s="357"/>
      <c r="DJ71" s="361"/>
      <c r="DK71" s="356"/>
      <c r="DL71" s="356"/>
      <c r="DM71" s="163"/>
      <c r="DN71" s="356"/>
      <c r="DO71" s="356"/>
      <c r="DP71" s="357"/>
      <c r="DQ71" s="361"/>
      <c r="DR71" s="356"/>
      <c r="DS71" s="356"/>
      <c r="DT71" s="163"/>
      <c r="DU71" s="356"/>
      <c r="DV71" s="356"/>
      <c r="DW71" s="357"/>
      <c r="DX71" s="361"/>
      <c r="DY71" s="356"/>
      <c r="DZ71" s="356"/>
      <c r="EA71" s="163"/>
      <c r="EB71" s="356"/>
      <c r="EC71" s="356"/>
      <c r="ED71" s="357"/>
      <c r="EE71" s="361"/>
      <c r="EF71" s="356"/>
      <c r="EG71" s="356"/>
      <c r="EH71" s="163"/>
      <c r="EI71" s="356"/>
      <c r="EJ71" s="356"/>
      <c r="EK71" s="359"/>
      <c r="EL71" s="356"/>
      <c r="EM71" s="356"/>
      <c r="EN71" s="356"/>
      <c r="EO71" s="163"/>
      <c r="EP71" s="356"/>
      <c r="EQ71" s="356"/>
      <c r="ER71" s="359"/>
      <c r="ES71" s="356"/>
      <c r="ET71" s="356"/>
      <c r="EU71" s="356"/>
      <c r="EV71" s="163"/>
      <c r="EW71" s="356"/>
      <c r="EX71" s="356"/>
      <c r="EY71" s="357"/>
      <c r="EZ71" s="361"/>
      <c r="FA71" s="356"/>
      <c r="FB71" s="356"/>
      <c r="FC71" s="163"/>
      <c r="FD71" s="356"/>
      <c r="FE71" s="356"/>
      <c r="FF71" s="356"/>
      <c r="FG71" s="361"/>
      <c r="FH71" s="356"/>
      <c r="FI71" s="356"/>
      <c r="FJ71" s="163"/>
      <c r="FK71" s="356"/>
      <c r="FL71" s="356"/>
      <c r="FM71" s="357"/>
      <c r="FN71" s="361"/>
      <c r="FO71" s="356"/>
      <c r="FP71" s="356"/>
      <c r="FQ71" s="163"/>
      <c r="FR71" s="356"/>
      <c r="FS71" s="356"/>
      <c r="FT71" s="356"/>
      <c r="FU71" s="368"/>
      <c r="FV71" s="356"/>
      <c r="FW71" s="356"/>
      <c r="FX71" s="163"/>
      <c r="FY71" s="356"/>
      <c r="FZ71" s="356"/>
      <c r="GA71" s="356"/>
      <c r="GB71" s="361"/>
      <c r="GC71" s="356"/>
      <c r="GD71" s="356"/>
      <c r="GE71" s="163"/>
      <c r="GF71" s="356"/>
      <c r="GG71" s="356"/>
      <c r="GH71" s="357"/>
      <c r="GI71" s="361"/>
      <c r="GJ71" s="356"/>
      <c r="GK71" s="356"/>
      <c r="GL71" s="163"/>
      <c r="GM71" s="356"/>
      <c r="GN71" s="356"/>
      <c r="GO71" s="357"/>
      <c r="GP71" s="356"/>
      <c r="GQ71" s="356"/>
      <c r="GR71" s="356"/>
      <c r="GS71" s="163"/>
      <c r="GT71" s="356"/>
      <c r="GU71" s="356"/>
      <c r="GV71" s="357"/>
      <c r="GW71" s="361"/>
      <c r="GX71" s="356"/>
      <c r="GY71" s="356"/>
      <c r="GZ71" s="163"/>
      <c r="HA71" s="356"/>
      <c r="HB71" s="356"/>
      <c r="HC71" s="357"/>
      <c r="HD71" s="361"/>
      <c r="HE71" s="356"/>
      <c r="HF71" s="356"/>
      <c r="HG71" s="163"/>
      <c r="HH71" s="356"/>
      <c r="HI71" s="356"/>
      <c r="HJ71" s="359"/>
      <c r="HK71" s="356"/>
      <c r="HL71" s="356"/>
      <c r="HM71" s="356"/>
      <c r="HN71" s="163"/>
      <c r="HO71" s="356"/>
      <c r="HP71" s="356"/>
      <c r="HQ71" s="359"/>
      <c r="HR71" s="356"/>
      <c r="HS71" s="356"/>
      <c r="HT71" s="356"/>
      <c r="HU71" s="163"/>
      <c r="HV71" s="356"/>
      <c r="HW71" s="356"/>
      <c r="HX71" s="357"/>
    </row>
    <row r="72" spans="2:232" outlineLevel="1" x14ac:dyDescent="0.25">
      <c r="B72" s="32"/>
      <c r="C72" s="333">
        <f>MAX(C65:C66)+1</f>
        <v>8</v>
      </c>
      <c r="D72" s="164" t="s">
        <v>21</v>
      </c>
      <c r="E72" s="34"/>
      <c r="F72" s="165" t="s">
        <v>529</v>
      </c>
      <c r="G72" s="165" t="s">
        <v>529</v>
      </c>
      <c r="H72" s="165" t="s">
        <v>93</v>
      </c>
      <c r="I72" s="176" t="s">
        <v>85</v>
      </c>
      <c r="J72" s="165" t="s">
        <v>171</v>
      </c>
      <c r="K72" s="165">
        <v>2031</v>
      </c>
      <c r="L72" s="165">
        <v>2</v>
      </c>
      <c r="M72" s="165"/>
      <c r="N72" s="165"/>
      <c r="O72" s="165"/>
      <c r="P72" s="165"/>
      <c r="Q72" s="165"/>
      <c r="R72" s="165"/>
      <c r="S72" s="165"/>
      <c r="T72" s="165"/>
      <c r="V72" s="11" t="s">
        <v>283</v>
      </c>
      <c r="W72" s="12"/>
      <c r="X72" s="12"/>
      <c r="Y72" s="12"/>
      <c r="Z72" s="12"/>
      <c r="AA72" s="12"/>
      <c r="AB72" s="12"/>
      <c r="AC72" s="14"/>
      <c r="AD72" s="166">
        <f>$C72</f>
        <v>8</v>
      </c>
      <c r="AE72" s="358" t="s">
        <v>175</v>
      </c>
      <c r="AF72" s="358"/>
      <c r="AG72" s="358"/>
      <c r="AH72" s="158"/>
      <c r="AI72" s="337"/>
      <c r="AJ72" s="337"/>
      <c r="AK72" s="214">
        <f>$C72</f>
        <v>8</v>
      </c>
      <c r="AL72" s="358" t="s">
        <v>175</v>
      </c>
      <c r="AM72" s="358"/>
      <c r="AN72" s="358"/>
      <c r="AO72" s="32"/>
      <c r="AP72" s="353"/>
      <c r="AQ72" s="355"/>
      <c r="AR72" s="166">
        <f>$C72</f>
        <v>8</v>
      </c>
      <c r="AS72" s="358" t="s">
        <v>532</v>
      </c>
      <c r="AT72" s="358"/>
      <c r="AU72" s="358"/>
      <c r="AV72" s="32"/>
      <c r="AW72" s="353"/>
      <c r="AX72" s="355"/>
      <c r="AY72" s="166">
        <f>$C72</f>
        <v>8</v>
      </c>
      <c r="AZ72" s="358" t="s">
        <v>531</v>
      </c>
      <c r="BA72" s="358"/>
      <c r="BB72" s="358"/>
      <c r="BC72" s="32"/>
      <c r="BD72" s="353"/>
      <c r="BE72" s="353"/>
      <c r="BF72" s="166">
        <f>$C72</f>
        <v>8</v>
      </c>
      <c r="BG72" s="358" t="s">
        <v>531</v>
      </c>
      <c r="BH72" s="358"/>
      <c r="BI72" s="358"/>
      <c r="BJ72" s="158"/>
      <c r="BK72" s="337"/>
      <c r="BL72" s="338"/>
      <c r="BM72" s="166">
        <f>$C72</f>
        <v>8</v>
      </c>
      <c r="BN72" s="358" t="s">
        <v>531</v>
      </c>
      <c r="BO72" s="358"/>
      <c r="BP72" s="358"/>
      <c r="BQ72" s="158"/>
      <c r="BR72" s="337"/>
      <c r="BS72" s="337"/>
      <c r="BT72" s="214">
        <f>$C72</f>
        <v>8</v>
      </c>
      <c r="BU72" s="358" t="s">
        <v>538</v>
      </c>
      <c r="BV72" s="358"/>
      <c r="BW72" s="358"/>
      <c r="BX72" s="158"/>
      <c r="BY72" s="337"/>
      <c r="BZ72" s="338"/>
      <c r="CA72" s="166">
        <f>$C72</f>
        <v>8</v>
      </c>
      <c r="CB72" s="358" t="s">
        <v>532</v>
      </c>
      <c r="CC72" s="358"/>
      <c r="CD72" s="358"/>
      <c r="CE72" s="158"/>
      <c r="CF72" s="337"/>
      <c r="CG72" s="338"/>
      <c r="CH72" s="166">
        <f>$C72</f>
        <v>8</v>
      </c>
      <c r="CI72" s="358" t="s">
        <v>532</v>
      </c>
      <c r="CJ72" s="358"/>
      <c r="CK72" s="358"/>
      <c r="CL72" s="158"/>
      <c r="CM72" s="337"/>
      <c r="CN72" s="338"/>
      <c r="CO72" s="166">
        <f>$C72</f>
        <v>8</v>
      </c>
      <c r="CP72" s="358" t="s">
        <v>173</v>
      </c>
      <c r="CQ72" s="358"/>
      <c r="CR72" s="358"/>
      <c r="CS72" s="158"/>
      <c r="CT72" s="337"/>
      <c r="CU72" s="338"/>
      <c r="CV72" s="166">
        <f>$C72</f>
        <v>8</v>
      </c>
      <c r="CW72" s="358" t="s">
        <v>531</v>
      </c>
      <c r="CX72" s="358"/>
      <c r="CY72" s="358"/>
      <c r="CZ72" s="158"/>
      <c r="DA72" s="337"/>
      <c r="DB72" s="338"/>
      <c r="DC72" s="166">
        <f>$C72</f>
        <v>8</v>
      </c>
      <c r="DD72" s="358" t="s">
        <v>531</v>
      </c>
      <c r="DE72" s="358"/>
      <c r="DF72" s="358"/>
      <c r="DG72" s="158"/>
      <c r="DH72" s="337"/>
      <c r="DI72" s="338"/>
      <c r="DJ72" s="166">
        <f>$C72</f>
        <v>8</v>
      </c>
      <c r="DK72" s="358" t="s">
        <v>531</v>
      </c>
      <c r="DL72" s="358"/>
      <c r="DM72" s="358"/>
      <c r="DN72" s="158"/>
      <c r="DO72" s="337"/>
      <c r="DP72" s="338"/>
      <c r="DQ72" s="166">
        <f>$C72</f>
        <v>8</v>
      </c>
      <c r="DR72" s="358" t="s">
        <v>173</v>
      </c>
      <c r="DS72" s="358"/>
      <c r="DT72" s="358"/>
      <c r="DU72" s="158"/>
      <c r="DV72" s="337"/>
      <c r="DW72" s="338"/>
      <c r="DX72" s="166">
        <f>$C72</f>
        <v>8</v>
      </c>
      <c r="DY72" s="358" t="s">
        <v>532</v>
      </c>
      <c r="DZ72" s="358"/>
      <c r="EA72" s="358"/>
      <c r="EB72" s="158"/>
      <c r="EC72" s="337"/>
      <c r="ED72" s="338"/>
      <c r="EE72" s="166">
        <f>$C72</f>
        <v>8</v>
      </c>
      <c r="EF72" s="358" t="s">
        <v>531</v>
      </c>
      <c r="EG72" s="358"/>
      <c r="EH72" s="358"/>
      <c r="EI72" s="158"/>
      <c r="EJ72" s="337"/>
      <c r="EK72" s="351"/>
      <c r="EL72" s="193">
        <f>$C72</f>
        <v>8</v>
      </c>
      <c r="EM72" s="358" t="s">
        <v>645</v>
      </c>
      <c r="EN72" s="358"/>
      <c r="EO72" s="358"/>
      <c r="EP72" s="158"/>
      <c r="EQ72" s="337"/>
      <c r="ER72" s="351"/>
      <c r="ES72" s="193">
        <f>$C72</f>
        <v>8</v>
      </c>
      <c r="ET72" s="358" t="s">
        <v>175</v>
      </c>
      <c r="EU72" s="358"/>
      <c r="EV72" s="358"/>
      <c r="EW72" s="32"/>
      <c r="EX72" s="353"/>
      <c r="EY72" s="355"/>
      <c r="EZ72" s="166">
        <f>$C72</f>
        <v>8</v>
      </c>
      <c r="FA72" s="358" t="s">
        <v>532</v>
      </c>
      <c r="FB72" s="358"/>
      <c r="FC72" s="358"/>
      <c r="FD72" s="32"/>
      <c r="FE72" s="353"/>
      <c r="FF72" s="353"/>
      <c r="FG72" s="166">
        <f>$C72</f>
        <v>8</v>
      </c>
      <c r="FH72" s="358" t="s">
        <v>532</v>
      </c>
      <c r="FI72" s="358"/>
      <c r="FJ72" s="358"/>
      <c r="FK72" s="32"/>
      <c r="FL72" s="337"/>
      <c r="FM72" s="338"/>
      <c r="FN72" s="166">
        <f>$C72</f>
        <v>8</v>
      </c>
      <c r="FO72" s="358" t="s">
        <v>532</v>
      </c>
      <c r="FP72" s="358"/>
      <c r="FQ72" s="358"/>
      <c r="FR72" s="32"/>
      <c r="FS72" s="337"/>
      <c r="FT72" s="337"/>
      <c r="FU72" s="214">
        <f>$C72</f>
        <v>8</v>
      </c>
      <c r="FV72" s="358" t="s">
        <v>532</v>
      </c>
      <c r="FW72" s="358"/>
      <c r="FX72" s="358"/>
      <c r="FY72" s="32"/>
      <c r="FZ72" s="337"/>
      <c r="GA72" s="337"/>
      <c r="GB72" s="166">
        <f>$C72</f>
        <v>8</v>
      </c>
      <c r="GC72" s="358" t="s">
        <v>532</v>
      </c>
      <c r="GD72" s="358"/>
      <c r="GE72" s="358"/>
      <c r="GF72" s="32"/>
      <c r="GG72" s="337"/>
      <c r="GH72" s="338"/>
      <c r="GI72" s="166">
        <f>$C72</f>
        <v>8</v>
      </c>
      <c r="GJ72" s="358" t="s">
        <v>532</v>
      </c>
      <c r="GK72" s="358"/>
      <c r="GL72" s="358"/>
      <c r="GM72" s="32"/>
      <c r="GN72" s="337"/>
      <c r="GO72" s="338"/>
      <c r="GP72" s="193">
        <f>$C72</f>
        <v>8</v>
      </c>
      <c r="GQ72" s="358" t="s">
        <v>175</v>
      </c>
      <c r="GR72" s="358"/>
      <c r="GS72" s="358"/>
      <c r="GT72" s="32"/>
      <c r="GU72" s="337"/>
      <c r="GV72" s="338"/>
      <c r="GW72" s="166">
        <f>$C72</f>
        <v>8</v>
      </c>
      <c r="GX72" s="358" t="s">
        <v>175</v>
      </c>
      <c r="GY72" s="358"/>
      <c r="GZ72" s="358"/>
      <c r="HA72" s="32"/>
      <c r="HB72" s="337"/>
      <c r="HC72" s="338"/>
      <c r="HD72" s="166">
        <f>$C72</f>
        <v>8</v>
      </c>
      <c r="HE72" s="358" t="s">
        <v>532</v>
      </c>
      <c r="HF72" s="358"/>
      <c r="HG72" s="358"/>
      <c r="HH72" s="32"/>
      <c r="HI72" s="337"/>
      <c r="HJ72" s="351"/>
      <c r="HK72" s="193">
        <f>$C72</f>
        <v>8</v>
      </c>
      <c r="HL72" s="358" t="s">
        <v>645</v>
      </c>
      <c r="HM72" s="358"/>
      <c r="HN72" s="358"/>
      <c r="HO72" s="32"/>
      <c r="HP72" s="337"/>
      <c r="HQ72" s="351"/>
      <c r="HR72" s="193"/>
      <c r="HS72" s="362"/>
      <c r="HT72" s="362"/>
      <c r="HU72" s="362"/>
      <c r="HV72" s="257"/>
      <c r="HW72" s="337"/>
      <c r="HX72" s="338"/>
    </row>
    <row r="73" spans="2:232" outlineLevel="1" x14ac:dyDescent="0.25">
      <c r="B73" s="32"/>
      <c r="C73" s="167"/>
      <c r="D73" s="167"/>
      <c r="E73" s="34"/>
      <c r="F73" s="168"/>
      <c r="G73" s="167"/>
      <c r="H73" s="168"/>
      <c r="I73" s="177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V73" s="107"/>
      <c r="W73" s="108"/>
      <c r="X73" s="108"/>
      <c r="Y73" s="108"/>
      <c r="Z73" s="108"/>
      <c r="AA73" s="108"/>
      <c r="AB73" s="108"/>
      <c r="AC73" s="109"/>
      <c r="AD73" s="169"/>
      <c r="AE73" s="365"/>
      <c r="AF73" s="365"/>
      <c r="AG73" s="365"/>
      <c r="AH73" s="30"/>
      <c r="AI73" s="340"/>
      <c r="AJ73" s="340"/>
      <c r="AK73" s="215"/>
      <c r="AL73" s="339"/>
      <c r="AM73" s="339"/>
      <c r="AN73" s="339"/>
      <c r="AO73" s="30"/>
      <c r="AP73" s="340"/>
      <c r="AQ73" s="341"/>
      <c r="AR73" s="169"/>
      <c r="AS73" s="339"/>
      <c r="AT73" s="339"/>
      <c r="AU73" s="339"/>
      <c r="AV73" s="30"/>
      <c r="AW73" s="340"/>
      <c r="AX73" s="341"/>
      <c r="AY73" s="169"/>
      <c r="AZ73" s="339"/>
      <c r="BA73" s="339"/>
      <c r="BB73" s="339"/>
      <c r="BC73" s="30"/>
      <c r="BD73" s="340"/>
      <c r="BE73" s="340"/>
      <c r="BF73" s="169"/>
      <c r="BG73" s="339"/>
      <c r="BH73" s="339"/>
      <c r="BI73" s="339"/>
      <c r="BJ73" s="30"/>
      <c r="BK73" s="340"/>
      <c r="BL73" s="341"/>
      <c r="BM73" s="169"/>
      <c r="BN73" s="339"/>
      <c r="BO73" s="339"/>
      <c r="BP73" s="339"/>
      <c r="BQ73" s="30"/>
      <c r="BR73" s="340"/>
      <c r="BS73" s="340"/>
      <c r="BT73" s="215"/>
      <c r="BU73" s="339"/>
      <c r="BV73" s="339"/>
      <c r="BW73" s="339"/>
      <c r="BX73" s="30"/>
      <c r="BY73" s="340"/>
      <c r="BZ73" s="341"/>
      <c r="CA73" s="169"/>
      <c r="CB73" s="339"/>
      <c r="CC73" s="339"/>
      <c r="CD73" s="339"/>
      <c r="CE73" s="30"/>
      <c r="CF73" s="340"/>
      <c r="CG73" s="341"/>
      <c r="CH73" s="169"/>
      <c r="CI73" s="339"/>
      <c r="CJ73" s="339"/>
      <c r="CK73" s="339"/>
      <c r="CL73" s="30"/>
      <c r="CM73" s="340"/>
      <c r="CN73" s="341"/>
      <c r="CO73" s="169"/>
      <c r="CP73" s="339"/>
      <c r="CQ73" s="339"/>
      <c r="CR73" s="339"/>
      <c r="CS73" s="30"/>
      <c r="CT73" s="340"/>
      <c r="CU73" s="341"/>
      <c r="CV73" s="169"/>
      <c r="CW73" s="339"/>
      <c r="CX73" s="339"/>
      <c r="CY73" s="339"/>
      <c r="CZ73" s="30"/>
      <c r="DA73" s="340"/>
      <c r="DB73" s="341"/>
      <c r="DC73" s="192"/>
      <c r="DD73" s="339"/>
      <c r="DE73" s="339"/>
      <c r="DF73" s="339"/>
      <c r="DG73" s="30"/>
      <c r="DH73" s="340"/>
      <c r="DI73" s="341"/>
      <c r="DJ73" s="169"/>
      <c r="DK73" s="339"/>
      <c r="DL73" s="339"/>
      <c r="DM73" s="339"/>
      <c r="DN73" s="30"/>
      <c r="DO73" s="340"/>
      <c r="DP73" s="341"/>
      <c r="DQ73" s="169"/>
      <c r="DR73" s="339"/>
      <c r="DS73" s="339"/>
      <c r="DT73" s="339"/>
      <c r="DU73" s="30"/>
      <c r="DV73" s="340"/>
      <c r="DW73" s="341"/>
      <c r="DX73" s="192"/>
      <c r="DY73" s="339"/>
      <c r="DZ73" s="339"/>
      <c r="EA73" s="339"/>
      <c r="EB73" s="30"/>
      <c r="EC73" s="340"/>
      <c r="ED73" s="341"/>
      <c r="EE73" s="169"/>
      <c r="EF73" s="339"/>
      <c r="EG73" s="339"/>
      <c r="EH73" s="339"/>
      <c r="EI73" s="30"/>
      <c r="EJ73" s="340"/>
      <c r="EK73" s="360"/>
      <c r="EL73" s="192"/>
      <c r="EM73" s="339"/>
      <c r="EN73" s="339"/>
      <c r="EO73" s="339"/>
      <c r="EP73" s="30"/>
      <c r="EQ73" s="340"/>
      <c r="ER73" s="360"/>
      <c r="ES73" s="192"/>
      <c r="ET73" s="339"/>
      <c r="EU73" s="339"/>
      <c r="EV73" s="339"/>
      <c r="EW73" s="30"/>
      <c r="EX73" s="340"/>
      <c r="EY73" s="341"/>
      <c r="EZ73" s="169"/>
      <c r="FA73" s="339"/>
      <c r="FB73" s="339"/>
      <c r="FC73" s="339"/>
      <c r="FD73" s="30"/>
      <c r="FE73" s="340"/>
      <c r="FF73" s="340"/>
      <c r="FG73" s="169"/>
      <c r="FH73" s="339"/>
      <c r="FI73" s="339"/>
      <c r="FJ73" s="339"/>
      <c r="FK73" s="30"/>
      <c r="FL73" s="340"/>
      <c r="FM73" s="341"/>
      <c r="FN73" s="169"/>
      <c r="FO73" s="339"/>
      <c r="FP73" s="339"/>
      <c r="FQ73" s="339"/>
      <c r="FR73" s="30"/>
      <c r="FS73" s="340"/>
      <c r="FT73" s="340"/>
      <c r="FU73" s="215"/>
      <c r="FV73" s="339"/>
      <c r="FW73" s="339"/>
      <c r="FX73" s="339"/>
      <c r="FY73" s="30"/>
      <c r="FZ73" s="340"/>
      <c r="GA73" s="340"/>
      <c r="GB73" s="169"/>
      <c r="GC73" s="339"/>
      <c r="GD73" s="339"/>
      <c r="GE73" s="339"/>
      <c r="GF73" s="30"/>
      <c r="GG73" s="340"/>
      <c r="GH73" s="341"/>
      <c r="GI73" s="169"/>
      <c r="GJ73" s="339"/>
      <c r="GK73" s="339"/>
      <c r="GL73" s="339"/>
      <c r="GM73" s="30"/>
      <c r="GN73" s="340"/>
      <c r="GO73" s="341"/>
      <c r="GP73" s="192"/>
      <c r="GQ73" s="339"/>
      <c r="GR73" s="339"/>
      <c r="GS73" s="339"/>
      <c r="GT73" s="30"/>
      <c r="GU73" s="340"/>
      <c r="GV73" s="341"/>
      <c r="GW73" s="169"/>
      <c r="GX73" s="339"/>
      <c r="GY73" s="339"/>
      <c r="GZ73" s="339"/>
      <c r="HA73" s="30"/>
      <c r="HB73" s="340"/>
      <c r="HC73" s="341"/>
      <c r="HD73" s="169"/>
      <c r="HE73" s="339"/>
      <c r="HF73" s="339"/>
      <c r="HG73" s="339"/>
      <c r="HH73" s="30"/>
      <c r="HI73" s="340"/>
      <c r="HJ73" s="360"/>
      <c r="HK73" s="192"/>
      <c r="HL73" s="339"/>
      <c r="HM73" s="339"/>
      <c r="HN73" s="339"/>
      <c r="HO73" s="30"/>
      <c r="HP73" s="340"/>
      <c r="HQ73" s="360"/>
      <c r="HR73" s="192"/>
      <c r="HS73" s="339"/>
      <c r="HT73" s="339"/>
      <c r="HU73" s="339"/>
      <c r="HV73" s="258"/>
      <c r="HW73" s="340"/>
      <c r="HX73" s="341"/>
    </row>
    <row r="74" spans="2:232" ht="15" customHeight="1" outlineLevel="1" x14ac:dyDescent="0.25">
      <c r="B74" s="147"/>
      <c r="C74" s="147"/>
      <c r="D74" s="148"/>
      <c r="E74" s="147"/>
      <c r="F74" s="149"/>
      <c r="G74" s="148"/>
      <c r="H74" s="149"/>
      <c r="I74" s="174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V74" s="150" t="s">
        <v>170</v>
      </c>
      <c r="W74" s="151"/>
      <c r="X74" s="151"/>
      <c r="Y74" s="151"/>
      <c r="Z74" s="151"/>
      <c r="AA74" s="151"/>
      <c r="AB74" s="369"/>
      <c r="AC74" s="370"/>
      <c r="AD74" s="342" t="s">
        <v>217</v>
      </c>
      <c r="AE74" s="343"/>
      <c r="AF74" s="343"/>
      <c r="AG74" s="343"/>
      <c r="AH74" s="343"/>
      <c r="AI74" s="152"/>
      <c r="AJ74" s="194">
        <f>COUNTA(AD79:AD80)</f>
        <v>1</v>
      </c>
      <c r="AK74" s="366" t="s">
        <v>217</v>
      </c>
      <c r="AL74" s="343"/>
      <c r="AM74" s="343"/>
      <c r="AN74" s="343"/>
      <c r="AO74" s="343"/>
      <c r="AP74" s="152"/>
      <c r="AQ74" s="155">
        <f>COUNTA(AK79:AK80)</f>
        <v>1</v>
      </c>
      <c r="AR74" s="342" t="s">
        <v>217</v>
      </c>
      <c r="AS74" s="343"/>
      <c r="AT74" s="343"/>
      <c r="AU74" s="343"/>
      <c r="AV74" s="343"/>
      <c r="AW74" s="152"/>
      <c r="AX74" s="155">
        <f>COUNTA(AR79:AR80)</f>
        <v>1</v>
      </c>
      <c r="AY74" s="342" t="s">
        <v>217</v>
      </c>
      <c r="AZ74" s="343"/>
      <c r="BA74" s="343"/>
      <c r="BB74" s="343"/>
      <c r="BC74" s="343"/>
      <c r="BD74" s="152"/>
      <c r="BE74" s="194">
        <f>COUNTA(AY79:AY80)</f>
        <v>1</v>
      </c>
      <c r="BF74" s="342" t="s">
        <v>217</v>
      </c>
      <c r="BG74" s="343"/>
      <c r="BH74" s="343"/>
      <c r="BI74" s="343"/>
      <c r="BJ74" s="343"/>
      <c r="BK74" s="152"/>
      <c r="BL74" s="155">
        <f>COUNTA(BF79:BF80)</f>
        <v>1</v>
      </c>
      <c r="BM74" s="156"/>
      <c r="BN74" s="152"/>
      <c r="BO74" s="153"/>
      <c r="BP74" s="152"/>
      <c r="BQ74" s="154"/>
      <c r="BR74" s="152"/>
      <c r="BS74" s="194">
        <f>COUNTA(BM79:BM80)</f>
        <v>1</v>
      </c>
      <c r="BT74" s="366" t="s">
        <v>217</v>
      </c>
      <c r="BU74" s="343"/>
      <c r="BV74" s="343"/>
      <c r="BW74" s="343"/>
      <c r="BX74" s="343"/>
      <c r="BY74" s="152"/>
      <c r="BZ74" s="155">
        <f>COUNTA(BT79:BT80)</f>
        <v>1</v>
      </c>
      <c r="CA74" s="342" t="s">
        <v>217</v>
      </c>
      <c r="CB74" s="343"/>
      <c r="CC74" s="343"/>
      <c r="CD74" s="343"/>
      <c r="CE74" s="343"/>
      <c r="CF74" s="152"/>
      <c r="CG74" s="155">
        <f>COUNTA(CA79:CA80)</f>
        <v>1</v>
      </c>
      <c r="CH74" s="342" t="s">
        <v>217</v>
      </c>
      <c r="CI74" s="343"/>
      <c r="CJ74" s="343"/>
      <c r="CK74" s="343"/>
      <c r="CL74" s="343"/>
      <c r="CM74" s="152"/>
      <c r="CN74" s="155">
        <f>COUNTA(CH79:CH80)</f>
        <v>1</v>
      </c>
      <c r="CO74" s="342" t="s">
        <v>217</v>
      </c>
      <c r="CP74" s="343"/>
      <c r="CQ74" s="343"/>
      <c r="CR74" s="343"/>
      <c r="CS74" s="343"/>
      <c r="CT74" s="152"/>
      <c r="CU74" s="155">
        <f>COUNTA(CO79:CO80)</f>
        <v>1</v>
      </c>
      <c r="CV74" s="342" t="s">
        <v>217</v>
      </c>
      <c r="CW74" s="343"/>
      <c r="CX74" s="343"/>
      <c r="CY74" s="343"/>
      <c r="CZ74" s="343"/>
      <c r="DA74" s="152"/>
      <c r="DB74" s="155">
        <f>COUNTA(CV79:CV80)</f>
        <v>1</v>
      </c>
      <c r="DC74" s="343" t="s">
        <v>217</v>
      </c>
      <c r="DD74" s="343"/>
      <c r="DE74" s="343"/>
      <c r="DF74" s="343"/>
      <c r="DG74" s="343"/>
      <c r="DH74" s="152"/>
      <c r="DI74" s="155">
        <f>COUNTA(DC79:DC80)</f>
        <v>1</v>
      </c>
      <c r="DJ74" s="342" t="s">
        <v>217</v>
      </c>
      <c r="DK74" s="343"/>
      <c r="DL74" s="343"/>
      <c r="DM74" s="343"/>
      <c r="DN74" s="343"/>
      <c r="DO74" s="152"/>
      <c r="DP74" s="155">
        <f>COUNTA(DJ79:DJ80)</f>
        <v>1</v>
      </c>
      <c r="DQ74" s="342" t="s">
        <v>217</v>
      </c>
      <c r="DR74" s="343"/>
      <c r="DS74" s="343"/>
      <c r="DT74" s="343"/>
      <c r="DU74" s="343"/>
      <c r="DV74" s="152"/>
      <c r="DW74" s="155">
        <f>COUNTA(DQ79:DQ80)</f>
        <v>1</v>
      </c>
      <c r="DX74" s="343" t="s">
        <v>217</v>
      </c>
      <c r="DY74" s="343"/>
      <c r="DZ74" s="343"/>
      <c r="EA74" s="343"/>
      <c r="EB74" s="343"/>
      <c r="EC74" s="152"/>
      <c r="ED74" s="155">
        <f>COUNTA(DX79:DX80)</f>
        <v>1</v>
      </c>
      <c r="EE74" s="342" t="s">
        <v>217</v>
      </c>
      <c r="EF74" s="343"/>
      <c r="EG74" s="343"/>
      <c r="EH74" s="343"/>
      <c r="EI74" s="343"/>
      <c r="EJ74" s="152"/>
      <c r="EK74" s="218">
        <f>COUNTA(EE79:EE80)</f>
        <v>1</v>
      </c>
      <c r="EL74" s="343" t="s">
        <v>217</v>
      </c>
      <c r="EM74" s="343"/>
      <c r="EN74" s="343"/>
      <c r="EO74" s="343"/>
      <c r="EP74" s="343"/>
      <c r="EQ74" s="152"/>
      <c r="ER74" s="218">
        <f>COUNTA(EL79:EL80)</f>
        <v>1</v>
      </c>
      <c r="ES74" s="343" t="s">
        <v>217</v>
      </c>
      <c r="ET74" s="343"/>
      <c r="EU74" s="343"/>
      <c r="EV74" s="343"/>
      <c r="EW74" s="343"/>
      <c r="EX74" s="152"/>
      <c r="EY74" s="155">
        <f>COUNTA(ES79:ES80)</f>
        <v>1</v>
      </c>
      <c r="EZ74" s="342" t="s">
        <v>217</v>
      </c>
      <c r="FA74" s="343"/>
      <c r="FB74" s="343"/>
      <c r="FC74" s="343"/>
      <c r="FD74" s="343"/>
      <c r="FE74" s="152"/>
      <c r="FF74" s="194">
        <f>COUNTA(EZ79:EZ80)</f>
        <v>1</v>
      </c>
      <c r="FG74" s="342" t="s">
        <v>217</v>
      </c>
      <c r="FH74" s="343"/>
      <c r="FI74" s="343"/>
      <c r="FJ74" s="343"/>
      <c r="FK74" s="343"/>
      <c r="FL74" s="152"/>
      <c r="FM74" s="155">
        <f>COUNTA(FG79:FG80)</f>
        <v>1</v>
      </c>
      <c r="FN74" s="156"/>
      <c r="FO74" s="152"/>
      <c r="FP74" s="153"/>
      <c r="FQ74" s="152"/>
      <c r="FR74" s="154"/>
      <c r="FS74" s="152"/>
      <c r="FT74" s="194">
        <f>COUNTA(FN79:FN80)</f>
        <v>1</v>
      </c>
      <c r="FU74" s="366" t="s">
        <v>217</v>
      </c>
      <c r="FV74" s="343"/>
      <c r="FW74" s="343"/>
      <c r="FX74" s="343"/>
      <c r="FY74" s="343"/>
      <c r="FZ74" s="152"/>
      <c r="GA74" s="194">
        <f>COUNTA(FU79:FU80)</f>
        <v>1</v>
      </c>
      <c r="GB74" s="342" t="s">
        <v>217</v>
      </c>
      <c r="GC74" s="343"/>
      <c r="GD74" s="343"/>
      <c r="GE74" s="343"/>
      <c r="GF74" s="343"/>
      <c r="GG74" s="152"/>
      <c r="GH74" s="155">
        <f>COUNTA(GB79:GB80)</f>
        <v>1</v>
      </c>
      <c r="GI74" s="342" t="s">
        <v>217</v>
      </c>
      <c r="GJ74" s="343"/>
      <c r="GK74" s="343"/>
      <c r="GL74" s="343"/>
      <c r="GM74" s="343"/>
      <c r="GN74" s="152"/>
      <c r="GO74" s="155">
        <f>COUNTA(GI79:GI80)</f>
        <v>1</v>
      </c>
      <c r="GP74" s="343" t="s">
        <v>217</v>
      </c>
      <c r="GQ74" s="343"/>
      <c r="GR74" s="343"/>
      <c r="GS74" s="343"/>
      <c r="GT74" s="343"/>
      <c r="GU74" s="152"/>
      <c r="GV74" s="155">
        <f>COUNTA(GP79:GP80)</f>
        <v>1</v>
      </c>
      <c r="GW74" s="342" t="s">
        <v>217</v>
      </c>
      <c r="GX74" s="343"/>
      <c r="GY74" s="343"/>
      <c r="GZ74" s="343"/>
      <c r="HA74" s="343"/>
      <c r="HB74" s="152"/>
      <c r="HC74" s="155">
        <f>COUNTA(GW79:GW80)</f>
        <v>1</v>
      </c>
      <c r="HD74" s="342" t="s">
        <v>217</v>
      </c>
      <c r="HE74" s="343"/>
      <c r="HF74" s="343"/>
      <c r="HG74" s="343"/>
      <c r="HH74" s="343"/>
      <c r="HI74" s="152"/>
      <c r="HJ74" s="218">
        <f>COUNTA(HD79:HD80)</f>
        <v>1</v>
      </c>
      <c r="HK74" s="343" t="s">
        <v>217</v>
      </c>
      <c r="HL74" s="343"/>
      <c r="HM74" s="343"/>
      <c r="HN74" s="343"/>
      <c r="HO74" s="343"/>
      <c r="HP74" s="152"/>
      <c r="HQ74" s="218">
        <f>COUNTA(HK79:HK80)</f>
        <v>1</v>
      </c>
      <c r="HR74" s="152"/>
      <c r="HS74" s="152"/>
      <c r="HT74" s="153"/>
      <c r="HU74" s="152"/>
      <c r="HV74" s="255"/>
      <c r="HW74" s="152"/>
      <c r="HX74" s="155">
        <f>COUNTA(HR79:HR80)</f>
        <v>0</v>
      </c>
    </row>
    <row r="75" spans="2:232" ht="15" customHeight="1" outlineLevel="1" x14ac:dyDescent="0.25">
      <c r="B75" s="147"/>
      <c r="C75" s="147"/>
      <c r="D75" s="147"/>
      <c r="E75" s="147"/>
      <c r="F75" s="157"/>
      <c r="G75" s="147"/>
      <c r="H75" s="157"/>
      <c r="I75" s="175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V75" s="185" t="s">
        <v>224</v>
      </c>
      <c r="W75" s="186"/>
      <c r="X75" s="186"/>
      <c r="Y75" s="186"/>
      <c r="Z75" s="186"/>
      <c r="AA75" s="186"/>
      <c r="AB75" s="187"/>
      <c r="AC75" s="188"/>
      <c r="AD75" s="344" t="s">
        <v>225</v>
      </c>
      <c r="AE75" s="345"/>
      <c r="AF75" s="345"/>
      <c r="AG75" s="181" t="s">
        <v>75</v>
      </c>
      <c r="AH75" s="346" t="s">
        <v>292</v>
      </c>
      <c r="AI75" s="346"/>
      <c r="AJ75" s="346"/>
      <c r="AK75" s="363" t="s">
        <v>227</v>
      </c>
      <c r="AL75" s="345"/>
      <c r="AM75" s="345"/>
      <c r="AN75" s="181" t="s">
        <v>75</v>
      </c>
      <c r="AO75" s="346" t="s">
        <v>322</v>
      </c>
      <c r="AP75" s="346"/>
      <c r="AQ75" s="349"/>
      <c r="AR75" s="344" t="s">
        <v>227</v>
      </c>
      <c r="AS75" s="345"/>
      <c r="AT75" s="345"/>
      <c r="AU75" s="181" t="s">
        <v>75</v>
      </c>
      <c r="AV75" s="346" t="s">
        <v>322</v>
      </c>
      <c r="AW75" s="346"/>
      <c r="AX75" s="349"/>
      <c r="AY75" s="344" t="s">
        <v>227</v>
      </c>
      <c r="AZ75" s="345"/>
      <c r="BA75" s="345"/>
      <c r="BB75" s="181" t="s">
        <v>75</v>
      </c>
      <c r="BC75" s="346" t="s">
        <v>322</v>
      </c>
      <c r="BD75" s="346"/>
      <c r="BE75" s="349"/>
      <c r="BF75" s="344" t="s">
        <v>227</v>
      </c>
      <c r="BG75" s="345"/>
      <c r="BH75" s="345"/>
      <c r="BI75" s="181" t="s">
        <v>75</v>
      </c>
      <c r="BJ75" s="346" t="s">
        <v>322</v>
      </c>
      <c r="BK75" s="346"/>
      <c r="BL75" s="349"/>
      <c r="BM75" s="180"/>
      <c r="BN75" s="181"/>
      <c r="BO75" s="182"/>
      <c r="BP75" s="181"/>
      <c r="BQ75" s="183"/>
      <c r="BR75" s="181"/>
      <c r="BS75" s="210"/>
      <c r="BT75" s="363" t="s">
        <v>232</v>
      </c>
      <c r="BU75" s="345"/>
      <c r="BV75" s="345"/>
      <c r="BW75" s="181" t="s">
        <v>75</v>
      </c>
      <c r="BX75" s="346" t="s">
        <v>341</v>
      </c>
      <c r="BY75" s="346"/>
      <c r="BZ75" s="349"/>
      <c r="CA75" s="344" t="s">
        <v>232</v>
      </c>
      <c r="CB75" s="345"/>
      <c r="CC75" s="345"/>
      <c r="CD75" s="181" t="s">
        <v>75</v>
      </c>
      <c r="CE75" s="346" t="s">
        <v>341</v>
      </c>
      <c r="CF75" s="346"/>
      <c r="CG75" s="349"/>
      <c r="CH75" s="344" t="s">
        <v>232</v>
      </c>
      <c r="CI75" s="345"/>
      <c r="CJ75" s="345"/>
      <c r="CK75" s="181" t="s">
        <v>75</v>
      </c>
      <c r="CL75" s="346" t="s">
        <v>341</v>
      </c>
      <c r="CM75" s="346"/>
      <c r="CN75" s="349"/>
      <c r="CO75" s="344" t="s">
        <v>232</v>
      </c>
      <c r="CP75" s="345"/>
      <c r="CQ75" s="345"/>
      <c r="CR75" s="181" t="s">
        <v>75</v>
      </c>
      <c r="CS75" s="346" t="s">
        <v>341</v>
      </c>
      <c r="CT75" s="346"/>
      <c r="CU75" s="349"/>
      <c r="CV75" s="344" t="s">
        <v>232</v>
      </c>
      <c r="CW75" s="345"/>
      <c r="CX75" s="345"/>
      <c r="CY75" s="181" t="s">
        <v>75</v>
      </c>
      <c r="CZ75" s="346" t="s">
        <v>341</v>
      </c>
      <c r="DA75" s="346"/>
      <c r="DB75" s="349"/>
      <c r="DC75" s="344" t="s">
        <v>232</v>
      </c>
      <c r="DD75" s="345"/>
      <c r="DE75" s="345"/>
      <c r="DF75" s="181" t="s">
        <v>75</v>
      </c>
      <c r="DG75" s="346" t="s">
        <v>341</v>
      </c>
      <c r="DH75" s="346"/>
      <c r="DI75" s="349"/>
      <c r="DJ75" s="344" t="s">
        <v>232</v>
      </c>
      <c r="DK75" s="345"/>
      <c r="DL75" s="345"/>
      <c r="DM75" s="181" t="s">
        <v>75</v>
      </c>
      <c r="DN75" s="346" t="s">
        <v>341</v>
      </c>
      <c r="DO75" s="346"/>
      <c r="DP75" s="349"/>
      <c r="DQ75" s="345" t="s">
        <v>232</v>
      </c>
      <c r="DR75" s="345"/>
      <c r="DS75" s="345"/>
      <c r="DT75" s="181" t="s">
        <v>75</v>
      </c>
      <c r="DU75" s="346" t="s">
        <v>341</v>
      </c>
      <c r="DV75" s="346"/>
      <c r="DW75" s="349"/>
      <c r="DX75" s="345" t="s">
        <v>232</v>
      </c>
      <c r="DY75" s="345"/>
      <c r="DZ75" s="345"/>
      <c r="EA75" s="181" t="s">
        <v>75</v>
      </c>
      <c r="EB75" s="346" t="s">
        <v>341</v>
      </c>
      <c r="EC75" s="346"/>
      <c r="ED75" s="349"/>
      <c r="EE75" s="345" t="s">
        <v>232</v>
      </c>
      <c r="EF75" s="345"/>
      <c r="EG75" s="345"/>
      <c r="EH75" s="181" t="s">
        <v>75</v>
      </c>
      <c r="EI75" s="346" t="s">
        <v>341</v>
      </c>
      <c r="EJ75" s="346"/>
      <c r="EK75" s="347"/>
      <c r="EL75" s="345" t="s">
        <v>539</v>
      </c>
      <c r="EM75" s="345"/>
      <c r="EN75" s="345"/>
      <c r="EO75" s="181" t="s">
        <v>75</v>
      </c>
      <c r="EP75" s="346" t="s">
        <v>341</v>
      </c>
      <c r="EQ75" s="346"/>
      <c r="ER75" s="347"/>
      <c r="ES75" s="345" t="s">
        <v>243</v>
      </c>
      <c r="ET75" s="345"/>
      <c r="EU75" s="345"/>
      <c r="EV75" s="181" t="s">
        <v>75</v>
      </c>
      <c r="EW75" s="346" t="s">
        <v>369</v>
      </c>
      <c r="EX75" s="346"/>
      <c r="EY75" s="349"/>
      <c r="EZ75" s="344" t="s">
        <v>243</v>
      </c>
      <c r="FA75" s="345"/>
      <c r="FB75" s="345"/>
      <c r="FC75" s="181" t="s">
        <v>75</v>
      </c>
      <c r="FD75" s="346" t="s">
        <v>369</v>
      </c>
      <c r="FE75" s="346"/>
      <c r="FF75" s="346"/>
      <c r="FG75" s="344" t="s">
        <v>243</v>
      </c>
      <c r="FH75" s="345"/>
      <c r="FI75" s="345"/>
      <c r="FJ75" s="181" t="s">
        <v>75</v>
      </c>
      <c r="FK75" s="346" t="s">
        <v>369</v>
      </c>
      <c r="FL75" s="346"/>
      <c r="FM75" s="346"/>
      <c r="FN75" s="180"/>
      <c r="FO75" s="181"/>
      <c r="FP75" s="182"/>
      <c r="FQ75" s="181"/>
      <c r="FR75" s="183"/>
      <c r="FS75" s="181"/>
      <c r="FT75" s="210"/>
      <c r="FU75" s="363" t="s">
        <v>246</v>
      </c>
      <c r="FV75" s="345"/>
      <c r="FW75" s="345"/>
      <c r="FX75" s="181" t="s">
        <v>75</v>
      </c>
      <c r="FY75" s="346" t="s">
        <v>392</v>
      </c>
      <c r="FZ75" s="346"/>
      <c r="GA75" s="346"/>
      <c r="GB75" s="344" t="s">
        <v>246</v>
      </c>
      <c r="GC75" s="345"/>
      <c r="GD75" s="345"/>
      <c r="GE75" s="181" t="s">
        <v>75</v>
      </c>
      <c r="GF75" s="346" t="s">
        <v>392</v>
      </c>
      <c r="GG75" s="346"/>
      <c r="GH75" s="349"/>
      <c r="GI75" s="344" t="s">
        <v>246</v>
      </c>
      <c r="GJ75" s="345"/>
      <c r="GK75" s="345"/>
      <c r="GL75" s="181" t="s">
        <v>75</v>
      </c>
      <c r="GM75" s="346" t="s">
        <v>392</v>
      </c>
      <c r="GN75" s="346"/>
      <c r="GO75" s="349"/>
      <c r="GP75" s="345" t="s">
        <v>246</v>
      </c>
      <c r="GQ75" s="345"/>
      <c r="GR75" s="345"/>
      <c r="GS75" s="181" t="s">
        <v>75</v>
      </c>
      <c r="GT75" s="346" t="s">
        <v>392</v>
      </c>
      <c r="GU75" s="346"/>
      <c r="GV75" s="349"/>
      <c r="GW75" s="344" t="s">
        <v>246</v>
      </c>
      <c r="GX75" s="345"/>
      <c r="GY75" s="345"/>
      <c r="GZ75" s="181" t="s">
        <v>75</v>
      </c>
      <c r="HA75" s="346" t="s">
        <v>392</v>
      </c>
      <c r="HB75" s="346"/>
      <c r="HC75" s="349"/>
      <c r="HD75" s="344" t="s">
        <v>246</v>
      </c>
      <c r="HE75" s="345"/>
      <c r="HF75" s="345"/>
      <c r="HG75" s="181" t="s">
        <v>75</v>
      </c>
      <c r="HH75" s="346" t="s">
        <v>392</v>
      </c>
      <c r="HI75" s="346"/>
      <c r="HJ75" s="347"/>
      <c r="HK75" s="345" t="s">
        <v>541</v>
      </c>
      <c r="HL75" s="345"/>
      <c r="HM75" s="345"/>
      <c r="HN75" s="181" t="s">
        <v>75</v>
      </c>
      <c r="HO75" s="346" t="s">
        <v>392</v>
      </c>
      <c r="HP75" s="346"/>
      <c r="HQ75" s="347"/>
      <c r="HR75" s="181"/>
      <c r="HS75" s="181"/>
      <c r="HT75" s="182"/>
      <c r="HU75" s="181"/>
      <c r="HV75" s="256"/>
      <c r="HW75" s="181"/>
      <c r="HX75" s="184"/>
    </row>
    <row r="76" spans="2:232" ht="15" customHeight="1" outlineLevel="1" x14ac:dyDescent="0.25">
      <c r="B76" s="147"/>
      <c r="C76" s="147"/>
      <c r="D76" s="147"/>
      <c r="E76" s="147"/>
      <c r="F76" s="157"/>
      <c r="G76" s="147"/>
      <c r="H76" s="157"/>
      <c r="I76" s="175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V76" s="161" t="s">
        <v>199</v>
      </c>
      <c r="W76" s="12"/>
      <c r="X76" s="12"/>
      <c r="Y76" s="12"/>
      <c r="Z76" s="12"/>
      <c r="AA76" s="12"/>
      <c r="AB76" s="12"/>
      <c r="AC76" s="14"/>
      <c r="AD76" s="352" t="s">
        <v>201</v>
      </c>
      <c r="AE76" s="353"/>
      <c r="AF76" s="353"/>
      <c r="AG76" s="1" t="s">
        <v>57</v>
      </c>
      <c r="AH76" s="337" t="s">
        <v>221</v>
      </c>
      <c r="AI76" s="337"/>
      <c r="AJ76" s="337"/>
      <c r="AK76" s="364" t="s">
        <v>202</v>
      </c>
      <c r="AL76" s="337"/>
      <c r="AM76" s="337"/>
      <c r="AN76" s="1" t="s">
        <v>57</v>
      </c>
      <c r="AO76" s="337" t="s">
        <v>221</v>
      </c>
      <c r="AP76" s="337"/>
      <c r="AQ76" s="338"/>
      <c r="AR76" s="350" t="s">
        <v>221</v>
      </c>
      <c r="AS76" s="337"/>
      <c r="AT76" s="337"/>
      <c r="AU76" s="1" t="s">
        <v>57</v>
      </c>
      <c r="AV76" s="337" t="s">
        <v>228</v>
      </c>
      <c r="AW76" s="337"/>
      <c r="AX76" s="338"/>
      <c r="AY76" s="350" t="s">
        <v>228</v>
      </c>
      <c r="AZ76" s="337"/>
      <c r="BA76" s="337"/>
      <c r="BB76" s="1" t="s">
        <v>57</v>
      </c>
      <c r="BC76" s="337" t="s">
        <v>352</v>
      </c>
      <c r="BD76" s="337"/>
      <c r="BE76" s="337"/>
      <c r="BF76" s="350" t="s">
        <v>556</v>
      </c>
      <c r="BG76" s="337"/>
      <c r="BH76" s="337"/>
      <c r="BI76" s="191"/>
      <c r="BJ76" s="337"/>
      <c r="BK76" s="337"/>
      <c r="BL76" s="338"/>
      <c r="BM76" s="350"/>
      <c r="BN76" s="337"/>
      <c r="BO76" s="337"/>
      <c r="BQ76" s="337"/>
      <c r="BR76" s="337"/>
      <c r="BS76" s="337"/>
      <c r="BT76" s="364" t="s">
        <v>221</v>
      </c>
      <c r="BU76" s="337"/>
      <c r="BV76" s="337"/>
      <c r="BW76" s="1" t="s">
        <v>57</v>
      </c>
      <c r="BX76" s="337" t="s">
        <v>231</v>
      </c>
      <c r="BY76" s="337"/>
      <c r="BZ76" s="338"/>
      <c r="CA76" s="337" t="s">
        <v>231</v>
      </c>
      <c r="CB76" s="337"/>
      <c r="CC76" s="337"/>
      <c r="CD76" s="1" t="s">
        <v>57</v>
      </c>
      <c r="CE76" s="337" t="s">
        <v>221</v>
      </c>
      <c r="CF76" s="337"/>
      <c r="CG76" s="337"/>
      <c r="CH76" s="350" t="s">
        <v>221</v>
      </c>
      <c r="CI76" s="337"/>
      <c r="CJ76" s="337"/>
      <c r="CK76" s="1" t="s">
        <v>57</v>
      </c>
      <c r="CL76" s="337" t="s">
        <v>234</v>
      </c>
      <c r="CM76" s="337"/>
      <c r="CN76" s="338"/>
      <c r="CO76" s="350" t="s">
        <v>262</v>
      </c>
      <c r="CP76" s="337"/>
      <c r="CQ76" s="337"/>
      <c r="CR76" s="1" t="s">
        <v>57</v>
      </c>
      <c r="CS76" s="337" t="s">
        <v>233</v>
      </c>
      <c r="CT76" s="337"/>
      <c r="CU76" s="338"/>
      <c r="CV76" s="350" t="s">
        <v>228</v>
      </c>
      <c r="CW76" s="337"/>
      <c r="CX76" s="337"/>
      <c r="CY76" s="1" t="s">
        <v>57</v>
      </c>
      <c r="CZ76" s="337" t="s">
        <v>231</v>
      </c>
      <c r="DA76" s="337"/>
      <c r="DB76" s="338"/>
      <c r="DC76" s="350" t="s">
        <v>231</v>
      </c>
      <c r="DD76" s="337"/>
      <c r="DE76" s="337"/>
      <c r="DF76" s="1" t="s">
        <v>57</v>
      </c>
      <c r="DG76" s="337" t="s">
        <v>252</v>
      </c>
      <c r="DH76" s="337"/>
      <c r="DI76" s="338"/>
      <c r="DJ76" s="350" t="s">
        <v>252</v>
      </c>
      <c r="DK76" s="337"/>
      <c r="DL76" s="337"/>
      <c r="DM76" s="1" t="s">
        <v>57</v>
      </c>
      <c r="DN76" s="337" t="s">
        <v>234</v>
      </c>
      <c r="DO76" s="337"/>
      <c r="DP76" s="338"/>
      <c r="DQ76" s="350" t="s">
        <v>233</v>
      </c>
      <c r="DR76" s="337"/>
      <c r="DS76" s="337"/>
      <c r="DT76" s="191"/>
      <c r="DU76" s="337"/>
      <c r="DV76" s="337"/>
      <c r="DW76" s="338"/>
      <c r="DX76" s="350" t="s">
        <v>252</v>
      </c>
      <c r="DY76" s="337"/>
      <c r="DZ76" s="337"/>
      <c r="EA76" s="1" t="s">
        <v>57</v>
      </c>
      <c r="EB76" s="337" t="s">
        <v>221</v>
      </c>
      <c r="EC76" s="337"/>
      <c r="ED76" s="338"/>
      <c r="EE76" s="350" t="s">
        <v>231</v>
      </c>
      <c r="EF76" s="337"/>
      <c r="EG76" s="337"/>
      <c r="EH76" s="191"/>
      <c r="EI76" s="337"/>
      <c r="EJ76" s="337"/>
      <c r="EK76" s="351"/>
      <c r="EL76" s="337" t="s">
        <v>383</v>
      </c>
      <c r="EM76" s="337"/>
      <c r="EN76" s="337"/>
      <c r="EO76" s="191"/>
      <c r="EP76" s="337"/>
      <c r="EQ76" s="337"/>
      <c r="ER76" s="351"/>
      <c r="ES76" s="337" t="s">
        <v>384</v>
      </c>
      <c r="ET76" s="337"/>
      <c r="EU76" s="337"/>
      <c r="EV76" s="1" t="s">
        <v>57</v>
      </c>
      <c r="EW76" s="337" t="s">
        <v>228</v>
      </c>
      <c r="EX76" s="337"/>
      <c r="EY76" s="338"/>
      <c r="EZ76" s="350" t="s">
        <v>228</v>
      </c>
      <c r="FA76" s="337"/>
      <c r="FB76" s="337"/>
      <c r="FC76" s="1" t="s">
        <v>57</v>
      </c>
      <c r="FD76" s="337" t="s">
        <v>352</v>
      </c>
      <c r="FE76" s="337"/>
      <c r="FF76" s="337"/>
      <c r="FG76" s="350" t="s">
        <v>352</v>
      </c>
      <c r="FH76" s="337"/>
      <c r="FI76" s="337"/>
      <c r="FJ76" s="191"/>
      <c r="FK76" s="337"/>
      <c r="FL76" s="337"/>
      <c r="FM76" s="338"/>
      <c r="FN76" s="350"/>
      <c r="FO76" s="337"/>
      <c r="FP76" s="337"/>
      <c r="FR76" s="337"/>
      <c r="FS76" s="337"/>
      <c r="FT76" s="337"/>
      <c r="FU76" s="364" t="s">
        <v>252</v>
      </c>
      <c r="FV76" s="337"/>
      <c r="FW76" s="337"/>
      <c r="FX76" s="1" t="s">
        <v>57</v>
      </c>
      <c r="FY76" s="337" t="s">
        <v>231</v>
      </c>
      <c r="FZ76" s="337"/>
      <c r="GA76" s="337"/>
      <c r="GB76" s="350" t="s">
        <v>231</v>
      </c>
      <c r="GC76" s="337"/>
      <c r="GD76" s="337"/>
      <c r="GE76" s="1" t="s">
        <v>57</v>
      </c>
      <c r="GF76" s="337" t="s">
        <v>252</v>
      </c>
      <c r="GG76" s="337"/>
      <c r="GH76" s="338"/>
      <c r="GI76" s="350" t="s">
        <v>252</v>
      </c>
      <c r="GJ76" s="337"/>
      <c r="GK76" s="337"/>
      <c r="GL76" s="1" t="s">
        <v>57</v>
      </c>
      <c r="GM76" s="337" t="s">
        <v>234</v>
      </c>
      <c r="GN76" s="337"/>
      <c r="GO76" s="338"/>
      <c r="GP76" s="337" t="s">
        <v>233</v>
      </c>
      <c r="GQ76" s="337"/>
      <c r="GR76" s="337"/>
      <c r="GS76" s="191"/>
      <c r="GT76" s="337"/>
      <c r="GU76" s="337"/>
      <c r="GV76" s="338"/>
      <c r="GW76" s="350" t="s">
        <v>382</v>
      </c>
      <c r="GX76" s="337"/>
      <c r="GY76" s="337"/>
      <c r="GZ76" s="1" t="s">
        <v>57</v>
      </c>
      <c r="HA76" s="337" t="s">
        <v>426</v>
      </c>
      <c r="HB76" s="337"/>
      <c r="HC76" s="338"/>
      <c r="HD76" s="350" t="s">
        <v>231</v>
      </c>
      <c r="HE76" s="337"/>
      <c r="HF76" s="337"/>
      <c r="HG76" s="191"/>
      <c r="HH76" s="337"/>
      <c r="HI76" s="337"/>
      <c r="HJ76" s="351"/>
      <c r="HK76" s="337" t="s">
        <v>383</v>
      </c>
      <c r="HL76" s="337"/>
      <c r="HM76" s="337"/>
      <c r="HO76" s="337"/>
      <c r="HP76" s="337"/>
      <c r="HQ76" s="351"/>
      <c r="HR76" s="337"/>
      <c r="HS76" s="337"/>
      <c r="HT76" s="337"/>
      <c r="HV76" s="337"/>
      <c r="HW76" s="337"/>
      <c r="HX76" s="338"/>
    </row>
    <row r="77" spans="2:232" ht="15" customHeight="1" outlineLevel="1" x14ac:dyDescent="0.25">
      <c r="B77" s="147"/>
      <c r="C77" s="147"/>
      <c r="D77" s="147"/>
      <c r="E77" s="147"/>
      <c r="F77" s="157"/>
      <c r="G77" s="147"/>
      <c r="H77" s="157"/>
      <c r="I77" s="175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V77" s="161" t="s">
        <v>200</v>
      </c>
      <c r="W77" s="12"/>
      <c r="X77" s="12"/>
      <c r="Y77" s="12"/>
      <c r="Z77" s="12"/>
      <c r="AA77" s="12"/>
      <c r="AB77" s="12"/>
      <c r="AC77" s="14"/>
      <c r="AD77" s="352" t="s">
        <v>201</v>
      </c>
      <c r="AE77" s="353"/>
      <c r="AF77" s="353"/>
      <c r="AG77" s="1" t="s">
        <v>57</v>
      </c>
      <c r="AH77" s="353" t="s">
        <v>220</v>
      </c>
      <c r="AI77" s="353"/>
      <c r="AJ77" s="353"/>
      <c r="AK77" s="367" t="s">
        <v>220</v>
      </c>
      <c r="AL77" s="353"/>
      <c r="AM77" s="353"/>
      <c r="AO77" s="353"/>
      <c r="AP77" s="353"/>
      <c r="AQ77" s="355"/>
      <c r="AR77" s="352" t="s">
        <v>220</v>
      </c>
      <c r="AS77" s="353"/>
      <c r="AT77" s="353"/>
      <c r="AV77" s="353"/>
      <c r="AW77" s="353"/>
      <c r="AX77" s="355"/>
      <c r="AY77" s="352" t="s">
        <v>229</v>
      </c>
      <c r="AZ77" s="353"/>
      <c r="BA77" s="353"/>
      <c r="BC77" s="353"/>
      <c r="BD77" s="353"/>
      <c r="BE77" s="353"/>
      <c r="BF77" s="352" t="s">
        <v>229</v>
      </c>
      <c r="BG77" s="353"/>
      <c r="BH77" s="353"/>
      <c r="BJ77" s="353"/>
      <c r="BK77" s="353"/>
      <c r="BL77" s="353"/>
      <c r="BM77" s="352"/>
      <c r="BN77" s="353"/>
      <c r="BO77" s="353"/>
      <c r="BQ77" s="353"/>
      <c r="BR77" s="353"/>
      <c r="BS77" s="353"/>
      <c r="BT77" s="367" t="s">
        <v>229</v>
      </c>
      <c r="BU77" s="353"/>
      <c r="BV77" s="353"/>
      <c r="BX77" s="353"/>
      <c r="BY77" s="353"/>
      <c r="BZ77" s="355"/>
      <c r="CA77" s="352" t="s">
        <v>229</v>
      </c>
      <c r="CB77" s="353"/>
      <c r="CC77" s="353"/>
      <c r="CE77" s="353"/>
      <c r="CF77" s="353"/>
      <c r="CG77" s="353"/>
      <c r="CH77" s="352" t="s">
        <v>229</v>
      </c>
      <c r="CI77" s="353"/>
      <c r="CJ77" s="353"/>
      <c r="CL77" s="353"/>
      <c r="CM77" s="353"/>
      <c r="CN77" s="355"/>
      <c r="CO77" s="352" t="s">
        <v>229</v>
      </c>
      <c r="CP77" s="353"/>
      <c r="CQ77" s="353"/>
      <c r="CS77" s="353"/>
      <c r="CT77" s="353"/>
      <c r="CU77" s="355"/>
      <c r="CV77" s="352" t="s">
        <v>229</v>
      </c>
      <c r="CW77" s="353"/>
      <c r="CX77" s="353"/>
      <c r="CZ77" s="353"/>
      <c r="DA77" s="353"/>
      <c r="DB77" s="355"/>
      <c r="DC77" s="352" t="s">
        <v>229</v>
      </c>
      <c r="DD77" s="353"/>
      <c r="DE77" s="353"/>
      <c r="DG77" s="353"/>
      <c r="DH77" s="353"/>
      <c r="DI77" s="355"/>
      <c r="DJ77" s="352" t="s">
        <v>229</v>
      </c>
      <c r="DK77" s="353"/>
      <c r="DL77" s="353"/>
      <c r="DN77" s="353"/>
      <c r="DO77" s="353"/>
      <c r="DP77" s="355"/>
      <c r="DQ77" s="352" t="s">
        <v>203</v>
      </c>
      <c r="DR77" s="353"/>
      <c r="DS77" s="353"/>
      <c r="DU77" s="353"/>
      <c r="DV77" s="353"/>
      <c r="DW77" s="355"/>
      <c r="DX77" s="352" t="s">
        <v>229</v>
      </c>
      <c r="DY77" s="353"/>
      <c r="DZ77" s="353"/>
      <c r="EB77" s="353"/>
      <c r="EC77" s="353"/>
      <c r="ED77" s="355"/>
      <c r="EE77" s="352" t="s">
        <v>229</v>
      </c>
      <c r="EF77" s="353"/>
      <c r="EG77" s="353"/>
      <c r="EI77" s="353"/>
      <c r="EJ77" s="353"/>
      <c r="EK77" s="354"/>
      <c r="EL77" s="353" t="s">
        <v>229</v>
      </c>
      <c r="EM77" s="353"/>
      <c r="EN77" s="353"/>
      <c r="EP77" s="353"/>
      <c r="EQ77" s="353"/>
      <c r="ER77" s="354"/>
      <c r="ES77" s="353" t="s">
        <v>220</v>
      </c>
      <c r="ET77" s="353"/>
      <c r="EU77" s="353"/>
      <c r="EW77" s="353"/>
      <c r="EX77" s="353"/>
      <c r="EY77" s="355"/>
      <c r="EZ77" s="352" t="s">
        <v>229</v>
      </c>
      <c r="FA77" s="353"/>
      <c r="FB77" s="353"/>
      <c r="FD77" s="353"/>
      <c r="FE77" s="353"/>
      <c r="FF77" s="353"/>
      <c r="FG77" s="352" t="s">
        <v>229</v>
      </c>
      <c r="FH77" s="353"/>
      <c r="FI77" s="353"/>
      <c r="FK77" s="353"/>
      <c r="FL77" s="353"/>
      <c r="FM77" s="355"/>
      <c r="FN77" s="352"/>
      <c r="FO77" s="353"/>
      <c r="FP77" s="353"/>
      <c r="FR77" s="353"/>
      <c r="FS77" s="353"/>
      <c r="FT77" s="353"/>
      <c r="FU77" s="367" t="s">
        <v>229</v>
      </c>
      <c r="FV77" s="353"/>
      <c r="FW77" s="353"/>
      <c r="FY77" s="353"/>
      <c r="FZ77" s="353"/>
      <c r="GA77" s="353"/>
      <c r="GB77" s="352" t="s">
        <v>229</v>
      </c>
      <c r="GC77" s="353"/>
      <c r="GD77" s="353"/>
      <c r="GF77" s="353"/>
      <c r="GG77" s="353"/>
      <c r="GH77" s="355"/>
      <c r="GI77" s="352" t="s">
        <v>229</v>
      </c>
      <c r="GJ77" s="353"/>
      <c r="GK77" s="353"/>
      <c r="GM77" s="353"/>
      <c r="GN77" s="353"/>
      <c r="GO77" s="355"/>
      <c r="GP77" s="353" t="s">
        <v>229</v>
      </c>
      <c r="GQ77" s="353"/>
      <c r="GR77" s="353"/>
      <c r="GT77" s="353"/>
      <c r="GU77" s="353"/>
      <c r="GV77" s="355"/>
      <c r="GW77" s="352" t="s">
        <v>229</v>
      </c>
      <c r="GX77" s="353"/>
      <c r="GY77" s="353"/>
      <c r="HA77" s="353"/>
      <c r="HB77" s="353"/>
      <c r="HC77" s="355"/>
      <c r="HD77" s="352" t="s">
        <v>229</v>
      </c>
      <c r="HE77" s="353"/>
      <c r="HF77" s="353"/>
      <c r="HH77" s="353"/>
      <c r="HI77" s="353"/>
      <c r="HJ77" s="354"/>
      <c r="HK77" s="353" t="s">
        <v>229</v>
      </c>
      <c r="HL77" s="353"/>
      <c r="HM77" s="353"/>
      <c r="HO77" s="353"/>
      <c r="HP77" s="353"/>
      <c r="HQ77" s="354"/>
      <c r="HR77" s="353"/>
      <c r="HS77" s="353"/>
      <c r="HT77" s="353"/>
      <c r="HV77" s="353"/>
      <c r="HW77" s="353"/>
      <c r="HX77" s="355"/>
    </row>
    <row r="78" spans="2:232" ht="15" customHeight="1" outlineLevel="1" x14ac:dyDescent="0.25">
      <c r="B78" s="147"/>
      <c r="C78" s="147"/>
      <c r="D78" s="147"/>
      <c r="E78" s="147"/>
      <c r="F78" s="157"/>
      <c r="G78" s="147"/>
      <c r="H78" s="157"/>
      <c r="I78" s="175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V78" s="162"/>
      <c r="W78" s="159"/>
      <c r="X78" s="159"/>
      <c r="Y78" s="159"/>
      <c r="Z78" s="159"/>
      <c r="AA78" s="159"/>
      <c r="AB78" s="159"/>
      <c r="AC78" s="160"/>
      <c r="AD78" s="361"/>
      <c r="AE78" s="356"/>
      <c r="AF78" s="356"/>
      <c r="AG78" s="163"/>
      <c r="AH78" s="356"/>
      <c r="AI78" s="356"/>
      <c r="AJ78" s="356"/>
      <c r="AK78" s="368"/>
      <c r="AL78" s="356"/>
      <c r="AM78" s="356"/>
      <c r="AN78" s="163"/>
      <c r="AO78" s="356"/>
      <c r="AP78" s="356"/>
      <c r="AQ78" s="357"/>
      <c r="AR78" s="361"/>
      <c r="AS78" s="356"/>
      <c r="AT78" s="356"/>
      <c r="AU78" s="163"/>
      <c r="AV78" s="356"/>
      <c r="AW78" s="356"/>
      <c r="AX78" s="357"/>
      <c r="AY78" s="361"/>
      <c r="AZ78" s="356"/>
      <c r="BA78" s="356"/>
      <c r="BB78" s="163"/>
      <c r="BC78" s="356"/>
      <c r="BD78" s="356"/>
      <c r="BE78" s="356"/>
      <c r="BF78" s="361"/>
      <c r="BG78" s="356"/>
      <c r="BH78" s="356"/>
      <c r="BI78" s="163"/>
      <c r="BJ78" s="356"/>
      <c r="BK78" s="356"/>
      <c r="BL78" s="357"/>
      <c r="BM78" s="361"/>
      <c r="BN78" s="356"/>
      <c r="BO78" s="356"/>
      <c r="BP78" s="163"/>
      <c r="BQ78" s="356"/>
      <c r="BR78" s="356"/>
      <c r="BS78" s="356"/>
      <c r="BT78" s="368"/>
      <c r="BU78" s="356"/>
      <c r="BV78" s="356"/>
      <c r="BW78" s="163"/>
      <c r="BX78" s="356"/>
      <c r="BY78" s="356"/>
      <c r="BZ78" s="357"/>
      <c r="CA78" s="361"/>
      <c r="CB78" s="356"/>
      <c r="CC78" s="356"/>
      <c r="CD78" s="163"/>
      <c r="CE78" s="356"/>
      <c r="CF78" s="356"/>
      <c r="CG78" s="357"/>
      <c r="CH78" s="361"/>
      <c r="CI78" s="356"/>
      <c r="CJ78" s="356"/>
      <c r="CK78" s="163"/>
      <c r="CL78" s="356"/>
      <c r="CM78" s="356"/>
      <c r="CN78" s="357"/>
      <c r="CO78" s="361"/>
      <c r="CP78" s="356"/>
      <c r="CQ78" s="356"/>
      <c r="CR78" s="163"/>
      <c r="CS78" s="356"/>
      <c r="CT78" s="356"/>
      <c r="CU78" s="357"/>
      <c r="CV78" s="361"/>
      <c r="CW78" s="356"/>
      <c r="CX78" s="356"/>
      <c r="CY78" s="163"/>
      <c r="CZ78" s="356"/>
      <c r="DA78" s="356"/>
      <c r="DB78" s="357"/>
      <c r="DC78" s="361"/>
      <c r="DD78" s="356"/>
      <c r="DE78" s="356"/>
      <c r="DF78" s="163"/>
      <c r="DG78" s="356"/>
      <c r="DH78" s="356"/>
      <c r="DI78" s="357"/>
      <c r="DJ78" s="361"/>
      <c r="DK78" s="356"/>
      <c r="DL78" s="356"/>
      <c r="DM78" s="163"/>
      <c r="DN78" s="356"/>
      <c r="DO78" s="356"/>
      <c r="DP78" s="357"/>
      <c r="DQ78" s="361"/>
      <c r="DR78" s="356"/>
      <c r="DS78" s="356"/>
      <c r="DT78" s="163"/>
      <c r="DU78" s="356"/>
      <c r="DV78" s="356"/>
      <c r="DW78" s="357"/>
      <c r="DX78" s="361"/>
      <c r="DY78" s="356"/>
      <c r="DZ78" s="356"/>
      <c r="EA78" s="163"/>
      <c r="EB78" s="356"/>
      <c r="EC78" s="356"/>
      <c r="ED78" s="357"/>
      <c r="EE78" s="361"/>
      <c r="EF78" s="356"/>
      <c r="EG78" s="356"/>
      <c r="EH78" s="163"/>
      <c r="EI78" s="356"/>
      <c r="EJ78" s="356"/>
      <c r="EK78" s="359"/>
      <c r="EL78" s="368"/>
      <c r="EM78" s="356"/>
      <c r="EN78" s="356"/>
      <c r="EO78" s="163"/>
      <c r="EP78" s="356"/>
      <c r="EQ78" s="356"/>
      <c r="ER78" s="359"/>
      <c r="ES78" s="356"/>
      <c r="ET78" s="356"/>
      <c r="EU78" s="356"/>
      <c r="EV78" s="163"/>
      <c r="EW78" s="356"/>
      <c r="EX78" s="356"/>
      <c r="EY78" s="357"/>
      <c r="EZ78" s="361"/>
      <c r="FA78" s="356"/>
      <c r="FB78" s="356"/>
      <c r="FC78" s="163"/>
      <c r="FD78" s="356"/>
      <c r="FE78" s="356"/>
      <c r="FF78" s="356"/>
      <c r="FG78" s="361"/>
      <c r="FH78" s="356"/>
      <c r="FI78" s="356"/>
      <c r="FJ78" s="163"/>
      <c r="FK78" s="356"/>
      <c r="FL78" s="356"/>
      <c r="FM78" s="357"/>
      <c r="FN78" s="361"/>
      <c r="FO78" s="356"/>
      <c r="FP78" s="356"/>
      <c r="FQ78" s="163"/>
      <c r="FR78" s="356"/>
      <c r="FS78" s="356"/>
      <c r="FT78" s="356"/>
      <c r="FU78" s="368"/>
      <c r="FV78" s="356"/>
      <c r="FW78" s="356"/>
      <c r="FX78" s="163"/>
      <c r="FY78" s="356"/>
      <c r="FZ78" s="356"/>
      <c r="GA78" s="356"/>
      <c r="GB78" s="361"/>
      <c r="GC78" s="356"/>
      <c r="GD78" s="356"/>
      <c r="GE78" s="163"/>
      <c r="GF78" s="356"/>
      <c r="GG78" s="356"/>
      <c r="GH78" s="357"/>
      <c r="GI78" s="361"/>
      <c r="GJ78" s="356"/>
      <c r="GK78" s="356"/>
      <c r="GL78" s="163"/>
      <c r="GM78" s="356"/>
      <c r="GN78" s="356"/>
      <c r="GO78" s="357"/>
      <c r="GP78" s="356"/>
      <c r="GQ78" s="356"/>
      <c r="GR78" s="356"/>
      <c r="GS78" s="163"/>
      <c r="GT78" s="356"/>
      <c r="GU78" s="356"/>
      <c r="GV78" s="357"/>
      <c r="GW78" s="361"/>
      <c r="GX78" s="356"/>
      <c r="GY78" s="356"/>
      <c r="GZ78" s="163"/>
      <c r="HA78" s="356"/>
      <c r="HB78" s="356"/>
      <c r="HC78" s="357"/>
      <c r="HD78" s="361"/>
      <c r="HE78" s="356"/>
      <c r="HF78" s="356"/>
      <c r="HG78" s="163"/>
      <c r="HH78" s="356"/>
      <c r="HI78" s="356"/>
      <c r="HJ78" s="359"/>
      <c r="HK78" s="356"/>
      <c r="HL78" s="356"/>
      <c r="HM78" s="356"/>
      <c r="HN78" s="163"/>
      <c r="HO78" s="356"/>
      <c r="HP78" s="356"/>
      <c r="HQ78" s="359"/>
      <c r="HR78" s="356"/>
      <c r="HS78" s="356"/>
      <c r="HT78" s="356"/>
      <c r="HU78" s="163"/>
      <c r="HV78" s="356"/>
      <c r="HW78" s="356"/>
      <c r="HX78" s="357"/>
    </row>
    <row r="79" spans="2:232" outlineLevel="1" x14ac:dyDescent="0.25">
      <c r="B79" s="32"/>
      <c r="C79" s="333">
        <f>MAX(C72:C73)+1</f>
        <v>9</v>
      </c>
      <c r="D79" s="164" t="s">
        <v>21</v>
      </c>
      <c r="E79" s="34"/>
      <c r="F79" s="165" t="s">
        <v>529</v>
      </c>
      <c r="G79" s="165" t="s">
        <v>529</v>
      </c>
      <c r="H79" s="165" t="s">
        <v>94</v>
      </c>
      <c r="I79" s="176" t="s">
        <v>172</v>
      </c>
      <c r="J79" s="165" t="s">
        <v>171</v>
      </c>
      <c r="K79" s="165">
        <v>2031</v>
      </c>
      <c r="L79" s="165">
        <v>2</v>
      </c>
      <c r="M79" s="165"/>
      <c r="N79" s="165"/>
      <c r="O79" s="165"/>
      <c r="P79" s="165"/>
      <c r="Q79" s="165"/>
      <c r="R79" s="165"/>
      <c r="S79" s="165"/>
      <c r="T79" s="165"/>
      <c r="V79" s="11" t="s">
        <v>283</v>
      </c>
      <c r="W79" s="12"/>
      <c r="X79" s="12"/>
      <c r="Y79" s="12"/>
      <c r="Z79" s="12"/>
      <c r="AA79" s="12"/>
      <c r="AB79" s="12"/>
      <c r="AC79" s="14"/>
      <c r="AD79" s="166">
        <f>$C79</f>
        <v>9</v>
      </c>
      <c r="AE79" s="358" t="s">
        <v>175</v>
      </c>
      <c r="AF79" s="358"/>
      <c r="AG79" s="358"/>
      <c r="AH79" s="158"/>
      <c r="AI79" s="337"/>
      <c r="AJ79" s="337"/>
      <c r="AK79" s="214">
        <f>$C79</f>
        <v>9</v>
      </c>
      <c r="AL79" s="358" t="s">
        <v>175</v>
      </c>
      <c r="AM79" s="358"/>
      <c r="AN79" s="358"/>
      <c r="AO79" s="32"/>
      <c r="AP79" s="353"/>
      <c r="AQ79" s="355"/>
      <c r="AR79" s="166">
        <f>$C79</f>
        <v>9</v>
      </c>
      <c r="AS79" s="358" t="s">
        <v>532</v>
      </c>
      <c r="AT79" s="358"/>
      <c r="AU79" s="358"/>
      <c r="AV79" s="32"/>
      <c r="AW79" s="353"/>
      <c r="AX79" s="355"/>
      <c r="AY79" s="166">
        <f>$C79</f>
        <v>9</v>
      </c>
      <c r="AZ79" s="358" t="s">
        <v>531</v>
      </c>
      <c r="BA79" s="358"/>
      <c r="BB79" s="358"/>
      <c r="BC79" s="32"/>
      <c r="BD79" s="353"/>
      <c r="BE79" s="353"/>
      <c r="BF79" s="166">
        <f>$C79</f>
        <v>9</v>
      </c>
      <c r="BG79" s="358" t="s">
        <v>531</v>
      </c>
      <c r="BH79" s="358"/>
      <c r="BI79" s="358"/>
      <c r="BJ79" s="158"/>
      <c r="BK79" s="337"/>
      <c r="BL79" s="338"/>
      <c r="BM79" s="166">
        <f>$C79</f>
        <v>9</v>
      </c>
      <c r="BN79" s="358" t="s">
        <v>531</v>
      </c>
      <c r="BO79" s="358"/>
      <c r="BP79" s="358"/>
      <c r="BQ79" s="158"/>
      <c r="BR79" s="337"/>
      <c r="BS79" s="337"/>
      <c r="BT79" s="214">
        <f>$C79</f>
        <v>9</v>
      </c>
      <c r="BU79" s="358" t="s">
        <v>538</v>
      </c>
      <c r="BV79" s="358"/>
      <c r="BW79" s="358"/>
      <c r="BX79" s="158"/>
      <c r="BY79" s="337"/>
      <c r="BZ79" s="338"/>
      <c r="CA79" s="166">
        <f>$C79</f>
        <v>9</v>
      </c>
      <c r="CB79" s="358" t="s">
        <v>532</v>
      </c>
      <c r="CC79" s="358"/>
      <c r="CD79" s="358"/>
      <c r="CE79" s="158"/>
      <c r="CF79" s="337"/>
      <c r="CG79" s="338"/>
      <c r="CH79" s="166">
        <f>$C79</f>
        <v>9</v>
      </c>
      <c r="CI79" s="358" t="s">
        <v>532</v>
      </c>
      <c r="CJ79" s="358"/>
      <c r="CK79" s="358"/>
      <c r="CL79" s="158"/>
      <c r="CM79" s="337"/>
      <c r="CN79" s="338"/>
      <c r="CO79" s="166">
        <f>$C79</f>
        <v>9</v>
      </c>
      <c r="CP79" s="358" t="s">
        <v>173</v>
      </c>
      <c r="CQ79" s="358"/>
      <c r="CR79" s="358"/>
      <c r="CS79" s="158"/>
      <c r="CT79" s="337"/>
      <c r="CU79" s="338"/>
      <c r="CV79" s="166">
        <f>$C79</f>
        <v>9</v>
      </c>
      <c r="CW79" s="358" t="s">
        <v>531</v>
      </c>
      <c r="CX79" s="358"/>
      <c r="CY79" s="358"/>
      <c r="CZ79" s="158"/>
      <c r="DA79" s="337"/>
      <c r="DB79" s="338"/>
      <c r="DC79" s="166">
        <f>$C79</f>
        <v>9</v>
      </c>
      <c r="DD79" s="358" t="s">
        <v>531</v>
      </c>
      <c r="DE79" s="358"/>
      <c r="DF79" s="358"/>
      <c r="DG79" s="158"/>
      <c r="DH79" s="337"/>
      <c r="DI79" s="338"/>
      <c r="DJ79" s="166">
        <f>$C79</f>
        <v>9</v>
      </c>
      <c r="DK79" s="358" t="s">
        <v>531</v>
      </c>
      <c r="DL79" s="358"/>
      <c r="DM79" s="358"/>
      <c r="DN79" s="158"/>
      <c r="DO79" s="337"/>
      <c r="DP79" s="338"/>
      <c r="DQ79" s="166">
        <f>$C79</f>
        <v>9</v>
      </c>
      <c r="DR79" s="358" t="s">
        <v>173</v>
      </c>
      <c r="DS79" s="358"/>
      <c r="DT79" s="358"/>
      <c r="DU79" s="158"/>
      <c r="DV79" s="337"/>
      <c r="DW79" s="338"/>
      <c r="DX79" s="166">
        <f>$C79</f>
        <v>9</v>
      </c>
      <c r="DY79" s="358" t="s">
        <v>532</v>
      </c>
      <c r="DZ79" s="358"/>
      <c r="EA79" s="358"/>
      <c r="EB79" s="158"/>
      <c r="EC79" s="337"/>
      <c r="ED79" s="338"/>
      <c r="EE79" s="166">
        <f>$C79</f>
        <v>9</v>
      </c>
      <c r="EF79" s="358" t="s">
        <v>531</v>
      </c>
      <c r="EG79" s="358"/>
      <c r="EH79" s="358"/>
      <c r="EI79" s="158"/>
      <c r="EJ79" s="337"/>
      <c r="EK79" s="351"/>
      <c r="EL79" s="193">
        <f>$C79</f>
        <v>9</v>
      </c>
      <c r="EM79" s="358" t="s">
        <v>645</v>
      </c>
      <c r="EN79" s="358"/>
      <c r="EO79" s="358"/>
      <c r="EP79" s="158"/>
      <c r="EQ79" s="337"/>
      <c r="ER79" s="351"/>
      <c r="ES79" s="193">
        <f>$C79</f>
        <v>9</v>
      </c>
      <c r="ET79" s="358" t="s">
        <v>175</v>
      </c>
      <c r="EU79" s="358"/>
      <c r="EV79" s="358"/>
      <c r="EW79" s="32"/>
      <c r="EX79" s="353"/>
      <c r="EY79" s="355"/>
      <c r="EZ79" s="166">
        <f>$C79</f>
        <v>9</v>
      </c>
      <c r="FA79" s="358" t="s">
        <v>532</v>
      </c>
      <c r="FB79" s="358"/>
      <c r="FC79" s="358"/>
      <c r="FD79" s="32"/>
      <c r="FE79" s="353"/>
      <c r="FF79" s="353"/>
      <c r="FG79" s="166">
        <f>$C79</f>
        <v>9</v>
      </c>
      <c r="FH79" s="358" t="s">
        <v>532</v>
      </c>
      <c r="FI79" s="358"/>
      <c r="FJ79" s="358"/>
      <c r="FK79" s="32"/>
      <c r="FL79" s="337"/>
      <c r="FM79" s="338"/>
      <c r="FN79" s="166">
        <f>$C79</f>
        <v>9</v>
      </c>
      <c r="FO79" s="358" t="s">
        <v>532</v>
      </c>
      <c r="FP79" s="358"/>
      <c r="FQ79" s="358"/>
      <c r="FR79" s="32"/>
      <c r="FS79" s="337"/>
      <c r="FT79" s="337"/>
      <c r="FU79" s="214">
        <f>$C79</f>
        <v>9</v>
      </c>
      <c r="FV79" s="358" t="s">
        <v>532</v>
      </c>
      <c r="FW79" s="358"/>
      <c r="FX79" s="358"/>
      <c r="FY79" s="32"/>
      <c r="FZ79" s="337"/>
      <c r="GA79" s="337"/>
      <c r="GB79" s="166">
        <f>$C79</f>
        <v>9</v>
      </c>
      <c r="GC79" s="358" t="s">
        <v>532</v>
      </c>
      <c r="GD79" s="358"/>
      <c r="GE79" s="358"/>
      <c r="GF79" s="32"/>
      <c r="GG79" s="337"/>
      <c r="GH79" s="338"/>
      <c r="GI79" s="166">
        <f>$C79</f>
        <v>9</v>
      </c>
      <c r="GJ79" s="358" t="s">
        <v>532</v>
      </c>
      <c r="GK79" s="358"/>
      <c r="GL79" s="358"/>
      <c r="GM79" s="32"/>
      <c r="GN79" s="337"/>
      <c r="GO79" s="338"/>
      <c r="GP79" s="193">
        <f>$C79</f>
        <v>9</v>
      </c>
      <c r="GQ79" s="358" t="s">
        <v>175</v>
      </c>
      <c r="GR79" s="358"/>
      <c r="GS79" s="358"/>
      <c r="GT79" s="32"/>
      <c r="GU79" s="337"/>
      <c r="GV79" s="338"/>
      <c r="GW79" s="166">
        <f>$C79</f>
        <v>9</v>
      </c>
      <c r="GX79" s="358" t="s">
        <v>175</v>
      </c>
      <c r="GY79" s="358"/>
      <c r="GZ79" s="358"/>
      <c r="HA79" s="32"/>
      <c r="HB79" s="337"/>
      <c r="HC79" s="338"/>
      <c r="HD79" s="166">
        <f>$C79</f>
        <v>9</v>
      </c>
      <c r="HE79" s="358" t="s">
        <v>532</v>
      </c>
      <c r="HF79" s="358"/>
      <c r="HG79" s="358"/>
      <c r="HH79" s="32"/>
      <c r="HI79" s="337"/>
      <c r="HJ79" s="351"/>
      <c r="HK79" s="193">
        <f>$C79</f>
        <v>9</v>
      </c>
      <c r="HL79" s="358" t="s">
        <v>645</v>
      </c>
      <c r="HM79" s="358"/>
      <c r="HN79" s="358"/>
      <c r="HO79" s="32"/>
      <c r="HP79" s="337"/>
      <c r="HQ79" s="351"/>
      <c r="HR79" s="193"/>
      <c r="HS79" s="362"/>
      <c r="HT79" s="362"/>
      <c r="HU79" s="362"/>
      <c r="HV79" s="257"/>
      <c r="HW79" s="337"/>
      <c r="HX79" s="338"/>
    </row>
    <row r="80" spans="2:232" outlineLevel="1" x14ac:dyDescent="0.25">
      <c r="B80" s="32"/>
      <c r="C80" s="167"/>
      <c r="D80" s="167"/>
      <c r="E80" s="34"/>
      <c r="F80" s="168"/>
      <c r="G80" s="167"/>
      <c r="H80" s="168"/>
      <c r="I80" s="177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V80" s="107"/>
      <c r="W80" s="108"/>
      <c r="X80" s="108"/>
      <c r="Y80" s="108"/>
      <c r="Z80" s="108"/>
      <c r="AA80" s="108"/>
      <c r="AB80" s="108"/>
      <c r="AC80" s="109"/>
      <c r="AD80" s="169"/>
      <c r="AE80" s="365"/>
      <c r="AF80" s="365"/>
      <c r="AG80" s="365"/>
      <c r="AH80" s="30"/>
      <c r="AI80" s="340"/>
      <c r="AJ80" s="340"/>
      <c r="AK80" s="215"/>
      <c r="AL80" s="339"/>
      <c r="AM80" s="339"/>
      <c r="AN80" s="339"/>
      <c r="AO80" s="30"/>
      <c r="AP80" s="340"/>
      <c r="AQ80" s="341"/>
      <c r="AR80" s="169"/>
      <c r="AS80" s="339"/>
      <c r="AT80" s="339"/>
      <c r="AU80" s="339"/>
      <c r="AV80" s="30"/>
      <c r="AW80" s="340"/>
      <c r="AX80" s="341"/>
      <c r="AY80" s="169"/>
      <c r="AZ80" s="339"/>
      <c r="BA80" s="339"/>
      <c r="BB80" s="339"/>
      <c r="BC80" s="30"/>
      <c r="BD80" s="340"/>
      <c r="BE80" s="340"/>
      <c r="BF80" s="169"/>
      <c r="BG80" s="339"/>
      <c r="BH80" s="339"/>
      <c r="BI80" s="339"/>
      <c r="BJ80" s="30"/>
      <c r="BK80" s="340"/>
      <c r="BL80" s="341"/>
      <c r="BM80" s="169"/>
      <c r="BN80" s="339"/>
      <c r="BO80" s="339"/>
      <c r="BP80" s="339"/>
      <c r="BQ80" s="30"/>
      <c r="BR80" s="340"/>
      <c r="BS80" s="340"/>
      <c r="BT80" s="215"/>
      <c r="BU80" s="339"/>
      <c r="BV80" s="339"/>
      <c r="BW80" s="339"/>
      <c r="BX80" s="30"/>
      <c r="BY80" s="340"/>
      <c r="BZ80" s="341"/>
      <c r="CA80" s="169"/>
      <c r="CB80" s="339"/>
      <c r="CC80" s="339"/>
      <c r="CD80" s="339"/>
      <c r="CE80" s="30"/>
      <c r="CF80" s="340"/>
      <c r="CG80" s="341"/>
      <c r="CH80" s="169"/>
      <c r="CI80" s="339"/>
      <c r="CJ80" s="339"/>
      <c r="CK80" s="339"/>
      <c r="CL80" s="30"/>
      <c r="CM80" s="340"/>
      <c r="CN80" s="341"/>
      <c r="CO80" s="169"/>
      <c r="CP80" s="339"/>
      <c r="CQ80" s="339"/>
      <c r="CR80" s="339"/>
      <c r="CS80" s="30"/>
      <c r="CT80" s="340"/>
      <c r="CU80" s="341"/>
      <c r="CV80" s="169"/>
      <c r="CW80" s="339"/>
      <c r="CX80" s="339"/>
      <c r="CY80" s="339"/>
      <c r="CZ80" s="30"/>
      <c r="DA80" s="340"/>
      <c r="DB80" s="341"/>
      <c r="DC80" s="192"/>
      <c r="DD80" s="339"/>
      <c r="DE80" s="339"/>
      <c r="DF80" s="339"/>
      <c r="DG80" s="30"/>
      <c r="DH80" s="340"/>
      <c r="DI80" s="341"/>
      <c r="DJ80" s="169"/>
      <c r="DK80" s="339"/>
      <c r="DL80" s="339"/>
      <c r="DM80" s="339"/>
      <c r="DN80" s="30"/>
      <c r="DO80" s="340"/>
      <c r="DP80" s="341"/>
      <c r="DQ80" s="169"/>
      <c r="DR80" s="339"/>
      <c r="DS80" s="339"/>
      <c r="DT80" s="339"/>
      <c r="DU80" s="30"/>
      <c r="DV80" s="340"/>
      <c r="DW80" s="341"/>
      <c r="DX80" s="192"/>
      <c r="DY80" s="339"/>
      <c r="DZ80" s="339"/>
      <c r="EA80" s="339"/>
      <c r="EB80" s="30"/>
      <c r="EC80" s="340"/>
      <c r="ED80" s="341"/>
      <c r="EE80" s="169"/>
      <c r="EF80" s="339"/>
      <c r="EG80" s="339"/>
      <c r="EH80" s="339"/>
      <c r="EI80" s="30"/>
      <c r="EJ80" s="340"/>
      <c r="EK80" s="360"/>
      <c r="EL80" s="192"/>
      <c r="EM80" s="339"/>
      <c r="EN80" s="339"/>
      <c r="EO80" s="339"/>
      <c r="EP80" s="30"/>
      <c r="EQ80" s="340"/>
      <c r="ER80" s="360"/>
      <c r="ES80" s="192"/>
      <c r="ET80" s="339"/>
      <c r="EU80" s="339"/>
      <c r="EV80" s="339"/>
      <c r="EW80" s="30"/>
      <c r="EX80" s="340"/>
      <c r="EY80" s="341"/>
      <c r="EZ80" s="169"/>
      <c r="FA80" s="339"/>
      <c r="FB80" s="339"/>
      <c r="FC80" s="339"/>
      <c r="FD80" s="30"/>
      <c r="FE80" s="340"/>
      <c r="FF80" s="340"/>
      <c r="FG80" s="169"/>
      <c r="FH80" s="339"/>
      <c r="FI80" s="339"/>
      <c r="FJ80" s="339"/>
      <c r="FK80" s="30"/>
      <c r="FL80" s="340"/>
      <c r="FM80" s="341"/>
      <c r="FN80" s="169"/>
      <c r="FO80" s="339"/>
      <c r="FP80" s="339"/>
      <c r="FQ80" s="339"/>
      <c r="FR80" s="30"/>
      <c r="FS80" s="340"/>
      <c r="FT80" s="340"/>
      <c r="FU80" s="215"/>
      <c r="FV80" s="339"/>
      <c r="FW80" s="339"/>
      <c r="FX80" s="339"/>
      <c r="FY80" s="30"/>
      <c r="FZ80" s="340"/>
      <c r="GA80" s="340"/>
      <c r="GB80" s="169"/>
      <c r="GC80" s="339"/>
      <c r="GD80" s="339"/>
      <c r="GE80" s="339"/>
      <c r="GF80" s="30"/>
      <c r="GG80" s="340"/>
      <c r="GH80" s="341"/>
      <c r="GI80" s="169"/>
      <c r="GJ80" s="339"/>
      <c r="GK80" s="339"/>
      <c r="GL80" s="339"/>
      <c r="GM80" s="30"/>
      <c r="GN80" s="340"/>
      <c r="GO80" s="341"/>
      <c r="GP80" s="192"/>
      <c r="GQ80" s="339"/>
      <c r="GR80" s="339"/>
      <c r="GS80" s="339"/>
      <c r="GT80" s="30"/>
      <c r="GU80" s="340"/>
      <c r="GV80" s="341"/>
      <c r="GW80" s="169"/>
      <c r="GX80" s="339"/>
      <c r="GY80" s="339"/>
      <c r="GZ80" s="339"/>
      <c r="HA80" s="30"/>
      <c r="HB80" s="340"/>
      <c r="HC80" s="341"/>
      <c r="HD80" s="169"/>
      <c r="HE80" s="339"/>
      <c r="HF80" s="339"/>
      <c r="HG80" s="339"/>
      <c r="HH80" s="30"/>
      <c r="HI80" s="340"/>
      <c r="HJ80" s="360"/>
      <c r="HK80" s="192"/>
      <c r="HL80" s="339"/>
      <c r="HM80" s="339"/>
      <c r="HN80" s="339"/>
      <c r="HO80" s="30"/>
      <c r="HP80" s="340"/>
      <c r="HQ80" s="360"/>
      <c r="HR80" s="192"/>
      <c r="HS80" s="339"/>
      <c r="HT80" s="339"/>
      <c r="HU80" s="339"/>
      <c r="HV80" s="258"/>
      <c r="HW80" s="340"/>
      <c r="HX80" s="341"/>
    </row>
    <row r="81" spans="2:232" ht="15" customHeight="1" outlineLevel="1" x14ac:dyDescent="0.25">
      <c r="B81" s="147"/>
      <c r="C81" s="147"/>
      <c r="D81" s="148"/>
      <c r="E81" s="147"/>
      <c r="F81" s="149"/>
      <c r="G81" s="148"/>
      <c r="H81" s="149"/>
      <c r="I81" s="174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V81" s="150" t="s">
        <v>170</v>
      </c>
      <c r="W81" s="151"/>
      <c r="X81" s="151"/>
      <c r="Y81" s="151"/>
      <c r="Z81" s="151"/>
      <c r="AA81" s="151"/>
      <c r="AB81" s="369"/>
      <c r="AC81" s="370"/>
      <c r="AD81" s="342" t="s">
        <v>217</v>
      </c>
      <c r="AE81" s="343"/>
      <c r="AF81" s="343"/>
      <c r="AG81" s="343"/>
      <c r="AH81" s="343"/>
      <c r="AI81" s="152"/>
      <c r="AJ81" s="194">
        <f>COUNTA(AD86:AD87)</f>
        <v>1</v>
      </c>
      <c r="AK81" s="366" t="s">
        <v>217</v>
      </c>
      <c r="AL81" s="343"/>
      <c r="AM81" s="343"/>
      <c r="AN81" s="343"/>
      <c r="AO81" s="343"/>
      <c r="AP81" s="152"/>
      <c r="AQ81" s="155">
        <f>COUNTA(AK86:AK87)</f>
        <v>1</v>
      </c>
      <c r="AR81" s="342" t="s">
        <v>217</v>
      </c>
      <c r="AS81" s="343"/>
      <c r="AT81" s="343"/>
      <c r="AU81" s="343"/>
      <c r="AV81" s="343"/>
      <c r="AW81" s="152"/>
      <c r="AX81" s="155">
        <f>COUNTA(AR86:AR87)</f>
        <v>1</v>
      </c>
      <c r="AY81" s="342" t="s">
        <v>217</v>
      </c>
      <c r="AZ81" s="343"/>
      <c r="BA81" s="343"/>
      <c r="BB81" s="343"/>
      <c r="BC81" s="343"/>
      <c r="BD81" s="152"/>
      <c r="BE81" s="194">
        <f>COUNTA(AY86:AY87)</f>
        <v>1</v>
      </c>
      <c r="BF81" s="342" t="s">
        <v>217</v>
      </c>
      <c r="BG81" s="343"/>
      <c r="BH81" s="343"/>
      <c r="BI81" s="343"/>
      <c r="BJ81" s="343"/>
      <c r="BK81" s="152"/>
      <c r="BL81" s="155">
        <f>COUNTA(BF86:BF87)</f>
        <v>1</v>
      </c>
      <c r="BM81" s="156"/>
      <c r="BN81" s="152"/>
      <c r="BO81" s="153"/>
      <c r="BP81" s="152"/>
      <c r="BQ81" s="154"/>
      <c r="BR81" s="152"/>
      <c r="BS81" s="194">
        <f>COUNTA(BM86:BM87)</f>
        <v>1</v>
      </c>
      <c r="BT81" s="366" t="s">
        <v>217</v>
      </c>
      <c r="BU81" s="343"/>
      <c r="BV81" s="343"/>
      <c r="BW81" s="343"/>
      <c r="BX81" s="343"/>
      <c r="BY81" s="152"/>
      <c r="BZ81" s="155">
        <f>COUNTA(BT86:BT87)</f>
        <v>1</v>
      </c>
      <c r="CA81" s="342" t="s">
        <v>217</v>
      </c>
      <c r="CB81" s="343"/>
      <c r="CC81" s="343"/>
      <c r="CD81" s="343"/>
      <c r="CE81" s="343"/>
      <c r="CF81" s="152"/>
      <c r="CG81" s="155">
        <f>COUNTA(CA86:CA87)</f>
        <v>1</v>
      </c>
      <c r="CH81" s="342" t="s">
        <v>217</v>
      </c>
      <c r="CI81" s="343"/>
      <c r="CJ81" s="343"/>
      <c r="CK81" s="343"/>
      <c r="CL81" s="343"/>
      <c r="CM81" s="152"/>
      <c r="CN81" s="155">
        <f>COUNTA(CH86:CH87)</f>
        <v>1</v>
      </c>
      <c r="CO81" s="342" t="s">
        <v>217</v>
      </c>
      <c r="CP81" s="343"/>
      <c r="CQ81" s="343"/>
      <c r="CR81" s="343"/>
      <c r="CS81" s="343"/>
      <c r="CT81" s="152"/>
      <c r="CU81" s="155">
        <f>COUNTA(CO86:CO87)</f>
        <v>1</v>
      </c>
      <c r="CV81" s="342" t="s">
        <v>217</v>
      </c>
      <c r="CW81" s="343"/>
      <c r="CX81" s="343"/>
      <c r="CY81" s="343"/>
      <c r="CZ81" s="343"/>
      <c r="DA81" s="152"/>
      <c r="DB81" s="155">
        <f>COUNTA(CV86:CV87)</f>
        <v>1</v>
      </c>
      <c r="DC81" s="343" t="s">
        <v>217</v>
      </c>
      <c r="DD81" s="343"/>
      <c r="DE81" s="343"/>
      <c r="DF81" s="343"/>
      <c r="DG81" s="343"/>
      <c r="DH81" s="152"/>
      <c r="DI81" s="155">
        <f>COUNTA(DC86:DC87)</f>
        <v>1</v>
      </c>
      <c r="DJ81" s="342" t="s">
        <v>217</v>
      </c>
      <c r="DK81" s="343"/>
      <c r="DL81" s="343"/>
      <c r="DM81" s="343"/>
      <c r="DN81" s="343"/>
      <c r="DO81" s="152"/>
      <c r="DP81" s="155">
        <f>COUNTA(DJ86:DJ87)</f>
        <v>1</v>
      </c>
      <c r="DQ81" s="342" t="s">
        <v>217</v>
      </c>
      <c r="DR81" s="343"/>
      <c r="DS81" s="343"/>
      <c r="DT81" s="343"/>
      <c r="DU81" s="343"/>
      <c r="DV81" s="152"/>
      <c r="DW81" s="155">
        <f>COUNTA(DQ86:DQ87)</f>
        <v>1</v>
      </c>
      <c r="DX81" s="343" t="s">
        <v>217</v>
      </c>
      <c r="DY81" s="343"/>
      <c r="DZ81" s="343"/>
      <c r="EA81" s="343"/>
      <c r="EB81" s="343"/>
      <c r="EC81" s="152"/>
      <c r="ED81" s="155">
        <f>COUNTA(DX86:DX87)</f>
        <v>1</v>
      </c>
      <c r="EE81" s="342" t="s">
        <v>217</v>
      </c>
      <c r="EF81" s="343"/>
      <c r="EG81" s="343"/>
      <c r="EH81" s="343"/>
      <c r="EI81" s="343"/>
      <c r="EJ81" s="152"/>
      <c r="EK81" s="218">
        <f>COUNTA(EE86:EE87)</f>
        <v>1</v>
      </c>
      <c r="EL81" s="343" t="s">
        <v>217</v>
      </c>
      <c r="EM81" s="343"/>
      <c r="EN81" s="343"/>
      <c r="EO81" s="343"/>
      <c r="EP81" s="343"/>
      <c r="EQ81" s="152"/>
      <c r="ER81" s="218">
        <f>COUNTA(EL86:EL87)</f>
        <v>1</v>
      </c>
      <c r="ES81" s="343" t="s">
        <v>217</v>
      </c>
      <c r="ET81" s="343"/>
      <c r="EU81" s="343"/>
      <c r="EV81" s="343"/>
      <c r="EW81" s="343"/>
      <c r="EX81" s="152"/>
      <c r="EY81" s="155">
        <f>COUNTA(ES86:ES87)</f>
        <v>1</v>
      </c>
      <c r="EZ81" s="342" t="s">
        <v>245</v>
      </c>
      <c r="FA81" s="343"/>
      <c r="FB81" s="343"/>
      <c r="FC81" s="343"/>
      <c r="FD81" s="343"/>
      <c r="FE81" s="152"/>
      <c r="FF81" s="194">
        <f>COUNTA(EZ86:EZ87)</f>
        <v>1</v>
      </c>
      <c r="FG81" s="342" t="s">
        <v>217</v>
      </c>
      <c r="FH81" s="343"/>
      <c r="FI81" s="343"/>
      <c r="FJ81" s="343"/>
      <c r="FK81" s="343"/>
      <c r="FL81" s="152"/>
      <c r="FM81" s="155">
        <f>COUNTA(FG86:FG87)</f>
        <v>1</v>
      </c>
      <c r="FN81" s="156"/>
      <c r="FO81" s="152"/>
      <c r="FP81" s="153"/>
      <c r="FQ81" s="152"/>
      <c r="FR81" s="154"/>
      <c r="FS81" s="152"/>
      <c r="FT81" s="194">
        <f>COUNTA(FN86:FN87)</f>
        <v>1</v>
      </c>
      <c r="FU81" s="366" t="s">
        <v>217</v>
      </c>
      <c r="FV81" s="343"/>
      <c r="FW81" s="343"/>
      <c r="FX81" s="343"/>
      <c r="FY81" s="343"/>
      <c r="FZ81" s="152"/>
      <c r="GA81" s="194">
        <f>COUNTA(FU86:FU87)</f>
        <v>1</v>
      </c>
      <c r="GB81" s="342" t="s">
        <v>217</v>
      </c>
      <c r="GC81" s="343"/>
      <c r="GD81" s="343"/>
      <c r="GE81" s="343"/>
      <c r="GF81" s="343"/>
      <c r="GG81" s="152"/>
      <c r="GH81" s="155">
        <f>COUNTA(GB86:GB87)</f>
        <v>1</v>
      </c>
      <c r="GI81" s="342" t="s">
        <v>217</v>
      </c>
      <c r="GJ81" s="343"/>
      <c r="GK81" s="343"/>
      <c r="GL81" s="343"/>
      <c r="GM81" s="343"/>
      <c r="GN81" s="152"/>
      <c r="GO81" s="155">
        <f>COUNTA(GI86:GI87)</f>
        <v>1</v>
      </c>
      <c r="GP81" s="343" t="s">
        <v>217</v>
      </c>
      <c r="GQ81" s="343"/>
      <c r="GR81" s="343"/>
      <c r="GS81" s="343"/>
      <c r="GT81" s="343"/>
      <c r="GU81" s="152"/>
      <c r="GV81" s="155">
        <f>COUNTA(GP86:GP87)</f>
        <v>1</v>
      </c>
      <c r="GW81" s="342" t="s">
        <v>217</v>
      </c>
      <c r="GX81" s="343"/>
      <c r="GY81" s="343"/>
      <c r="GZ81" s="343"/>
      <c r="HA81" s="343"/>
      <c r="HB81" s="152"/>
      <c r="HC81" s="155">
        <f>COUNTA(GW86:GW87)</f>
        <v>1</v>
      </c>
      <c r="HD81" s="342" t="s">
        <v>217</v>
      </c>
      <c r="HE81" s="343"/>
      <c r="HF81" s="343"/>
      <c r="HG81" s="343"/>
      <c r="HH81" s="343"/>
      <c r="HI81" s="152"/>
      <c r="HJ81" s="218">
        <f>COUNTA(HD86:HD87)</f>
        <v>1</v>
      </c>
      <c r="HK81" s="343" t="s">
        <v>217</v>
      </c>
      <c r="HL81" s="343"/>
      <c r="HM81" s="343"/>
      <c r="HN81" s="343"/>
      <c r="HO81" s="343"/>
      <c r="HP81" s="152"/>
      <c r="HQ81" s="218">
        <f>COUNTA(HK86:HK87)</f>
        <v>1</v>
      </c>
      <c r="HR81" s="152"/>
      <c r="HS81" s="152"/>
      <c r="HT81" s="153"/>
      <c r="HU81" s="152"/>
      <c r="HV81" s="255"/>
      <c r="HW81" s="152"/>
      <c r="HX81" s="155">
        <f>COUNTA(HR86:HR87)</f>
        <v>0</v>
      </c>
    </row>
    <row r="82" spans="2:232" ht="15" customHeight="1" outlineLevel="1" x14ac:dyDescent="0.25">
      <c r="B82" s="147"/>
      <c r="C82" s="147"/>
      <c r="D82" s="147"/>
      <c r="E82" s="147"/>
      <c r="F82" s="157"/>
      <c r="G82" s="147"/>
      <c r="H82" s="157"/>
      <c r="I82" s="175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V82" s="185" t="s">
        <v>224</v>
      </c>
      <c r="W82" s="186"/>
      <c r="X82" s="186"/>
      <c r="Y82" s="186"/>
      <c r="Z82" s="186"/>
      <c r="AA82" s="186"/>
      <c r="AB82" s="187"/>
      <c r="AC82" s="188"/>
      <c r="AD82" s="344" t="s">
        <v>225</v>
      </c>
      <c r="AE82" s="345"/>
      <c r="AF82" s="345"/>
      <c r="AG82" s="181" t="s">
        <v>75</v>
      </c>
      <c r="AH82" s="346" t="s">
        <v>293</v>
      </c>
      <c r="AI82" s="346"/>
      <c r="AJ82" s="346"/>
      <c r="AK82" s="363" t="s">
        <v>227</v>
      </c>
      <c r="AL82" s="345"/>
      <c r="AM82" s="345"/>
      <c r="AN82" s="181" t="s">
        <v>75</v>
      </c>
      <c r="AO82" s="346" t="s">
        <v>324</v>
      </c>
      <c r="AP82" s="346"/>
      <c r="AQ82" s="349"/>
      <c r="AR82" s="344" t="s">
        <v>227</v>
      </c>
      <c r="AS82" s="345"/>
      <c r="AT82" s="345"/>
      <c r="AU82" s="181" t="s">
        <v>75</v>
      </c>
      <c r="AV82" s="346" t="s">
        <v>324</v>
      </c>
      <c r="AW82" s="346"/>
      <c r="AX82" s="349"/>
      <c r="AY82" s="344" t="s">
        <v>227</v>
      </c>
      <c r="AZ82" s="345"/>
      <c r="BA82" s="345"/>
      <c r="BB82" s="181" t="s">
        <v>75</v>
      </c>
      <c r="BC82" s="346" t="s">
        <v>324</v>
      </c>
      <c r="BD82" s="346"/>
      <c r="BE82" s="349"/>
      <c r="BF82" s="344" t="s">
        <v>227</v>
      </c>
      <c r="BG82" s="345"/>
      <c r="BH82" s="345"/>
      <c r="BI82" s="181" t="s">
        <v>75</v>
      </c>
      <c r="BJ82" s="346" t="s">
        <v>324</v>
      </c>
      <c r="BK82" s="346"/>
      <c r="BL82" s="349"/>
      <c r="BM82" s="180"/>
      <c r="BN82" s="181"/>
      <c r="BO82" s="182"/>
      <c r="BP82" s="181"/>
      <c r="BQ82" s="183"/>
      <c r="BR82" s="181"/>
      <c r="BS82" s="210"/>
      <c r="BT82" s="363" t="s">
        <v>232</v>
      </c>
      <c r="BU82" s="345"/>
      <c r="BV82" s="345"/>
      <c r="BW82" s="181" t="s">
        <v>75</v>
      </c>
      <c r="BX82" s="346" t="s">
        <v>342</v>
      </c>
      <c r="BY82" s="346"/>
      <c r="BZ82" s="349"/>
      <c r="CA82" s="344" t="s">
        <v>232</v>
      </c>
      <c r="CB82" s="345"/>
      <c r="CC82" s="345"/>
      <c r="CD82" s="181" t="s">
        <v>75</v>
      </c>
      <c r="CE82" s="346" t="s">
        <v>342</v>
      </c>
      <c r="CF82" s="346"/>
      <c r="CG82" s="349"/>
      <c r="CH82" s="344" t="s">
        <v>232</v>
      </c>
      <c r="CI82" s="345"/>
      <c r="CJ82" s="345"/>
      <c r="CK82" s="181" t="s">
        <v>75</v>
      </c>
      <c r="CL82" s="346" t="s">
        <v>342</v>
      </c>
      <c r="CM82" s="346"/>
      <c r="CN82" s="349"/>
      <c r="CO82" s="344" t="s">
        <v>232</v>
      </c>
      <c r="CP82" s="345"/>
      <c r="CQ82" s="345"/>
      <c r="CR82" s="181" t="s">
        <v>75</v>
      </c>
      <c r="CS82" s="346" t="s">
        <v>342</v>
      </c>
      <c r="CT82" s="346"/>
      <c r="CU82" s="349"/>
      <c r="CV82" s="344" t="s">
        <v>232</v>
      </c>
      <c r="CW82" s="345"/>
      <c r="CX82" s="345"/>
      <c r="CY82" s="181" t="s">
        <v>75</v>
      </c>
      <c r="CZ82" s="346" t="s">
        <v>342</v>
      </c>
      <c r="DA82" s="346"/>
      <c r="DB82" s="349"/>
      <c r="DC82" s="344" t="s">
        <v>232</v>
      </c>
      <c r="DD82" s="345"/>
      <c r="DE82" s="345"/>
      <c r="DF82" s="181" t="s">
        <v>75</v>
      </c>
      <c r="DG82" s="346" t="s">
        <v>342</v>
      </c>
      <c r="DH82" s="346"/>
      <c r="DI82" s="349"/>
      <c r="DJ82" s="344" t="s">
        <v>232</v>
      </c>
      <c r="DK82" s="345"/>
      <c r="DL82" s="345"/>
      <c r="DM82" s="181" t="s">
        <v>75</v>
      </c>
      <c r="DN82" s="346" t="s">
        <v>342</v>
      </c>
      <c r="DO82" s="346"/>
      <c r="DP82" s="349"/>
      <c r="DQ82" s="345" t="s">
        <v>232</v>
      </c>
      <c r="DR82" s="345"/>
      <c r="DS82" s="345"/>
      <c r="DT82" s="181" t="s">
        <v>75</v>
      </c>
      <c r="DU82" s="346" t="s">
        <v>342</v>
      </c>
      <c r="DV82" s="346"/>
      <c r="DW82" s="349"/>
      <c r="DX82" s="345" t="s">
        <v>232</v>
      </c>
      <c r="DY82" s="345"/>
      <c r="DZ82" s="345"/>
      <c r="EA82" s="181" t="s">
        <v>75</v>
      </c>
      <c r="EB82" s="346" t="s">
        <v>342</v>
      </c>
      <c r="EC82" s="346"/>
      <c r="ED82" s="349"/>
      <c r="EE82" s="345" t="s">
        <v>232</v>
      </c>
      <c r="EF82" s="345"/>
      <c r="EG82" s="345"/>
      <c r="EH82" s="181" t="s">
        <v>75</v>
      </c>
      <c r="EI82" s="346" t="s">
        <v>342</v>
      </c>
      <c r="EJ82" s="346"/>
      <c r="EK82" s="347"/>
      <c r="EL82" s="345" t="s">
        <v>539</v>
      </c>
      <c r="EM82" s="345"/>
      <c r="EN82" s="345"/>
      <c r="EO82" s="181" t="s">
        <v>75</v>
      </c>
      <c r="EP82" s="346" t="s">
        <v>342</v>
      </c>
      <c r="EQ82" s="346"/>
      <c r="ER82" s="347"/>
      <c r="ES82" s="345" t="s">
        <v>243</v>
      </c>
      <c r="ET82" s="345"/>
      <c r="EU82" s="345"/>
      <c r="EV82" s="181" t="s">
        <v>75</v>
      </c>
      <c r="EW82" s="346" t="s">
        <v>370</v>
      </c>
      <c r="EX82" s="346"/>
      <c r="EY82" s="349"/>
      <c r="EZ82" s="344" t="s">
        <v>243</v>
      </c>
      <c r="FA82" s="345"/>
      <c r="FB82" s="345"/>
      <c r="FC82" s="181" t="s">
        <v>75</v>
      </c>
      <c r="FD82" s="346" t="s">
        <v>370</v>
      </c>
      <c r="FE82" s="346"/>
      <c r="FF82" s="346"/>
      <c r="FG82" s="344" t="s">
        <v>243</v>
      </c>
      <c r="FH82" s="345"/>
      <c r="FI82" s="345"/>
      <c r="FJ82" s="181" t="s">
        <v>75</v>
      </c>
      <c r="FK82" s="346" t="s">
        <v>370</v>
      </c>
      <c r="FL82" s="346"/>
      <c r="FM82" s="346"/>
      <c r="FN82" s="180"/>
      <c r="FO82" s="181"/>
      <c r="FP82" s="182"/>
      <c r="FQ82" s="181"/>
      <c r="FR82" s="183"/>
      <c r="FS82" s="181"/>
      <c r="FT82" s="210"/>
      <c r="FU82" s="363" t="s">
        <v>246</v>
      </c>
      <c r="FV82" s="345"/>
      <c r="FW82" s="345"/>
      <c r="FX82" s="181" t="s">
        <v>75</v>
      </c>
      <c r="FY82" s="346" t="s">
        <v>393</v>
      </c>
      <c r="FZ82" s="346"/>
      <c r="GA82" s="346"/>
      <c r="GB82" s="344" t="s">
        <v>246</v>
      </c>
      <c r="GC82" s="345"/>
      <c r="GD82" s="345"/>
      <c r="GE82" s="181" t="s">
        <v>75</v>
      </c>
      <c r="GF82" s="346" t="s">
        <v>393</v>
      </c>
      <c r="GG82" s="346"/>
      <c r="GH82" s="349"/>
      <c r="GI82" s="344" t="s">
        <v>246</v>
      </c>
      <c r="GJ82" s="345"/>
      <c r="GK82" s="345"/>
      <c r="GL82" s="181" t="s">
        <v>75</v>
      </c>
      <c r="GM82" s="346" t="s">
        <v>393</v>
      </c>
      <c r="GN82" s="346"/>
      <c r="GO82" s="349"/>
      <c r="GP82" s="345" t="s">
        <v>246</v>
      </c>
      <c r="GQ82" s="345"/>
      <c r="GR82" s="345"/>
      <c r="GS82" s="181" t="s">
        <v>75</v>
      </c>
      <c r="GT82" s="346" t="s">
        <v>393</v>
      </c>
      <c r="GU82" s="346"/>
      <c r="GV82" s="349"/>
      <c r="GW82" s="344" t="s">
        <v>246</v>
      </c>
      <c r="GX82" s="345"/>
      <c r="GY82" s="345"/>
      <c r="GZ82" s="181" t="s">
        <v>75</v>
      </c>
      <c r="HA82" s="346" t="s">
        <v>393</v>
      </c>
      <c r="HB82" s="346"/>
      <c r="HC82" s="349"/>
      <c r="HD82" s="344" t="s">
        <v>246</v>
      </c>
      <c r="HE82" s="345"/>
      <c r="HF82" s="345"/>
      <c r="HG82" s="181" t="s">
        <v>75</v>
      </c>
      <c r="HH82" s="346" t="s">
        <v>393</v>
      </c>
      <c r="HI82" s="346"/>
      <c r="HJ82" s="347"/>
      <c r="HK82" s="345" t="s">
        <v>541</v>
      </c>
      <c r="HL82" s="345"/>
      <c r="HM82" s="345"/>
      <c r="HN82" s="181" t="s">
        <v>75</v>
      </c>
      <c r="HO82" s="346" t="s">
        <v>393</v>
      </c>
      <c r="HP82" s="346"/>
      <c r="HQ82" s="347"/>
      <c r="HR82" s="181"/>
      <c r="HS82" s="181"/>
      <c r="HT82" s="182"/>
      <c r="HU82" s="181"/>
      <c r="HV82" s="256"/>
      <c r="HW82" s="181"/>
      <c r="HX82" s="184"/>
    </row>
    <row r="83" spans="2:232" ht="15" customHeight="1" outlineLevel="1" x14ac:dyDescent="0.25">
      <c r="B83" s="147"/>
      <c r="C83" s="147"/>
      <c r="D83" s="147"/>
      <c r="E83" s="147"/>
      <c r="F83" s="157"/>
      <c r="G83" s="147"/>
      <c r="H83" s="157"/>
      <c r="I83" s="175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V83" s="161" t="s">
        <v>199</v>
      </c>
      <c r="W83" s="12"/>
      <c r="X83" s="12"/>
      <c r="Y83" s="12"/>
      <c r="Z83" s="12"/>
      <c r="AA83" s="12"/>
      <c r="AB83" s="12"/>
      <c r="AC83" s="14"/>
      <c r="AD83" s="352" t="s">
        <v>201</v>
      </c>
      <c r="AE83" s="353"/>
      <c r="AF83" s="353"/>
      <c r="AG83" s="1" t="s">
        <v>57</v>
      </c>
      <c r="AH83" s="337" t="s">
        <v>221</v>
      </c>
      <c r="AI83" s="337"/>
      <c r="AJ83" s="337"/>
      <c r="AK83" s="364" t="s">
        <v>202</v>
      </c>
      <c r="AL83" s="337"/>
      <c r="AM83" s="337"/>
      <c r="AN83" s="1" t="s">
        <v>57</v>
      </c>
      <c r="AO83" s="337" t="s">
        <v>221</v>
      </c>
      <c r="AP83" s="337"/>
      <c r="AQ83" s="338"/>
      <c r="AR83" s="350" t="s">
        <v>221</v>
      </c>
      <c r="AS83" s="337"/>
      <c r="AT83" s="337"/>
      <c r="AU83" s="1" t="s">
        <v>57</v>
      </c>
      <c r="AV83" s="337" t="s">
        <v>228</v>
      </c>
      <c r="AW83" s="337"/>
      <c r="AX83" s="338"/>
      <c r="AY83" s="350" t="s">
        <v>228</v>
      </c>
      <c r="AZ83" s="337"/>
      <c r="BA83" s="337"/>
      <c r="BB83" s="1" t="s">
        <v>57</v>
      </c>
      <c r="BC83" s="337" t="s">
        <v>352</v>
      </c>
      <c r="BD83" s="337"/>
      <c r="BE83" s="337"/>
      <c r="BF83" s="350" t="s">
        <v>556</v>
      </c>
      <c r="BG83" s="337"/>
      <c r="BH83" s="337"/>
      <c r="BI83" s="191"/>
      <c r="BJ83" s="337"/>
      <c r="BK83" s="337"/>
      <c r="BL83" s="338"/>
      <c r="BM83" s="350"/>
      <c r="BN83" s="337"/>
      <c r="BO83" s="337"/>
      <c r="BQ83" s="337"/>
      <c r="BR83" s="337"/>
      <c r="BS83" s="337"/>
      <c r="BT83" s="364" t="s">
        <v>221</v>
      </c>
      <c r="BU83" s="337"/>
      <c r="BV83" s="337"/>
      <c r="BW83" s="1" t="s">
        <v>57</v>
      </c>
      <c r="BX83" s="337" t="s">
        <v>231</v>
      </c>
      <c r="BY83" s="337"/>
      <c r="BZ83" s="338"/>
      <c r="CA83" s="337" t="s">
        <v>231</v>
      </c>
      <c r="CB83" s="337"/>
      <c r="CC83" s="337"/>
      <c r="CD83" s="1" t="s">
        <v>57</v>
      </c>
      <c r="CE83" s="337" t="s">
        <v>221</v>
      </c>
      <c r="CF83" s="337"/>
      <c r="CG83" s="337"/>
      <c r="CH83" s="350" t="s">
        <v>221</v>
      </c>
      <c r="CI83" s="337"/>
      <c r="CJ83" s="337"/>
      <c r="CK83" s="1" t="s">
        <v>57</v>
      </c>
      <c r="CL83" s="337" t="s">
        <v>234</v>
      </c>
      <c r="CM83" s="337"/>
      <c r="CN83" s="338"/>
      <c r="CO83" s="350" t="s">
        <v>262</v>
      </c>
      <c r="CP83" s="337"/>
      <c r="CQ83" s="337"/>
      <c r="CR83" s="1" t="s">
        <v>57</v>
      </c>
      <c r="CS83" s="337" t="s">
        <v>233</v>
      </c>
      <c r="CT83" s="337"/>
      <c r="CU83" s="338"/>
      <c r="CV83" s="350" t="s">
        <v>228</v>
      </c>
      <c r="CW83" s="337"/>
      <c r="CX83" s="337"/>
      <c r="CY83" s="1" t="s">
        <v>57</v>
      </c>
      <c r="CZ83" s="337" t="s">
        <v>231</v>
      </c>
      <c r="DA83" s="337"/>
      <c r="DB83" s="338"/>
      <c r="DC83" s="350" t="s">
        <v>231</v>
      </c>
      <c r="DD83" s="337"/>
      <c r="DE83" s="337"/>
      <c r="DF83" s="1" t="s">
        <v>57</v>
      </c>
      <c r="DG83" s="337" t="s">
        <v>252</v>
      </c>
      <c r="DH83" s="337"/>
      <c r="DI83" s="338"/>
      <c r="DJ83" s="350" t="s">
        <v>252</v>
      </c>
      <c r="DK83" s="337"/>
      <c r="DL83" s="337"/>
      <c r="DM83" s="1" t="s">
        <v>57</v>
      </c>
      <c r="DN83" s="337" t="s">
        <v>234</v>
      </c>
      <c r="DO83" s="337"/>
      <c r="DP83" s="338"/>
      <c r="DQ83" s="350" t="s">
        <v>233</v>
      </c>
      <c r="DR83" s="337"/>
      <c r="DS83" s="337"/>
      <c r="DT83" s="191"/>
      <c r="DU83" s="337"/>
      <c r="DV83" s="337"/>
      <c r="DW83" s="338"/>
      <c r="DX83" s="350" t="s">
        <v>252</v>
      </c>
      <c r="DY83" s="337"/>
      <c r="DZ83" s="337"/>
      <c r="EA83" s="1" t="s">
        <v>57</v>
      </c>
      <c r="EB83" s="337" t="s">
        <v>221</v>
      </c>
      <c r="EC83" s="337"/>
      <c r="ED83" s="338"/>
      <c r="EE83" s="350" t="s">
        <v>231</v>
      </c>
      <c r="EF83" s="337"/>
      <c r="EG83" s="337"/>
      <c r="EH83" s="191"/>
      <c r="EI83" s="337"/>
      <c r="EJ83" s="337"/>
      <c r="EK83" s="351"/>
      <c r="EL83" s="337" t="s">
        <v>383</v>
      </c>
      <c r="EM83" s="337"/>
      <c r="EN83" s="337"/>
      <c r="EO83" s="191"/>
      <c r="EP83" s="337"/>
      <c r="EQ83" s="337"/>
      <c r="ER83" s="351"/>
      <c r="ES83" s="337" t="s">
        <v>384</v>
      </c>
      <c r="ET83" s="337"/>
      <c r="EU83" s="337"/>
      <c r="EV83" s="1" t="s">
        <v>57</v>
      </c>
      <c r="EW83" s="337" t="s">
        <v>228</v>
      </c>
      <c r="EX83" s="337"/>
      <c r="EY83" s="338"/>
      <c r="EZ83" s="350" t="s">
        <v>228</v>
      </c>
      <c r="FA83" s="337"/>
      <c r="FB83" s="337"/>
      <c r="FC83" s="1" t="s">
        <v>57</v>
      </c>
      <c r="FD83" s="337" t="s">
        <v>352</v>
      </c>
      <c r="FE83" s="337"/>
      <c r="FF83" s="337"/>
      <c r="FG83" s="350" t="s">
        <v>352</v>
      </c>
      <c r="FH83" s="337"/>
      <c r="FI83" s="337"/>
      <c r="FJ83" s="191"/>
      <c r="FK83" s="337"/>
      <c r="FL83" s="337"/>
      <c r="FM83" s="338"/>
      <c r="FN83" s="350"/>
      <c r="FO83" s="337"/>
      <c r="FP83" s="337"/>
      <c r="FR83" s="337"/>
      <c r="FS83" s="337"/>
      <c r="FT83" s="337"/>
      <c r="FU83" s="364" t="s">
        <v>252</v>
      </c>
      <c r="FV83" s="337"/>
      <c r="FW83" s="337"/>
      <c r="FX83" s="1" t="s">
        <v>57</v>
      </c>
      <c r="FY83" s="337" t="s">
        <v>231</v>
      </c>
      <c r="FZ83" s="337"/>
      <c r="GA83" s="337"/>
      <c r="GB83" s="350" t="s">
        <v>231</v>
      </c>
      <c r="GC83" s="337"/>
      <c r="GD83" s="337"/>
      <c r="GE83" s="1" t="s">
        <v>57</v>
      </c>
      <c r="GF83" s="337" t="s">
        <v>252</v>
      </c>
      <c r="GG83" s="337"/>
      <c r="GH83" s="338"/>
      <c r="GI83" s="350" t="s">
        <v>252</v>
      </c>
      <c r="GJ83" s="337"/>
      <c r="GK83" s="337"/>
      <c r="GL83" s="1" t="s">
        <v>57</v>
      </c>
      <c r="GM83" s="337" t="s">
        <v>234</v>
      </c>
      <c r="GN83" s="337"/>
      <c r="GO83" s="338"/>
      <c r="GP83" s="337" t="s">
        <v>233</v>
      </c>
      <c r="GQ83" s="337"/>
      <c r="GR83" s="337"/>
      <c r="GS83" s="191"/>
      <c r="GT83" s="337"/>
      <c r="GU83" s="337"/>
      <c r="GV83" s="338"/>
      <c r="GW83" s="350" t="s">
        <v>382</v>
      </c>
      <c r="GX83" s="337"/>
      <c r="GY83" s="337"/>
      <c r="GZ83" s="1" t="s">
        <v>57</v>
      </c>
      <c r="HA83" s="337" t="s">
        <v>426</v>
      </c>
      <c r="HB83" s="337"/>
      <c r="HC83" s="338"/>
      <c r="HD83" s="350" t="s">
        <v>231</v>
      </c>
      <c r="HE83" s="337"/>
      <c r="HF83" s="337"/>
      <c r="HG83" s="191"/>
      <c r="HH83" s="337"/>
      <c r="HI83" s="337"/>
      <c r="HJ83" s="351"/>
      <c r="HK83" s="337" t="s">
        <v>383</v>
      </c>
      <c r="HL83" s="337"/>
      <c r="HM83" s="337"/>
      <c r="HO83" s="337"/>
      <c r="HP83" s="337"/>
      <c r="HQ83" s="351"/>
      <c r="HR83" s="337"/>
      <c r="HS83" s="337"/>
      <c r="HT83" s="337"/>
      <c r="HV83" s="337"/>
      <c r="HW83" s="337"/>
      <c r="HX83" s="338"/>
    </row>
    <row r="84" spans="2:232" ht="15" customHeight="1" outlineLevel="1" x14ac:dyDescent="0.25">
      <c r="B84" s="147"/>
      <c r="C84" s="147"/>
      <c r="D84" s="147"/>
      <c r="E84" s="147"/>
      <c r="F84" s="157"/>
      <c r="G84" s="147"/>
      <c r="H84" s="157"/>
      <c r="I84" s="175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V84" s="161" t="s">
        <v>200</v>
      </c>
      <c r="W84" s="12"/>
      <c r="X84" s="12"/>
      <c r="Y84" s="12"/>
      <c r="Z84" s="12"/>
      <c r="AA84" s="12"/>
      <c r="AB84" s="12"/>
      <c r="AC84" s="14"/>
      <c r="AD84" s="352" t="s">
        <v>201</v>
      </c>
      <c r="AE84" s="353"/>
      <c r="AF84" s="353"/>
      <c r="AG84" s="1" t="s">
        <v>57</v>
      </c>
      <c r="AH84" s="353" t="s">
        <v>220</v>
      </c>
      <c r="AI84" s="353"/>
      <c r="AJ84" s="353"/>
      <c r="AK84" s="367" t="s">
        <v>220</v>
      </c>
      <c r="AL84" s="353"/>
      <c r="AM84" s="353"/>
      <c r="AO84" s="353"/>
      <c r="AP84" s="353"/>
      <c r="AQ84" s="355"/>
      <c r="AR84" s="352" t="s">
        <v>220</v>
      </c>
      <c r="AS84" s="353"/>
      <c r="AT84" s="353"/>
      <c r="AV84" s="353"/>
      <c r="AW84" s="353"/>
      <c r="AX84" s="355"/>
      <c r="AY84" s="352" t="s">
        <v>229</v>
      </c>
      <c r="AZ84" s="353"/>
      <c r="BA84" s="353"/>
      <c r="BC84" s="353"/>
      <c r="BD84" s="353"/>
      <c r="BE84" s="353"/>
      <c r="BF84" s="352" t="s">
        <v>229</v>
      </c>
      <c r="BG84" s="353"/>
      <c r="BH84" s="353"/>
      <c r="BJ84" s="353"/>
      <c r="BK84" s="353"/>
      <c r="BL84" s="353"/>
      <c r="BM84" s="352"/>
      <c r="BN84" s="353"/>
      <c r="BO84" s="353"/>
      <c r="BQ84" s="353"/>
      <c r="BR84" s="353"/>
      <c r="BS84" s="353"/>
      <c r="BT84" s="367" t="s">
        <v>229</v>
      </c>
      <c r="BU84" s="353"/>
      <c r="BV84" s="353"/>
      <c r="BX84" s="353"/>
      <c r="BY84" s="353"/>
      <c r="BZ84" s="355"/>
      <c r="CA84" s="352" t="s">
        <v>229</v>
      </c>
      <c r="CB84" s="353"/>
      <c r="CC84" s="353"/>
      <c r="CE84" s="353"/>
      <c r="CF84" s="353"/>
      <c r="CG84" s="353"/>
      <c r="CH84" s="352" t="s">
        <v>229</v>
      </c>
      <c r="CI84" s="353"/>
      <c r="CJ84" s="353"/>
      <c r="CL84" s="353"/>
      <c r="CM84" s="353"/>
      <c r="CN84" s="355"/>
      <c r="CO84" s="352" t="s">
        <v>229</v>
      </c>
      <c r="CP84" s="353"/>
      <c r="CQ84" s="353"/>
      <c r="CS84" s="353"/>
      <c r="CT84" s="353"/>
      <c r="CU84" s="355"/>
      <c r="CV84" s="352" t="s">
        <v>229</v>
      </c>
      <c r="CW84" s="353"/>
      <c r="CX84" s="353"/>
      <c r="CZ84" s="353"/>
      <c r="DA84" s="353"/>
      <c r="DB84" s="355"/>
      <c r="DC84" s="352" t="s">
        <v>229</v>
      </c>
      <c r="DD84" s="353"/>
      <c r="DE84" s="353"/>
      <c r="DG84" s="353"/>
      <c r="DH84" s="353"/>
      <c r="DI84" s="355"/>
      <c r="DJ84" s="352" t="s">
        <v>229</v>
      </c>
      <c r="DK84" s="353"/>
      <c r="DL84" s="353"/>
      <c r="DN84" s="353"/>
      <c r="DO84" s="353"/>
      <c r="DP84" s="355"/>
      <c r="DQ84" s="352" t="s">
        <v>229</v>
      </c>
      <c r="DR84" s="353"/>
      <c r="DS84" s="353"/>
      <c r="DU84" s="353"/>
      <c r="DV84" s="353"/>
      <c r="DW84" s="353"/>
      <c r="DX84" s="352" t="s">
        <v>229</v>
      </c>
      <c r="DY84" s="353"/>
      <c r="DZ84" s="353"/>
      <c r="EB84" s="353"/>
      <c r="EC84" s="353"/>
      <c r="ED84" s="355"/>
      <c r="EE84" s="352" t="s">
        <v>229</v>
      </c>
      <c r="EF84" s="353"/>
      <c r="EG84" s="353"/>
      <c r="EI84" s="353"/>
      <c r="EJ84" s="353"/>
      <c r="EK84" s="354"/>
      <c r="EL84" s="353" t="s">
        <v>229</v>
      </c>
      <c r="EM84" s="353"/>
      <c r="EN84" s="353"/>
      <c r="EP84" s="353"/>
      <c r="EQ84" s="353"/>
      <c r="ER84" s="354"/>
      <c r="ES84" s="353" t="s">
        <v>220</v>
      </c>
      <c r="ET84" s="353"/>
      <c r="EU84" s="353"/>
      <c r="EW84" s="353"/>
      <c r="EX84" s="353"/>
      <c r="EY84" s="355"/>
      <c r="EZ84" s="352" t="s">
        <v>229</v>
      </c>
      <c r="FA84" s="353"/>
      <c r="FB84" s="353"/>
      <c r="FD84" s="353"/>
      <c r="FE84" s="353"/>
      <c r="FF84" s="353"/>
      <c r="FG84" s="352" t="s">
        <v>229</v>
      </c>
      <c r="FH84" s="353"/>
      <c r="FI84" s="353"/>
      <c r="FK84" s="353"/>
      <c r="FL84" s="353"/>
      <c r="FM84" s="355"/>
      <c r="FN84" s="352"/>
      <c r="FO84" s="353"/>
      <c r="FP84" s="353"/>
      <c r="FR84" s="353"/>
      <c r="FS84" s="353"/>
      <c r="FT84" s="353"/>
      <c r="FU84" s="367" t="s">
        <v>229</v>
      </c>
      <c r="FV84" s="353"/>
      <c r="FW84" s="353"/>
      <c r="FY84" s="353"/>
      <c r="FZ84" s="353"/>
      <c r="GA84" s="353"/>
      <c r="GB84" s="352" t="s">
        <v>229</v>
      </c>
      <c r="GC84" s="353"/>
      <c r="GD84" s="353"/>
      <c r="GF84" s="353"/>
      <c r="GG84" s="353"/>
      <c r="GH84" s="355"/>
      <c r="GI84" s="352" t="s">
        <v>229</v>
      </c>
      <c r="GJ84" s="353"/>
      <c r="GK84" s="353"/>
      <c r="GM84" s="353"/>
      <c r="GN84" s="353"/>
      <c r="GO84" s="355"/>
      <c r="GP84" s="353" t="s">
        <v>229</v>
      </c>
      <c r="GQ84" s="353"/>
      <c r="GR84" s="353"/>
      <c r="GT84" s="353"/>
      <c r="GU84" s="353"/>
      <c r="GV84" s="355"/>
      <c r="GW84" s="352" t="s">
        <v>229</v>
      </c>
      <c r="GX84" s="353"/>
      <c r="GY84" s="353"/>
      <c r="HA84" s="353"/>
      <c r="HB84" s="353"/>
      <c r="HC84" s="355"/>
      <c r="HD84" s="352" t="s">
        <v>229</v>
      </c>
      <c r="HE84" s="353"/>
      <c r="HF84" s="353"/>
      <c r="HH84" s="353"/>
      <c r="HI84" s="353"/>
      <c r="HJ84" s="354"/>
      <c r="HK84" s="353" t="s">
        <v>229</v>
      </c>
      <c r="HL84" s="353"/>
      <c r="HM84" s="353"/>
      <c r="HO84" s="353"/>
      <c r="HP84" s="353"/>
      <c r="HQ84" s="354"/>
      <c r="HR84" s="353"/>
      <c r="HS84" s="353"/>
      <c r="HT84" s="353"/>
      <c r="HV84" s="353"/>
      <c r="HW84" s="353"/>
      <c r="HX84" s="355"/>
    </row>
    <row r="85" spans="2:232" ht="15" customHeight="1" outlineLevel="1" x14ac:dyDescent="0.25">
      <c r="B85" s="147"/>
      <c r="C85" s="147"/>
      <c r="D85" s="147"/>
      <c r="E85" s="147"/>
      <c r="F85" s="157"/>
      <c r="G85" s="147"/>
      <c r="H85" s="157"/>
      <c r="I85" s="175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V85" s="162"/>
      <c r="W85" s="159"/>
      <c r="X85" s="159"/>
      <c r="Y85" s="159"/>
      <c r="Z85" s="159"/>
      <c r="AA85" s="159"/>
      <c r="AB85" s="159"/>
      <c r="AC85" s="160"/>
      <c r="AD85" s="361"/>
      <c r="AE85" s="356"/>
      <c r="AF85" s="356"/>
      <c r="AG85" s="163"/>
      <c r="AH85" s="356"/>
      <c r="AI85" s="356"/>
      <c r="AJ85" s="356"/>
      <c r="AK85" s="368"/>
      <c r="AL85" s="356"/>
      <c r="AM85" s="356"/>
      <c r="AN85" s="163"/>
      <c r="AO85" s="356"/>
      <c r="AP85" s="356"/>
      <c r="AQ85" s="357"/>
      <c r="AR85" s="361"/>
      <c r="AS85" s="356"/>
      <c r="AT85" s="356"/>
      <c r="AU85" s="163"/>
      <c r="AV85" s="356"/>
      <c r="AW85" s="356"/>
      <c r="AX85" s="357"/>
      <c r="AY85" s="361"/>
      <c r="AZ85" s="356"/>
      <c r="BA85" s="356"/>
      <c r="BB85" s="163"/>
      <c r="BC85" s="356"/>
      <c r="BD85" s="356"/>
      <c r="BE85" s="356"/>
      <c r="BF85" s="361"/>
      <c r="BG85" s="356"/>
      <c r="BH85" s="356"/>
      <c r="BI85" s="163"/>
      <c r="BJ85" s="356"/>
      <c r="BK85" s="356"/>
      <c r="BL85" s="357"/>
      <c r="BM85" s="361"/>
      <c r="BN85" s="356"/>
      <c r="BO85" s="356"/>
      <c r="BP85" s="163"/>
      <c r="BQ85" s="356"/>
      <c r="BR85" s="356"/>
      <c r="BS85" s="356"/>
      <c r="BT85" s="368"/>
      <c r="BU85" s="356"/>
      <c r="BV85" s="356"/>
      <c r="BW85" s="163"/>
      <c r="BX85" s="356"/>
      <c r="BY85" s="356"/>
      <c r="BZ85" s="357"/>
      <c r="CA85" s="361"/>
      <c r="CB85" s="356"/>
      <c r="CC85" s="356"/>
      <c r="CD85" s="163"/>
      <c r="CE85" s="356"/>
      <c r="CF85" s="356"/>
      <c r="CG85" s="357"/>
      <c r="CH85" s="361"/>
      <c r="CI85" s="356"/>
      <c r="CJ85" s="356"/>
      <c r="CK85" s="163"/>
      <c r="CL85" s="356"/>
      <c r="CM85" s="356"/>
      <c r="CN85" s="357"/>
      <c r="CO85" s="361"/>
      <c r="CP85" s="356"/>
      <c r="CQ85" s="356"/>
      <c r="CR85" s="163"/>
      <c r="CS85" s="356"/>
      <c r="CT85" s="356"/>
      <c r="CU85" s="357"/>
      <c r="CV85" s="361"/>
      <c r="CW85" s="356"/>
      <c r="CX85" s="356"/>
      <c r="CY85" s="163"/>
      <c r="CZ85" s="356"/>
      <c r="DA85" s="356"/>
      <c r="DB85" s="357"/>
      <c r="DC85" s="356"/>
      <c r="DD85" s="356"/>
      <c r="DE85" s="356"/>
      <c r="DF85" s="163"/>
      <c r="DG85" s="356"/>
      <c r="DH85" s="356"/>
      <c r="DI85" s="357"/>
      <c r="DJ85" s="361"/>
      <c r="DK85" s="356"/>
      <c r="DL85" s="356"/>
      <c r="DM85" s="163"/>
      <c r="DN85" s="356"/>
      <c r="DO85" s="356"/>
      <c r="DP85" s="357"/>
      <c r="DQ85" s="361"/>
      <c r="DR85" s="356"/>
      <c r="DS85" s="356"/>
      <c r="DT85" s="163"/>
      <c r="DU85" s="356"/>
      <c r="DV85" s="356"/>
      <c r="DW85" s="357"/>
      <c r="DX85" s="356"/>
      <c r="DY85" s="356"/>
      <c r="DZ85" s="356"/>
      <c r="EA85" s="163"/>
      <c r="EB85" s="356"/>
      <c r="EC85" s="356"/>
      <c r="ED85" s="357"/>
      <c r="EE85" s="361"/>
      <c r="EF85" s="356"/>
      <c r="EG85" s="356"/>
      <c r="EH85" s="163"/>
      <c r="EI85" s="356"/>
      <c r="EJ85" s="356"/>
      <c r="EK85" s="359"/>
      <c r="EL85" s="356"/>
      <c r="EM85" s="356"/>
      <c r="EN85" s="356"/>
      <c r="EO85" s="163"/>
      <c r="EP85" s="356"/>
      <c r="EQ85" s="356"/>
      <c r="ER85" s="359"/>
      <c r="ES85" s="356"/>
      <c r="ET85" s="356"/>
      <c r="EU85" s="356"/>
      <c r="EV85" s="163"/>
      <c r="EW85" s="356"/>
      <c r="EX85" s="356"/>
      <c r="EY85" s="357"/>
      <c r="EZ85" s="361"/>
      <c r="FA85" s="356"/>
      <c r="FB85" s="356"/>
      <c r="FC85" s="163"/>
      <c r="FD85" s="356"/>
      <c r="FE85" s="356"/>
      <c r="FF85" s="356"/>
      <c r="FG85" s="361"/>
      <c r="FH85" s="356"/>
      <c r="FI85" s="356"/>
      <c r="FJ85" s="163"/>
      <c r="FK85" s="356"/>
      <c r="FL85" s="356"/>
      <c r="FM85" s="357"/>
      <c r="FN85" s="361"/>
      <c r="FO85" s="356"/>
      <c r="FP85" s="356"/>
      <c r="FQ85" s="163"/>
      <c r="FR85" s="356"/>
      <c r="FS85" s="356"/>
      <c r="FT85" s="356"/>
      <c r="FU85" s="368"/>
      <c r="FV85" s="356"/>
      <c r="FW85" s="356"/>
      <c r="FX85" s="163"/>
      <c r="FY85" s="356"/>
      <c r="FZ85" s="356"/>
      <c r="GA85" s="356"/>
      <c r="GB85" s="361"/>
      <c r="GC85" s="356"/>
      <c r="GD85" s="356"/>
      <c r="GE85" s="163"/>
      <c r="GF85" s="356"/>
      <c r="GG85" s="356"/>
      <c r="GH85" s="357"/>
      <c r="GI85" s="361"/>
      <c r="GJ85" s="356"/>
      <c r="GK85" s="356"/>
      <c r="GL85" s="163"/>
      <c r="GM85" s="356"/>
      <c r="GN85" s="356"/>
      <c r="GO85" s="357"/>
      <c r="GP85" s="356"/>
      <c r="GQ85" s="356"/>
      <c r="GR85" s="356"/>
      <c r="GS85" s="163"/>
      <c r="GT85" s="356"/>
      <c r="GU85" s="356"/>
      <c r="GV85" s="357"/>
      <c r="GW85" s="361"/>
      <c r="GX85" s="356"/>
      <c r="GY85" s="356"/>
      <c r="GZ85" s="163"/>
      <c r="HA85" s="356"/>
      <c r="HB85" s="356"/>
      <c r="HC85" s="357"/>
      <c r="HD85" s="361"/>
      <c r="HE85" s="356"/>
      <c r="HF85" s="356"/>
      <c r="HG85" s="163"/>
      <c r="HH85" s="356"/>
      <c r="HI85" s="356"/>
      <c r="HJ85" s="359"/>
      <c r="HK85" s="356"/>
      <c r="HL85" s="356"/>
      <c r="HM85" s="356"/>
      <c r="HN85" s="163"/>
      <c r="HO85" s="356"/>
      <c r="HP85" s="356"/>
      <c r="HQ85" s="359"/>
      <c r="HR85" s="356"/>
      <c r="HS85" s="356"/>
      <c r="HT85" s="356"/>
      <c r="HU85" s="163"/>
      <c r="HV85" s="356"/>
      <c r="HW85" s="356"/>
      <c r="HX85" s="357"/>
    </row>
    <row r="86" spans="2:232" outlineLevel="1" x14ac:dyDescent="0.25">
      <c r="B86" s="32"/>
      <c r="C86" s="333">
        <f>MAX(C79:C80)+1</f>
        <v>10</v>
      </c>
      <c r="D86" s="164" t="s">
        <v>21</v>
      </c>
      <c r="E86" s="34"/>
      <c r="F86" s="165" t="s">
        <v>529</v>
      </c>
      <c r="G86" s="165" t="s">
        <v>529</v>
      </c>
      <c r="H86" s="165" t="s">
        <v>95</v>
      </c>
      <c r="I86" s="176" t="s">
        <v>187</v>
      </c>
      <c r="J86" s="165" t="s">
        <v>171</v>
      </c>
      <c r="K86" s="165">
        <v>2031</v>
      </c>
      <c r="L86" s="165">
        <v>2</v>
      </c>
      <c r="M86" s="165"/>
      <c r="N86" s="165"/>
      <c r="O86" s="165"/>
      <c r="P86" s="165"/>
      <c r="Q86" s="165"/>
      <c r="R86" s="165"/>
      <c r="S86" s="165"/>
      <c r="T86" s="165"/>
      <c r="V86" s="11" t="s">
        <v>283</v>
      </c>
      <c r="W86" s="12"/>
      <c r="X86" s="12"/>
      <c r="Y86" s="12"/>
      <c r="Z86" s="12"/>
      <c r="AA86" s="12"/>
      <c r="AB86" s="12"/>
      <c r="AC86" s="14"/>
      <c r="AD86" s="166">
        <f>$C86</f>
        <v>10</v>
      </c>
      <c r="AE86" s="358" t="s">
        <v>175</v>
      </c>
      <c r="AF86" s="358"/>
      <c r="AG86" s="358"/>
      <c r="AH86" s="158"/>
      <c r="AI86" s="337"/>
      <c r="AJ86" s="337"/>
      <c r="AK86" s="214">
        <f>$C86</f>
        <v>10</v>
      </c>
      <c r="AL86" s="358" t="s">
        <v>175</v>
      </c>
      <c r="AM86" s="358"/>
      <c r="AN86" s="358"/>
      <c r="AO86" s="32"/>
      <c r="AP86" s="353"/>
      <c r="AQ86" s="355"/>
      <c r="AR86" s="166">
        <f>$C86</f>
        <v>10</v>
      </c>
      <c r="AS86" s="358" t="s">
        <v>532</v>
      </c>
      <c r="AT86" s="358"/>
      <c r="AU86" s="358"/>
      <c r="AV86" s="32"/>
      <c r="AW86" s="353"/>
      <c r="AX86" s="355"/>
      <c r="AY86" s="166">
        <f>$C86</f>
        <v>10</v>
      </c>
      <c r="AZ86" s="358" t="s">
        <v>531</v>
      </c>
      <c r="BA86" s="358"/>
      <c r="BB86" s="358"/>
      <c r="BC86" s="32"/>
      <c r="BD86" s="353"/>
      <c r="BE86" s="353"/>
      <c r="BF86" s="166">
        <f>$C86</f>
        <v>10</v>
      </c>
      <c r="BG86" s="358" t="s">
        <v>531</v>
      </c>
      <c r="BH86" s="358"/>
      <c r="BI86" s="358"/>
      <c r="BJ86" s="158"/>
      <c r="BK86" s="337"/>
      <c r="BL86" s="338"/>
      <c r="BM86" s="166">
        <f>$C86</f>
        <v>10</v>
      </c>
      <c r="BN86" s="358" t="s">
        <v>531</v>
      </c>
      <c r="BO86" s="358"/>
      <c r="BP86" s="358"/>
      <c r="BQ86" s="158"/>
      <c r="BR86" s="337"/>
      <c r="BS86" s="337"/>
      <c r="BT86" s="214">
        <f>$C86</f>
        <v>10</v>
      </c>
      <c r="BU86" s="358" t="s">
        <v>538</v>
      </c>
      <c r="BV86" s="358"/>
      <c r="BW86" s="358"/>
      <c r="BX86" s="158"/>
      <c r="BY86" s="337"/>
      <c r="BZ86" s="338"/>
      <c r="CA86" s="166">
        <f>$C86</f>
        <v>10</v>
      </c>
      <c r="CB86" s="358" t="s">
        <v>532</v>
      </c>
      <c r="CC86" s="358"/>
      <c r="CD86" s="358"/>
      <c r="CE86" s="158"/>
      <c r="CF86" s="337"/>
      <c r="CG86" s="338"/>
      <c r="CH86" s="166">
        <f>$C86</f>
        <v>10</v>
      </c>
      <c r="CI86" s="358" t="s">
        <v>532</v>
      </c>
      <c r="CJ86" s="358"/>
      <c r="CK86" s="358"/>
      <c r="CL86" s="158"/>
      <c r="CM86" s="337"/>
      <c r="CN86" s="338"/>
      <c r="CO86" s="166">
        <f>$C86</f>
        <v>10</v>
      </c>
      <c r="CP86" s="358" t="s">
        <v>173</v>
      </c>
      <c r="CQ86" s="358"/>
      <c r="CR86" s="358"/>
      <c r="CS86" s="158"/>
      <c r="CT86" s="337"/>
      <c r="CU86" s="338"/>
      <c r="CV86" s="166">
        <f>$C86</f>
        <v>10</v>
      </c>
      <c r="CW86" s="358" t="s">
        <v>531</v>
      </c>
      <c r="CX86" s="358"/>
      <c r="CY86" s="358"/>
      <c r="CZ86" s="158"/>
      <c r="DA86" s="337"/>
      <c r="DB86" s="338"/>
      <c r="DC86" s="166">
        <f>$C86</f>
        <v>10</v>
      </c>
      <c r="DD86" s="358" t="s">
        <v>531</v>
      </c>
      <c r="DE86" s="358"/>
      <c r="DF86" s="358"/>
      <c r="DG86" s="158"/>
      <c r="DH86" s="337"/>
      <c r="DI86" s="338"/>
      <c r="DJ86" s="166">
        <f>$C86</f>
        <v>10</v>
      </c>
      <c r="DK86" s="358" t="s">
        <v>531</v>
      </c>
      <c r="DL86" s="358"/>
      <c r="DM86" s="358"/>
      <c r="DN86" s="158"/>
      <c r="DO86" s="337"/>
      <c r="DP86" s="338"/>
      <c r="DQ86" s="166">
        <f>$C86</f>
        <v>10</v>
      </c>
      <c r="DR86" s="358" t="s">
        <v>173</v>
      </c>
      <c r="DS86" s="358"/>
      <c r="DT86" s="358"/>
      <c r="DU86" s="158"/>
      <c r="DV86" s="337"/>
      <c r="DW86" s="338"/>
      <c r="DX86" s="166">
        <f>$C86</f>
        <v>10</v>
      </c>
      <c r="DY86" s="358" t="s">
        <v>532</v>
      </c>
      <c r="DZ86" s="358"/>
      <c r="EA86" s="358"/>
      <c r="EB86" s="158"/>
      <c r="EC86" s="337"/>
      <c r="ED86" s="338"/>
      <c r="EE86" s="166">
        <f>$C86</f>
        <v>10</v>
      </c>
      <c r="EF86" s="358" t="s">
        <v>531</v>
      </c>
      <c r="EG86" s="358"/>
      <c r="EH86" s="358"/>
      <c r="EI86" s="158"/>
      <c r="EJ86" s="337"/>
      <c r="EK86" s="351"/>
      <c r="EL86" s="193">
        <f>$C86</f>
        <v>10</v>
      </c>
      <c r="EM86" s="358" t="s">
        <v>645</v>
      </c>
      <c r="EN86" s="358"/>
      <c r="EO86" s="358"/>
      <c r="EP86" s="158"/>
      <c r="EQ86" s="337"/>
      <c r="ER86" s="351"/>
      <c r="ES86" s="193">
        <f>$C86</f>
        <v>10</v>
      </c>
      <c r="ET86" s="358" t="s">
        <v>175</v>
      </c>
      <c r="EU86" s="358"/>
      <c r="EV86" s="358"/>
      <c r="EW86" s="32"/>
      <c r="EX86" s="353"/>
      <c r="EY86" s="355"/>
      <c r="EZ86" s="166">
        <f>$C86</f>
        <v>10</v>
      </c>
      <c r="FA86" s="358" t="s">
        <v>532</v>
      </c>
      <c r="FB86" s="358"/>
      <c r="FC86" s="358"/>
      <c r="FD86" s="32"/>
      <c r="FE86" s="353"/>
      <c r="FF86" s="353"/>
      <c r="FG86" s="166">
        <f>$C86</f>
        <v>10</v>
      </c>
      <c r="FH86" s="358" t="s">
        <v>532</v>
      </c>
      <c r="FI86" s="358"/>
      <c r="FJ86" s="358"/>
      <c r="FK86" s="32"/>
      <c r="FL86" s="337"/>
      <c r="FM86" s="338"/>
      <c r="FN86" s="166">
        <f>$C86</f>
        <v>10</v>
      </c>
      <c r="FO86" s="358" t="s">
        <v>532</v>
      </c>
      <c r="FP86" s="358"/>
      <c r="FQ86" s="358"/>
      <c r="FR86" s="32"/>
      <c r="FS86" s="337"/>
      <c r="FT86" s="337"/>
      <c r="FU86" s="214">
        <f>$C86</f>
        <v>10</v>
      </c>
      <c r="FV86" s="358" t="s">
        <v>532</v>
      </c>
      <c r="FW86" s="358"/>
      <c r="FX86" s="358"/>
      <c r="FY86" s="32"/>
      <c r="FZ86" s="337"/>
      <c r="GA86" s="337"/>
      <c r="GB86" s="166">
        <f>$C86</f>
        <v>10</v>
      </c>
      <c r="GC86" s="358" t="s">
        <v>532</v>
      </c>
      <c r="GD86" s="358"/>
      <c r="GE86" s="358"/>
      <c r="GF86" s="32"/>
      <c r="GG86" s="337"/>
      <c r="GH86" s="338"/>
      <c r="GI86" s="166">
        <f>$C86</f>
        <v>10</v>
      </c>
      <c r="GJ86" s="358" t="s">
        <v>532</v>
      </c>
      <c r="GK86" s="358"/>
      <c r="GL86" s="358"/>
      <c r="GM86" s="32"/>
      <c r="GN86" s="337"/>
      <c r="GO86" s="338"/>
      <c r="GP86" s="193">
        <f>$C86</f>
        <v>10</v>
      </c>
      <c r="GQ86" s="358" t="s">
        <v>175</v>
      </c>
      <c r="GR86" s="358"/>
      <c r="GS86" s="358"/>
      <c r="GT86" s="32"/>
      <c r="GU86" s="337"/>
      <c r="GV86" s="338"/>
      <c r="GW86" s="166">
        <f>$C86</f>
        <v>10</v>
      </c>
      <c r="GX86" s="358" t="s">
        <v>175</v>
      </c>
      <c r="GY86" s="358"/>
      <c r="GZ86" s="358"/>
      <c r="HA86" s="32"/>
      <c r="HB86" s="337"/>
      <c r="HC86" s="338"/>
      <c r="HD86" s="166">
        <f>$C86</f>
        <v>10</v>
      </c>
      <c r="HE86" s="358" t="s">
        <v>532</v>
      </c>
      <c r="HF86" s="358"/>
      <c r="HG86" s="358"/>
      <c r="HH86" s="32"/>
      <c r="HI86" s="337"/>
      <c r="HJ86" s="351"/>
      <c r="HK86" s="193">
        <f>$C86</f>
        <v>10</v>
      </c>
      <c r="HL86" s="358" t="s">
        <v>645</v>
      </c>
      <c r="HM86" s="358"/>
      <c r="HN86" s="358"/>
      <c r="HO86" s="32"/>
      <c r="HP86" s="337"/>
      <c r="HQ86" s="351"/>
      <c r="HR86" s="193"/>
      <c r="HS86" s="362"/>
      <c r="HT86" s="362"/>
      <c r="HU86" s="362"/>
      <c r="HV86" s="257"/>
      <c r="HW86" s="337"/>
      <c r="HX86" s="338"/>
    </row>
    <row r="87" spans="2:232" outlineLevel="1" x14ac:dyDescent="0.25">
      <c r="B87" s="32"/>
      <c r="C87" s="167"/>
      <c r="D87" s="167"/>
      <c r="E87" s="34"/>
      <c r="F87" s="168"/>
      <c r="G87" s="167"/>
      <c r="H87" s="168"/>
      <c r="I87" s="177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V87" s="107"/>
      <c r="W87" s="108"/>
      <c r="X87" s="108"/>
      <c r="Y87" s="108"/>
      <c r="Z87" s="108"/>
      <c r="AA87" s="108"/>
      <c r="AB87" s="108"/>
      <c r="AC87" s="109"/>
      <c r="AD87" s="169"/>
      <c r="AE87" s="365"/>
      <c r="AF87" s="365"/>
      <c r="AG87" s="365"/>
      <c r="AH87" s="30"/>
      <c r="AI87" s="340"/>
      <c r="AJ87" s="340"/>
      <c r="AK87" s="215"/>
      <c r="AL87" s="339"/>
      <c r="AM87" s="339"/>
      <c r="AN87" s="339"/>
      <c r="AO87" s="30"/>
      <c r="AP87" s="340"/>
      <c r="AQ87" s="341"/>
      <c r="AR87" s="169"/>
      <c r="AS87" s="339"/>
      <c r="AT87" s="339"/>
      <c r="AU87" s="339"/>
      <c r="AV87" s="30"/>
      <c r="AW87" s="340"/>
      <c r="AX87" s="341"/>
      <c r="AY87" s="169"/>
      <c r="AZ87" s="339"/>
      <c r="BA87" s="339"/>
      <c r="BB87" s="339"/>
      <c r="BC87" s="30"/>
      <c r="BD87" s="340"/>
      <c r="BE87" s="340"/>
      <c r="BF87" s="169"/>
      <c r="BG87" s="339"/>
      <c r="BH87" s="339"/>
      <c r="BI87" s="339"/>
      <c r="BJ87" s="30"/>
      <c r="BK87" s="340"/>
      <c r="BL87" s="341"/>
      <c r="BM87" s="169"/>
      <c r="BN87" s="339"/>
      <c r="BO87" s="339"/>
      <c r="BP87" s="339"/>
      <c r="BQ87" s="30"/>
      <c r="BR87" s="340"/>
      <c r="BS87" s="340"/>
      <c r="BT87" s="215"/>
      <c r="BU87" s="339"/>
      <c r="BV87" s="339"/>
      <c r="BW87" s="339"/>
      <c r="BX87" s="30"/>
      <c r="BY87" s="340"/>
      <c r="BZ87" s="341"/>
      <c r="CA87" s="169"/>
      <c r="CB87" s="339"/>
      <c r="CC87" s="339"/>
      <c r="CD87" s="339"/>
      <c r="CE87" s="30"/>
      <c r="CF87" s="340"/>
      <c r="CG87" s="341"/>
      <c r="CH87" s="169"/>
      <c r="CI87" s="339"/>
      <c r="CJ87" s="339"/>
      <c r="CK87" s="339"/>
      <c r="CL87" s="30"/>
      <c r="CM87" s="340"/>
      <c r="CN87" s="341"/>
      <c r="CO87" s="169"/>
      <c r="CP87" s="339"/>
      <c r="CQ87" s="339"/>
      <c r="CR87" s="339"/>
      <c r="CS87" s="30"/>
      <c r="CT87" s="340"/>
      <c r="CU87" s="341"/>
      <c r="CV87" s="169"/>
      <c r="CW87" s="339"/>
      <c r="CX87" s="339"/>
      <c r="CY87" s="339"/>
      <c r="CZ87" s="30"/>
      <c r="DA87" s="340"/>
      <c r="DB87" s="341"/>
      <c r="DC87" s="192"/>
      <c r="DD87" s="339"/>
      <c r="DE87" s="339"/>
      <c r="DF87" s="339"/>
      <c r="DG87" s="30"/>
      <c r="DH87" s="340"/>
      <c r="DI87" s="341"/>
      <c r="DJ87" s="169"/>
      <c r="DK87" s="339"/>
      <c r="DL87" s="339"/>
      <c r="DM87" s="339"/>
      <c r="DN87" s="30"/>
      <c r="DO87" s="340"/>
      <c r="DP87" s="341"/>
      <c r="DQ87" s="169"/>
      <c r="DR87" s="339"/>
      <c r="DS87" s="339"/>
      <c r="DT87" s="339"/>
      <c r="DU87" s="30"/>
      <c r="DV87" s="340"/>
      <c r="DW87" s="341"/>
      <c r="DX87" s="192"/>
      <c r="DY87" s="339"/>
      <c r="DZ87" s="339"/>
      <c r="EA87" s="339"/>
      <c r="EB87" s="30"/>
      <c r="EC87" s="340"/>
      <c r="ED87" s="341"/>
      <c r="EE87" s="169"/>
      <c r="EF87" s="339"/>
      <c r="EG87" s="339"/>
      <c r="EH87" s="339"/>
      <c r="EI87" s="30"/>
      <c r="EJ87" s="340"/>
      <c r="EK87" s="360"/>
      <c r="EL87" s="192"/>
      <c r="EM87" s="339"/>
      <c r="EN87" s="339"/>
      <c r="EO87" s="339"/>
      <c r="EP87" s="30"/>
      <c r="EQ87" s="340"/>
      <c r="ER87" s="360"/>
      <c r="ES87" s="192"/>
      <c r="ET87" s="339"/>
      <c r="EU87" s="339"/>
      <c r="EV87" s="339"/>
      <c r="EW87" s="30"/>
      <c r="EX87" s="340"/>
      <c r="EY87" s="341"/>
      <c r="EZ87" s="169"/>
      <c r="FA87" s="339"/>
      <c r="FB87" s="339"/>
      <c r="FC87" s="339"/>
      <c r="FD87" s="30"/>
      <c r="FE87" s="340"/>
      <c r="FF87" s="340"/>
      <c r="FG87" s="169"/>
      <c r="FH87" s="339"/>
      <c r="FI87" s="339"/>
      <c r="FJ87" s="339"/>
      <c r="FK87" s="30"/>
      <c r="FL87" s="340"/>
      <c r="FM87" s="341"/>
      <c r="FN87" s="169"/>
      <c r="FO87" s="339"/>
      <c r="FP87" s="339"/>
      <c r="FQ87" s="339"/>
      <c r="FR87" s="30"/>
      <c r="FS87" s="340"/>
      <c r="FT87" s="340"/>
      <c r="FU87" s="215"/>
      <c r="FV87" s="339"/>
      <c r="FW87" s="339"/>
      <c r="FX87" s="339"/>
      <c r="FY87" s="30"/>
      <c r="FZ87" s="340"/>
      <c r="GA87" s="340"/>
      <c r="GB87" s="169"/>
      <c r="GC87" s="339"/>
      <c r="GD87" s="339"/>
      <c r="GE87" s="339"/>
      <c r="GF87" s="30"/>
      <c r="GG87" s="340"/>
      <c r="GH87" s="341"/>
      <c r="GI87" s="169"/>
      <c r="GJ87" s="339"/>
      <c r="GK87" s="339"/>
      <c r="GL87" s="339"/>
      <c r="GM87" s="30"/>
      <c r="GN87" s="340"/>
      <c r="GO87" s="341"/>
      <c r="GP87" s="192"/>
      <c r="GQ87" s="339"/>
      <c r="GR87" s="339"/>
      <c r="GS87" s="339"/>
      <c r="GT87" s="30"/>
      <c r="GU87" s="340"/>
      <c r="GV87" s="341"/>
      <c r="GW87" s="169"/>
      <c r="GX87" s="339"/>
      <c r="GY87" s="339"/>
      <c r="GZ87" s="339"/>
      <c r="HA87" s="30"/>
      <c r="HB87" s="340"/>
      <c r="HC87" s="341"/>
      <c r="HD87" s="169"/>
      <c r="HE87" s="339"/>
      <c r="HF87" s="339"/>
      <c r="HG87" s="339"/>
      <c r="HH87" s="30"/>
      <c r="HI87" s="340"/>
      <c r="HJ87" s="360"/>
      <c r="HK87" s="192"/>
      <c r="HL87" s="339"/>
      <c r="HM87" s="339"/>
      <c r="HN87" s="339"/>
      <c r="HO87" s="30"/>
      <c r="HP87" s="340"/>
      <c r="HQ87" s="360"/>
      <c r="HR87" s="192"/>
      <c r="HS87" s="339"/>
      <c r="HT87" s="339"/>
      <c r="HU87" s="339"/>
      <c r="HV87" s="258"/>
      <c r="HW87" s="340"/>
      <c r="HX87" s="341"/>
    </row>
    <row r="88" spans="2:232" ht="15" customHeight="1" outlineLevel="1" x14ac:dyDescent="0.25">
      <c r="B88" s="147"/>
      <c r="C88" s="147"/>
      <c r="D88" s="148"/>
      <c r="E88" s="147"/>
      <c r="F88" s="149"/>
      <c r="G88" s="148"/>
      <c r="H88" s="149"/>
      <c r="I88" s="174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V88" s="150" t="s">
        <v>170</v>
      </c>
      <c r="W88" s="151"/>
      <c r="X88" s="151"/>
      <c r="Y88" s="151"/>
      <c r="Z88" s="151"/>
      <c r="AA88" s="151"/>
      <c r="AB88" s="369"/>
      <c r="AC88" s="370"/>
      <c r="AD88" s="342" t="s">
        <v>217</v>
      </c>
      <c r="AE88" s="343"/>
      <c r="AF88" s="343"/>
      <c r="AG88" s="343"/>
      <c r="AH88" s="343"/>
      <c r="AI88" s="152"/>
      <c r="AJ88" s="194">
        <f>COUNTA(AD93:AD94)</f>
        <v>1</v>
      </c>
      <c r="AK88" s="366" t="s">
        <v>217</v>
      </c>
      <c r="AL88" s="343"/>
      <c r="AM88" s="343"/>
      <c r="AN88" s="343"/>
      <c r="AO88" s="343"/>
      <c r="AP88" s="152"/>
      <c r="AQ88" s="155">
        <f>COUNTA(AK93:AK94)</f>
        <v>1</v>
      </c>
      <c r="AR88" s="342" t="s">
        <v>217</v>
      </c>
      <c r="AS88" s="343"/>
      <c r="AT88" s="343"/>
      <c r="AU88" s="343"/>
      <c r="AV88" s="343"/>
      <c r="AW88" s="152"/>
      <c r="AX88" s="155">
        <f>COUNTA(AR93:AR94)</f>
        <v>1</v>
      </c>
      <c r="AY88" s="342" t="s">
        <v>217</v>
      </c>
      <c r="AZ88" s="343"/>
      <c r="BA88" s="343"/>
      <c r="BB88" s="343"/>
      <c r="BC88" s="343"/>
      <c r="BD88" s="152"/>
      <c r="BE88" s="194">
        <f>COUNTA(AY93:AY94)</f>
        <v>1</v>
      </c>
      <c r="BF88" s="342" t="s">
        <v>217</v>
      </c>
      <c r="BG88" s="343"/>
      <c r="BH88" s="343"/>
      <c r="BI88" s="343"/>
      <c r="BJ88" s="343"/>
      <c r="BK88" s="152"/>
      <c r="BL88" s="155">
        <f>COUNTA(BF93:BF94)</f>
        <v>1</v>
      </c>
      <c r="BM88" s="156"/>
      <c r="BN88" s="152"/>
      <c r="BO88" s="153"/>
      <c r="BP88" s="152"/>
      <c r="BQ88" s="154"/>
      <c r="BR88" s="152"/>
      <c r="BS88" s="194">
        <f>COUNTA(BM93:BM94)</f>
        <v>1</v>
      </c>
      <c r="BT88" s="366" t="s">
        <v>217</v>
      </c>
      <c r="BU88" s="343"/>
      <c r="BV88" s="343"/>
      <c r="BW88" s="343"/>
      <c r="BX88" s="343"/>
      <c r="BY88" s="152"/>
      <c r="BZ88" s="155">
        <f>COUNTA(BT93:BT94)</f>
        <v>1</v>
      </c>
      <c r="CA88" s="342" t="s">
        <v>217</v>
      </c>
      <c r="CB88" s="343"/>
      <c r="CC88" s="343"/>
      <c r="CD88" s="343"/>
      <c r="CE88" s="343"/>
      <c r="CF88" s="152"/>
      <c r="CG88" s="155">
        <f>COUNTA(CA93:CA94)</f>
        <v>1</v>
      </c>
      <c r="CH88" s="342" t="s">
        <v>217</v>
      </c>
      <c r="CI88" s="343"/>
      <c r="CJ88" s="343"/>
      <c r="CK88" s="343"/>
      <c r="CL88" s="343"/>
      <c r="CM88" s="152"/>
      <c r="CN88" s="155">
        <f>COUNTA(CH93:CH94)</f>
        <v>1</v>
      </c>
      <c r="CO88" s="342" t="s">
        <v>217</v>
      </c>
      <c r="CP88" s="343"/>
      <c r="CQ88" s="343"/>
      <c r="CR88" s="343"/>
      <c r="CS88" s="343"/>
      <c r="CT88" s="152"/>
      <c r="CU88" s="155">
        <f>COUNTA(CO93:CO94)</f>
        <v>1</v>
      </c>
      <c r="CV88" s="342" t="s">
        <v>217</v>
      </c>
      <c r="CW88" s="343"/>
      <c r="CX88" s="343"/>
      <c r="CY88" s="343"/>
      <c r="CZ88" s="343"/>
      <c r="DA88" s="152"/>
      <c r="DB88" s="155">
        <f>COUNTA(CV93:CV94)</f>
        <v>1</v>
      </c>
      <c r="DC88" s="343" t="s">
        <v>217</v>
      </c>
      <c r="DD88" s="343"/>
      <c r="DE88" s="343"/>
      <c r="DF88" s="343"/>
      <c r="DG88" s="343"/>
      <c r="DH88" s="152"/>
      <c r="DI88" s="155">
        <f>COUNTA(DC93:DC94)</f>
        <v>1</v>
      </c>
      <c r="DJ88" s="342" t="s">
        <v>217</v>
      </c>
      <c r="DK88" s="343"/>
      <c r="DL88" s="343"/>
      <c r="DM88" s="343"/>
      <c r="DN88" s="343"/>
      <c r="DO88" s="152"/>
      <c r="DP88" s="155">
        <f>COUNTA(DJ93:DJ94)</f>
        <v>1</v>
      </c>
      <c r="DQ88" s="342" t="s">
        <v>217</v>
      </c>
      <c r="DR88" s="343"/>
      <c r="DS88" s="343"/>
      <c r="DT88" s="343"/>
      <c r="DU88" s="343"/>
      <c r="DV88" s="152"/>
      <c r="DW88" s="155">
        <f>COUNTA(DQ93:DQ94)</f>
        <v>1</v>
      </c>
      <c r="DX88" s="343" t="s">
        <v>217</v>
      </c>
      <c r="DY88" s="343"/>
      <c r="DZ88" s="343"/>
      <c r="EA88" s="343"/>
      <c r="EB88" s="343"/>
      <c r="EC88" s="152"/>
      <c r="ED88" s="155">
        <f>COUNTA(DX93:DX94)</f>
        <v>1</v>
      </c>
      <c r="EE88" s="342" t="s">
        <v>217</v>
      </c>
      <c r="EF88" s="343"/>
      <c r="EG88" s="343"/>
      <c r="EH88" s="343"/>
      <c r="EI88" s="343"/>
      <c r="EJ88" s="152"/>
      <c r="EK88" s="218">
        <f>COUNTA(EE93:EE94)</f>
        <v>1</v>
      </c>
      <c r="EL88" s="343" t="s">
        <v>217</v>
      </c>
      <c r="EM88" s="343"/>
      <c r="EN88" s="343"/>
      <c r="EO88" s="343"/>
      <c r="EP88" s="343"/>
      <c r="EQ88" s="152"/>
      <c r="ER88" s="218">
        <f>COUNTA(EL93:EL94)</f>
        <v>1</v>
      </c>
      <c r="ES88" s="343" t="s">
        <v>217</v>
      </c>
      <c r="ET88" s="343"/>
      <c r="EU88" s="343"/>
      <c r="EV88" s="343"/>
      <c r="EW88" s="343"/>
      <c r="EX88" s="152"/>
      <c r="EY88" s="155">
        <f>COUNTA(ES93:ES94)</f>
        <v>1</v>
      </c>
      <c r="EZ88" s="342" t="s">
        <v>245</v>
      </c>
      <c r="FA88" s="343"/>
      <c r="FB88" s="343"/>
      <c r="FC88" s="343"/>
      <c r="FD88" s="343"/>
      <c r="FE88" s="152"/>
      <c r="FF88" s="194">
        <f>COUNTA(EZ93:EZ94)</f>
        <v>1</v>
      </c>
      <c r="FG88" s="342" t="s">
        <v>217</v>
      </c>
      <c r="FH88" s="343"/>
      <c r="FI88" s="343"/>
      <c r="FJ88" s="343"/>
      <c r="FK88" s="343"/>
      <c r="FL88" s="152"/>
      <c r="FM88" s="155">
        <f>COUNTA(FG93:FG94)</f>
        <v>1</v>
      </c>
      <c r="FN88" s="342"/>
      <c r="FO88" s="343"/>
      <c r="FP88" s="343"/>
      <c r="FQ88" s="343"/>
      <c r="FR88" s="343"/>
      <c r="FS88" s="152"/>
      <c r="FT88" s="194"/>
      <c r="FU88" s="366" t="s">
        <v>217</v>
      </c>
      <c r="FV88" s="343"/>
      <c r="FW88" s="343"/>
      <c r="FX88" s="343"/>
      <c r="FY88" s="343"/>
      <c r="FZ88" s="152"/>
      <c r="GA88" s="194">
        <f>COUNTA(FU93:FU94)</f>
        <v>1</v>
      </c>
      <c r="GB88" s="342" t="s">
        <v>217</v>
      </c>
      <c r="GC88" s="343"/>
      <c r="GD88" s="343"/>
      <c r="GE88" s="343"/>
      <c r="GF88" s="343"/>
      <c r="GG88" s="152"/>
      <c r="GH88" s="155">
        <f>COUNTA(GB93:GB94)</f>
        <v>1</v>
      </c>
      <c r="GI88" s="342" t="s">
        <v>217</v>
      </c>
      <c r="GJ88" s="343"/>
      <c r="GK88" s="343"/>
      <c r="GL88" s="343"/>
      <c r="GM88" s="343"/>
      <c r="GN88" s="152"/>
      <c r="GO88" s="155">
        <f>COUNTA(GI93:GI94)</f>
        <v>1</v>
      </c>
      <c r="GP88" s="343" t="s">
        <v>217</v>
      </c>
      <c r="GQ88" s="343"/>
      <c r="GR88" s="343"/>
      <c r="GS88" s="343"/>
      <c r="GT88" s="343"/>
      <c r="GU88" s="152"/>
      <c r="GV88" s="155">
        <f>COUNTA(GP93:GP94)</f>
        <v>1</v>
      </c>
      <c r="GW88" s="342" t="s">
        <v>217</v>
      </c>
      <c r="GX88" s="343"/>
      <c r="GY88" s="343"/>
      <c r="GZ88" s="343"/>
      <c r="HA88" s="343"/>
      <c r="HB88" s="152"/>
      <c r="HC88" s="155">
        <f>COUNTA(GW93:GW94)</f>
        <v>1</v>
      </c>
      <c r="HD88" s="342" t="s">
        <v>217</v>
      </c>
      <c r="HE88" s="343"/>
      <c r="HF88" s="343"/>
      <c r="HG88" s="343"/>
      <c r="HH88" s="343"/>
      <c r="HI88" s="152"/>
      <c r="HJ88" s="218">
        <f>COUNTA(HD93:HD94)</f>
        <v>1</v>
      </c>
      <c r="HK88" s="343" t="s">
        <v>217</v>
      </c>
      <c r="HL88" s="343"/>
      <c r="HM88" s="343"/>
      <c r="HN88" s="343"/>
      <c r="HO88" s="343"/>
      <c r="HP88" s="152"/>
      <c r="HQ88" s="218">
        <f>COUNTA(HK93:HK94)</f>
        <v>1</v>
      </c>
      <c r="HR88" s="152"/>
      <c r="HS88" s="152"/>
      <c r="HT88" s="153"/>
      <c r="HU88" s="152"/>
      <c r="HV88" s="255"/>
      <c r="HW88" s="152"/>
      <c r="HX88" s="155">
        <f>COUNTA(HR93:HR94)</f>
        <v>0</v>
      </c>
    </row>
    <row r="89" spans="2:232" ht="15" customHeight="1" outlineLevel="1" x14ac:dyDescent="0.25">
      <c r="B89" s="147"/>
      <c r="C89" s="147"/>
      <c r="D89" s="147"/>
      <c r="E89" s="147"/>
      <c r="F89" s="157"/>
      <c r="G89" s="147"/>
      <c r="H89" s="157"/>
      <c r="I89" s="175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V89" s="185" t="s">
        <v>224</v>
      </c>
      <c r="W89" s="186"/>
      <c r="X89" s="186"/>
      <c r="Y89" s="186"/>
      <c r="Z89" s="186"/>
      <c r="AA89" s="186"/>
      <c r="AB89" s="187"/>
      <c r="AC89" s="188"/>
      <c r="AD89" s="344" t="s">
        <v>225</v>
      </c>
      <c r="AE89" s="345"/>
      <c r="AF89" s="345"/>
      <c r="AG89" s="181" t="s">
        <v>75</v>
      </c>
      <c r="AH89" s="346" t="s">
        <v>294</v>
      </c>
      <c r="AI89" s="346"/>
      <c r="AJ89" s="346"/>
      <c r="AK89" s="363" t="s">
        <v>227</v>
      </c>
      <c r="AL89" s="345"/>
      <c r="AM89" s="345"/>
      <c r="AN89" s="181" t="s">
        <v>75</v>
      </c>
      <c r="AO89" s="346" t="s">
        <v>325</v>
      </c>
      <c r="AP89" s="346"/>
      <c r="AQ89" s="349"/>
      <c r="AR89" s="344" t="s">
        <v>227</v>
      </c>
      <c r="AS89" s="345"/>
      <c r="AT89" s="345"/>
      <c r="AU89" s="181" t="s">
        <v>75</v>
      </c>
      <c r="AV89" s="346" t="s">
        <v>325</v>
      </c>
      <c r="AW89" s="346"/>
      <c r="AX89" s="349"/>
      <c r="AY89" s="344" t="s">
        <v>227</v>
      </c>
      <c r="AZ89" s="345"/>
      <c r="BA89" s="345"/>
      <c r="BB89" s="181" t="s">
        <v>75</v>
      </c>
      <c r="BC89" s="346" t="s">
        <v>325</v>
      </c>
      <c r="BD89" s="346"/>
      <c r="BE89" s="346"/>
      <c r="BF89" s="344" t="s">
        <v>227</v>
      </c>
      <c r="BG89" s="345"/>
      <c r="BH89" s="345"/>
      <c r="BI89" s="181" t="s">
        <v>75</v>
      </c>
      <c r="BJ89" s="346" t="s">
        <v>325</v>
      </c>
      <c r="BK89" s="346"/>
      <c r="BL89" s="349"/>
      <c r="BM89" s="181"/>
      <c r="BN89" s="181"/>
      <c r="BO89" s="182"/>
      <c r="BP89" s="181"/>
      <c r="BQ89" s="183"/>
      <c r="BR89" s="181"/>
      <c r="BS89" s="210"/>
      <c r="BT89" s="363" t="s">
        <v>232</v>
      </c>
      <c r="BU89" s="345"/>
      <c r="BV89" s="345"/>
      <c r="BW89" s="181" t="s">
        <v>75</v>
      </c>
      <c r="BX89" s="346" t="s">
        <v>343</v>
      </c>
      <c r="BY89" s="346"/>
      <c r="BZ89" s="349"/>
      <c r="CA89" s="344" t="s">
        <v>232</v>
      </c>
      <c r="CB89" s="345"/>
      <c r="CC89" s="345"/>
      <c r="CD89" s="181" t="s">
        <v>75</v>
      </c>
      <c r="CE89" s="346" t="s">
        <v>343</v>
      </c>
      <c r="CF89" s="346"/>
      <c r="CG89" s="349"/>
      <c r="CH89" s="344" t="s">
        <v>232</v>
      </c>
      <c r="CI89" s="345"/>
      <c r="CJ89" s="345"/>
      <c r="CK89" s="181" t="s">
        <v>75</v>
      </c>
      <c r="CL89" s="346" t="s">
        <v>343</v>
      </c>
      <c r="CM89" s="346"/>
      <c r="CN89" s="349"/>
      <c r="CO89" s="344" t="s">
        <v>232</v>
      </c>
      <c r="CP89" s="345"/>
      <c r="CQ89" s="345"/>
      <c r="CR89" s="181" t="s">
        <v>75</v>
      </c>
      <c r="CS89" s="346" t="s">
        <v>343</v>
      </c>
      <c r="CT89" s="346"/>
      <c r="CU89" s="349"/>
      <c r="CV89" s="344" t="s">
        <v>232</v>
      </c>
      <c r="CW89" s="345"/>
      <c r="CX89" s="345"/>
      <c r="CY89" s="181" t="s">
        <v>75</v>
      </c>
      <c r="CZ89" s="346" t="s">
        <v>343</v>
      </c>
      <c r="DA89" s="346"/>
      <c r="DB89" s="349"/>
      <c r="DC89" s="344" t="s">
        <v>232</v>
      </c>
      <c r="DD89" s="345"/>
      <c r="DE89" s="345"/>
      <c r="DF89" s="181" t="s">
        <v>75</v>
      </c>
      <c r="DG89" s="346" t="s">
        <v>343</v>
      </c>
      <c r="DH89" s="346"/>
      <c r="DI89" s="349"/>
      <c r="DJ89" s="344" t="s">
        <v>232</v>
      </c>
      <c r="DK89" s="345"/>
      <c r="DL89" s="345"/>
      <c r="DM89" s="181" t="s">
        <v>75</v>
      </c>
      <c r="DN89" s="346" t="s">
        <v>343</v>
      </c>
      <c r="DO89" s="346"/>
      <c r="DP89" s="349"/>
      <c r="DQ89" s="345" t="s">
        <v>232</v>
      </c>
      <c r="DR89" s="345"/>
      <c r="DS89" s="345"/>
      <c r="DT89" s="181" t="s">
        <v>75</v>
      </c>
      <c r="DU89" s="346" t="s">
        <v>343</v>
      </c>
      <c r="DV89" s="346"/>
      <c r="DW89" s="349"/>
      <c r="DX89" s="345" t="s">
        <v>232</v>
      </c>
      <c r="DY89" s="345"/>
      <c r="DZ89" s="345"/>
      <c r="EA89" s="181" t="s">
        <v>75</v>
      </c>
      <c r="EB89" s="346" t="s">
        <v>343</v>
      </c>
      <c r="EC89" s="346"/>
      <c r="ED89" s="349"/>
      <c r="EE89" s="345" t="s">
        <v>232</v>
      </c>
      <c r="EF89" s="345"/>
      <c r="EG89" s="345"/>
      <c r="EH89" s="181" t="s">
        <v>75</v>
      </c>
      <c r="EI89" s="346" t="s">
        <v>343</v>
      </c>
      <c r="EJ89" s="346"/>
      <c r="EK89" s="347"/>
      <c r="EL89" s="345" t="s">
        <v>539</v>
      </c>
      <c r="EM89" s="345"/>
      <c r="EN89" s="345"/>
      <c r="EO89" s="181" t="s">
        <v>75</v>
      </c>
      <c r="EP89" s="346" t="s">
        <v>343</v>
      </c>
      <c r="EQ89" s="346"/>
      <c r="ER89" s="347"/>
      <c r="ES89" s="345" t="s">
        <v>243</v>
      </c>
      <c r="ET89" s="345"/>
      <c r="EU89" s="345"/>
      <c r="EV89" s="181" t="s">
        <v>75</v>
      </c>
      <c r="EW89" s="346" t="s">
        <v>371</v>
      </c>
      <c r="EX89" s="346"/>
      <c r="EY89" s="349"/>
      <c r="EZ89" s="344" t="s">
        <v>243</v>
      </c>
      <c r="FA89" s="345"/>
      <c r="FB89" s="345"/>
      <c r="FC89" s="181" t="s">
        <v>75</v>
      </c>
      <c r="FD89" s="346" t="s">
        <v>371</v>
      </c>
      <c r="FE89" s="346"/>
      <c r="FF89" s="346"/>
      <c r="FG89" s="344" t="s">
        <v>243</v>
      </c>
      <c r="FH89" s="345"/>
      <c r="FI89" s="345"/>
      <c r="FJ89" s="181" t="s">
        <v>75</v>
      </c>
      <c r="FK89" s="346" t="s">
        <v>371</v>
      </c>
      <c r="FL89" s="346"/>
      <c r="FM89" s="346"/>
      <c r="FN89" s="344"/>
      <c r="FO89" s="345"/>
      <c r="FP89" s="345"/>
      <c r="FQ89" s="181"/>
      <c r="FR89" s="346"/>
      <c r="FS89" s="346"/>
      <c r="FT89" s="349"/>
      <c r="FU89" s="363" t="s">
        <v>246</v>
      </c>
      <c r="FV89" s="345"/>
      <c r="FW89" s="345"/>
      <c r="FX89" s="181" t="s">
        <v>75</v>
      </c>
      <c r="FY89" s="346" t="s">
        <v>394</v>
      </c>
      <c r="FZ89" s="346"/>
      <c r="GA89" s="346"/>
      <c r="GB89" s="344" t="s">
        <v>246</v>
      </c>
      <c r="GC89" s="345"/>
      <c r="GD89" s="345"/>
      <c r="GE89" s="181" t="s">
        <v>75</v>
      </c>
      <c r="GF89" s="346" t="s">
        <v>394</v>
      </c>
      <c r="GG89" s="346"/>
      <c r="GH89" s="349"/>
      <c r="GI89" s="344" t="s">
        <v>246</v>
      </c>
      <c r="GJ89" s="345"/>
      <c r="GK89" s="345"/>
      <c r="GL89" s="181" t="s">
        <v>75</v>
      </c>
      <c r="GM89" s="346" t="s">
        <v>394</v>
      </c>
      <c r="GN89" s="346"/>
      <c r="GO89" s="349"/>
      <c r="GP89" s="345" t="s">
        <v>246</v>
      </c>
      <c r="GQ89" s="345"/>
      <c r="GR89" s="345"/>
      <c r="GS89" s="181" t="s">
        <v>75</v>
      </c>
      <c r="GT89" s="346" t="s">
        <v>394</v>
      </c>
      <c r="GU89" s="346"/>
      <c r="GV89" s="349"/>
      <c r="GW89" s="344" t="s">
        <v>246</v>
      </c>
      <c r="GX89" s="345"/>
      <c r="GY89" s="345"/>
      <c r="GZ89" s="181" t="s">
        <v>75</v>
      </c>
      <c r="HA89" s="346" t="s">
        <v>394</v>
      </c>
      <c r="HB89" s="346"/>
      <c r="HC89" s="349"/>
      <c r="HD89" s="344" t="s">
        <v>246</v>
      </c>
      <c r="HE89" s="345"/>
      <c r="HF89" s="345"/>
      <c r="HG89" s="181" t="s">
        <v>75</v>
      </c>
      <c r="HH89" s="346" t="s">
        <v>394</v>
      </c>
      <c r="HI89" s="346"/>
      <c r="HJ89" s="347"/>
      <c r="HK89" s="345" t="s">
        <v>541</v>
      </c>
      <c r="HL89" s="345"/>
      <c r="HM89" s="345"/>
      <c r="HN89" s="181" t="s">
        <v>75</v>
      </c>
      <c r="HO89" s="346" t="s">
        <v>394</v>
      </c>
      <c r="HP89" s="346"/>
      <c r="HQ89" s="347"/>
      <c r="HR89" s="181"/>
      <c r="HS89" s="181"/>
      <c r="HT89" s="182"/>
      <c r="HU89" s="181"/>
      <c r="HV89" s="256"/>
      <c r="HW89" s="181"/>
      <c r="HX89" s="184"/>
    </row>
    <row r="90" spans="2:232" ht="15" customHeight="1" outlineLevel="1" x14ac:dyDescent="0.25">
      <c r="B90" s="147"/>
      <c r="C90" s="147"/>
      <c r="D90" s="147"/>
      <c r="E90" s="147"/>
      <c r="F90" s="157"/>
      <c r="G90" s="147"/>
      <c r="H90" s="157"/>
      <c r="I90" s="175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V90" s="161" t="s">
        <v>199</v>
      </c>
      <c r="W90" s="12"/>
      <c r="X90" s="12"/>
      <c r="Y90" s="12"/>
      <c r="Z90" s="12"/>
      <c r="AA90" s="12"/>
      <c r="AB90" s="12"/>
      <c r="AC90" s="14"/>
      <c r="AD90" s="352" t="s">
        <v>201</v>
      </c>
      <c r="AE90" s="353"/>
      <c r="AF90" s="353"/>
      <c r="AG90" s="1" t="s">
        <v>57</v>
      </c>
      <c r="AH90" s="337" t="s">
        <v>221</v>
      </c>
      <c r="AI90" s="337"/>
      <c r="AJ90" s="337"/>
      <c r="AK90" s="364" t="s">
        <v>202</v>
      </c>
      <c r="AL90" s="337"/>
      <c r="AM90" s="337"/>
      <c r="AN90" s="1" t="s">
        <v>57</v>
      </c>
      <c r="AO90" s="337" t="s">
        <v>221</v>
      </c>
      <c r="AP90" s="337"/>
      <c r="AQ90" s="338"/>
      <c r="AR90" s="350" t="s">
        <v>221</v>
      </c>
      <c r="AS90" s="337"/>
      <c r="AT90" s="337"/>
      <c r="AU90" s="1" t="s">
        <v>57</v>
      </c>
      <c r="AV90" s="337" t="s">
        <v>228</v>
      </c>
      <c r="AW90" s="337"/>
      <c r="AX90" s="338"/>
      <c r="AY90" s="350" t="s">
        <v>228</v>
      </c>
      <c r="AZ90" s="337"/>
      <c r="BA90" s="337"/>
      <c r="BB90" s="1" t="s">
        <v>57</v>
      </c>
      <c r="BC90" s="337" t="s">
        <v>352</v>
      </c>
      <c r="BD90" s="337"/>
      <c r="BE90" s="337"/>
      <c r="BF90" s="350" t="s">
        <v>556</v>
      </c>
      <c r="BG90" s="337"/>
      <c r="BH90" s="337"/>
      <c r="BI90" s="191"/>
      <c r="BJ90" s="337"/>
      <c r="BK90" s="337"/>
      <c r="BL90" s="338"/>
      <c r="BM90" s="350"/>
      <c r="BN90" s="337"/>
      <c r="BO90" s="337"/>
      <c r="BQ90" s="337"/>
      <c r="BR90" s="337"/>
      <c r="BS90" s="337"/>
      <c r="BT90" s="364" t="s">
        <v>221</v>
      </c>
      <c r="BU90" s="337"/>
      <c r="BV90" s="337"/>
      <c r="BW90" s="1" t="s">
        <v>57</v>
      </c>
      <c r="BX90" s="337" t="s">
        <v>231</v>
      </c>
      <c r="BY90" s="337"/>
      <c r="BZ90" s="338"/>
      <c r="CA90" s="337" t="s">
        <v>231</v>
      </c>
      <c r="CB90" s="337"/>
      <c r="CC90" s="337"/>
      <c r="CD90" s="1" t="s">
        <v>57</v>
      </c>
      <c r="CE90" s="337" t="s">
        <v>221</v>
      </c>
      <c r="CF90" s="337"/>
      <c r="CG90" s="337"/>
      <c r="CH90" s="350" t="s">
        <v>221</v>
      </c>
      <c r="CI90" s="337"/>
      <c r="CJ90" s="337"/>
      <c r="CK90" s="1" t="s">
        <v>57</v>
      </c>
      <c r="CL90" s="337" t="s">
        <v>234</v>
      </c>
      <c r="CM90" s="337"/>
      <c r="CN90" s="338"/>
      <c r="CO90" s="350" t="s">
        <v>262</v>
      </c>
      <c r="CP90" s="337"/>
      <c r="CQ90" s="337"/>
      <c r="CR90" s="1" t="s">
        <v>57</v>
      </c>
      <c r="CS90" s="337" t="s">
        <v>233</v>
      </c>
      <c r="CT90" s="337"/>
      <c r="CU90" s="338"/>
      <c r="CV90" s="350" t="s">
        <v>228</v>
      </c>
      <c r="CW90" s="337"/>
      <c r="CX90" s="337"/>
      <c r="CY90" s="1" t="s">
        <v>57</v>
      </c>
      <c r="CZ90" s="337" t="s">
        <v>231</v>
      </c>
      <c r="DA90" s="337"/>
      <c r="DB90" s="338"/>
      <c r="DC90" s="350" t="s">
        <v>231</v>
      </c>
      <c r="DD90" s="337"/>
      <c r="DE90" s="337"/>
      <c r="DF90" s="1" t="s">
        <v>57</v>
      </c>
      <c r="DG90" s="337" t="s">
        <v>252</v>
      </c>
      <c r="DH90" s="337"/>
      <c r="DI90" s="338"/>
      <c r="DJ90" s="350" t="s">
        <v>252</v>
      </c>
      <c r="DK90" s="337"/>
      <c r="DL90" s="337"/>
      <c r="DM90" s="1" t="s">
        <v>57</v>
      </c>
      <c r="DN90" s="337" t="s">
        <v>234</v>
      </c>
      <c r="DO90" s="337"/>
      <c r="DP90" s="338"/>
      <c r="DQ90" s="350" t="s">
        <v>233</v>
      </c>
      <c r="DR90" s="337"/>
      <c r="DS90" s="337"/>
      <c r="DT90" s="191"/>
      <c r="DU90" s="337"/>
      <c r="DV90" s="337"/>
      <c r="DW90" s="338"/>
      <c r="DX90" s="337" t="s">
        <v>252</v>
      </c>
      <c r="DY90" s="337"/>
      <c r="DZ90" s="337"/>
      <c r="EA90" s="1" t="s">
        <v>57</v>
      </c>
      <c r="EB90" s="337" t="s">
        <v>221</v>
      </c>
      <c r="EC90" s="337"/>
      <c r="ED90" s="337"/>
      <c r="EE90" s="350" t="s">
        <v>231</v>
      </c>
      <c r="EF90" s="337"/>
      <c r="EG90" s="337"/>
      <c r="EH90" s="191"/>
      <c r="EI90" s="337"/>
      <c r="EJ90" s="337"/>
      <c r="EK90" s="351"/>
      <c r="EL90" s="337" t="s">
        <v>383</v>
      </c>
      <c r="EM90" s="337"/>
      <c r="EN90" s="337"/>
      <c r="EO90" s="191"/>
      <c r="EP90" s="337"/>
      <c r="EQ90" s="337"/>
      <c r="ER90" s="351"/>
      <c r="ES90" s="337" t="s">
        <v>384</v>
      </c>
      <c r="ET90" s="337"/>
      <c r="EU90" s="337"/>
      <c r="EV90" s="1" t="s">
        <v>57</v>
      </c>
      <c r="EW90" s="337" t="s">
        <v>228</v>
      </c>
      <c r="EX90" s="337"/>
      <c r="EY90" s="338"/>
      <c r="EZ90" s="350" t="s">
        <v>228</v>
      </c>
      <c r="FA90" s="337"/>
      <c r="FB90" s="337"/>
      <c r="FC90" s="1" t="s">
        <v>57</v>
      </c>
      <c r="FD90" s="337" t="s">
        <v>352</v>
      </c>
      <c r="FE90" s="337"/>
      <c r="FF90" s="337"/>
      <c r="FG90" s="350" t="s">
        <v>352</v>
      </c>
      <c r="FH90" s="337"/>
      <c r="FI90" s="337"/>
      <c r="FJ90" s="191"/>
      <c r="FK90" s="337"/>
      <c r="FL90" s="337"/>
      <c r="FM90" s="338"/>
      <c r="FN90" s="350"/>
      <c r="FO90" s="337"/>
      <c r="FP90" s="337"/>
      <c r="FR90" s="337"/>
      <c r="FS90" s="337"/>
      <c r="FT90" s="337"/>
      <c r="FU90" s="364" t="s">
        <v>252</v>
      </c>
      <c r="FV90" s="337"/>
      <c r="FW90" s="337"/>
      <c r="FX90" s="1" t="s">
        <v>57</v>
      </c>
      <c r="FY90" s="337" t="s">
        <v>231</v>
      </c>
      <c r="FZ90" s="337"/>
      <c r="GA90" s="337"/>
      <c r="GB90" s="350" t="s">
        <v>231</v>
      </c>
      <c r="GC90" s="337"/>
      <c r="GD90" s="337"/>
      <c r="GE90" s="1" t="s">
        <v>57</v>
      </c>
      <c r="GF90" s="337" t="s">
        <v>252</v>
      </c>
      <c r="GG90" s="337"/>
      <c r="GH90" s="338"/>
      <c r="GI90" s="350" t="s">
        <v>252</v>
      </c>
      <c r="GJ90" s="337"/>
      <c r="GK90" s="337"/>
      <c r="GL90" s="1" t="s">
        <v>57</v>
      </c>
      <c r="GM90" s="337" t="s">
        <v>234</v>
      </c>
      <c r="GN90" s="337"/>
      <c r="GO90" s="338"/>
      <c r="GP90" s="337" t="s">
        <v>233</v>
      </c>
      <c r="GQ90" s="337"/>
      <c r="GR90" s="337"/>
      <c r="GS90" s="191"/>
      <c r="GT90" s="337"/>
      <c r="GU90" s="337"/>
      <c r="GV90" s="338"/>
      <c r="GW90" s="350" t="s">
        <v>382</v>
      </c>
      <c r="GX90" s="337"/>
      <c r="GY90" s="337"/>
      <c r="GZ90" s="1" t="s">
        <v>57</v>
      </c>
      <c r="HA90" s="337" t="s">
        <v>426</v>
      </c>
      <c r="HB90" s="337"/>
      <c r="HC90" s="338"/>
      <c r="HD90" s="350" t="s">
        <v>231</v>
      </c>
      <c r="HE90" s="337"/>
      <c r="HF90" s="337"/>
      <c r="HG90" s="191"/>
      <c r="HH90" s="337"/>
      <c r="HI90" s="337"/>
      <c r="HJ90" s="351"/>
      <c r="HK90" s="337" t="s">
        <v>383</v>
      </c>
      <c r="HL90" s="337"/>
      <c r="HM90" s="337"/>
      <c r="HO90" s="337"/>
      <c r="HP90" s="337"/>
      <c r="HQ90" s="351"/>
      <c r="HR90" s="337"/>
      <c r="HS90" s="337"/>
      <c r="HT90" s="337"/>
      <c r="HV90" s="337"/>
      <c r="HW90" s="337"/>
      <c r="HX90" s="338"/>
    </row>
    <row r="91" spans="2:232" ht="15" customHeight="1" outlineLevel="1" x14ac:dyDescent="0.25">
      <c r="B91" s="147"/>
      <c r="C91" s="147"/>
      <c r="D91" s="147"/>
      <c r="E91" s="147"/>
      <c r="F91" s="157"/>
      <c r="G91" s="147"/>
      <c r="H91" s="157"/>
      <c r="I91" s="175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V91" s="161" t="s">
        <v>200</v>
      </c>
      <c r="W91" s="12"/>
      <c r="X91" s="12"/>
      <c r="Y91" s="12"/>
      <c r="Z91" s="12"/>
      <c r="AA91" s="12"/>
      <c r="AB91" s="12"/>
      <c r="AC91" s="14"/>
      <c r="AD91" s="352" t="s">
        <v>201</v>
      </c>
      <c r="AE91" s="353"/>
      <c r="AF91" s="353"/>
      <c r="AG91" s="1" t="s">
        <v>57</v>
      </c>
      <c r="AH91" s="353" t="s">
        <v>203</v>
      </c>
      <c r="AI91" s="353"/>
      <c r="AJ91" s="353"/>
      <c r="AK91" s="367" t="s">
        <v>203</v>
      </c>
      <c r="AL91" s="353"/>
      <c r="AM91" s="353"/>
      <c r="AO91" s="353"/>
      <c r="AP91" s="353"/>
      <c r="AQ91" s="355"/>
      <c r="AR91" s="352" t="s">
        <v>203</v>
      </c>
      <c r="AS91" s="353"/>
      <c r="AT91" s="353"/>
      <c r="AV91" s="353"/>
      <c r="AW91" s="353"/>
      <c r="AX91" s="355"/>
      <c r="AY91" s="352" t="s">
        <v>203</v>
      </c>
      <c r="AZ91" s="353"/>
      <c r="BA91" s="353"/>
      <c r="BC91" s="353"/>
      <c r="BD91" s="353"/>
      <c r="BE91" s="353"/>
      <c r="BF91" s="352" t="s">
        <v>203</v>
      </c>
      <c r="BG91" s="353"/>
      <c r="BH91" s="353"/>
      <c r="BJ91" s="353"/>
      <c r="BK91" s="353"/>
      <c r="BL91" s="355"/>
      <c r="BM91" s="352"/>
      <c r="BN91" s="353"/>
      <c r="BO91" s="353"/>
      <c r="BQ91" s="353"/>
      <c r="BR91" s="353"/>
      <c r="BS91" s="353"/>
      <c r="BT91" s="367" t="s">
        <v>203</v>
      </c>
      <c r="BU91" s="353"/>
      <c r="BV91" s="353"/>
      <c r="BX91" s="353"/>
      <c r="BY91" s="353"/>
      <c r="BZ91" s="355"/>
      <c r="CA91" s="352" t="s">
        <v>203</v>
      </c>
      <c r="CB91" s="353"/>
      <c r="CC91" s="353"/>
      <c r="CE91" s="353"/>
      <c r="CF91" s="353"/>
      <c r="CG91" s="353"/>
      <c r="CH91" s="352" t="s">
        <v>203</v>
      </c>
      <c r="CI91" s="353"/>
      <c r="CJ91" s="353"/>
      <c r="CL91" s="353"/>
      <c r="CM91" s="353"/>
      <c r="CN91" s="355"/>
      <c r="CO91" s="352" t="s">
        <v>203</v>
      </c>
      <c r="CP91" s="353"/>
      <c r="CQ91" s="353"/>
      <c r="CS91" s="353"/>
      <c r="CT91" s="353"/>
      <c r="CU91" s="355"/>
      <c r="CV91" s="352" t="s">
        <v>203</v>
      </c>
      <c r="CW91" s="353"/>
      <c r="CX91" s="353"/>
      <c r="CZ91" s="353"/>
      <c r="DA91" s="353"/>
      <c r="DB91" s="353"/>
      <c r="DC91" s="352" t="s">
        <v>203</v>
      </c>
      <c r="DD91" s="353"/>
      <c r="DE91" s="353"/>
      <c r="DG91" s="353"/>
      <c r="DH91" s="353"/>
      <c r="DI91" s="355"/>
      <c r="DJ91" s="352" t="s">
        <v>203</v>
      </c>
      <c r="DK91" s="353"/>
      <c r="DL91" s="353"/>
      <c r="DN91" s="353"/>
      <c r="DO91" s="353"/>
      <c r="DP91" s="355"/>
      <c r="DQ91" s="352" t="s">
        <v>203</v>
      </c>
      <c r="DR91" s="353"/>
      <c r="DS91" s="353"/>
      <c r="DU91" s="353"/>
      <c r="DV91" s="353"/>
      <c r="DW91" s="355"/>
      <c r="DX91" s="352" t="s">
        <v>203</v>
      </c>
      <c r="DY91" s="353"/>
      <c r="DZ91" s="353"/>
      <c r="EB91" s="353"/>
      <c r="EC91" s="353"/>
      <c r="ED91" s="353"/>
      <c r="EE91" s="352" t="s">
        <v>203</v>
      </c>
      <c r="EF91" s="353"/>
      <c r="EG91" s="353"/>
      <c r="EI91" s="353"/>
      <c r="EJ91" s="353"/>
      <c r="EK91" s="354"/>
      <c r="EL91" s="353" t="s">
        <v>203</v>
      </c>
      <c r="EM91" s="353"/>
      <c r="EN91" s="353"/>
      <c r="EP91" s="353"/>
      <c r="EQ91" s="353"/>
      <c r="ER91" s="354"/>
      <c r="ES91" s="353" t="s">
        <v>203</v>
      </c>
      <c r="ET91" s="353"/>
      <c r="EU91" s="353"/>
      <c r="EW91" s="353"/>
      <c r="EX91" s="353"/>
      <c r="EY91" s="355"/>
      <c r="EZ91" s="352" t="s">
        <v>203</v>
      </c>
      <c r="FA91" s="353"/>
      <c r="FB91" s="353"/>
      <c r="FD91" s="353"/>
      <c r="FE91" s="353"/>
      <c r="FF91" s="353"/>
      <c r="FG91" s="352" t="s">
        <v>203</v>
      </c>
      <c r="FH91" s="353"/>
      <c r="FI91" s="353"/>
      <c r="FK91" s="353"/>
      <c r="FL91" s="353"/>
      <c r="FM91" s="355"/>
      <c r="FN91" s="352"/>
      <c r="FO91" s="353"/>
      <c r="FP91" s="353"/>
      <c r="FR91" s="353"/>
      <c r="FS91" s="353"/>
      <c r="FT91" s="353"/>
      <c r="FU91" s="367" t="s">
        <v>203</v>
      </c>
      <c r="FV91" s="353"/>
      <c r="FW91" s="353"/>
      <c r="FY91" s="353"/>
      <c r="FZ91" s="353"/>
      <c r="GA91" s="353"/>
      <c r="GB91" s="352" t="s">
        <v>203</v>
      </c>
      <c r="GC91" s="353"/>
      <c r="GD91" s="353"/>
      <c r="GF91" s="353"/>
      <c r="GG91" s="353"/>
      <c r="GH91" s="355"/>
      <c r="GI91" s="352" t="s">
        <v>203</v>
      </c>
      <c r="GJ91" s="353"/>
      <c r="GK91" s="353"/>
      <c r="GM91" s="353"/>
      <c r="GN91" s="353"/>
      <c r="GO91" s="355"/>
      <c r="GP91" s="353" t="s">
        <v>203</v>
      </c>
      <c r="GQ91" s="353"/>
      <c r="GR91" s="353"/>
      <c r="GT91" s="353"/>
      <c r="GU91" s="353"/>
      <c r="GV91" s="355"/>
      <c r="GW91" s="352" t="s">
        <v>203</v>
      </c>
      <c r="GX91" s="353"/>
      <c r="GY91" s="353"/>
      <c r="HA91" s="353"/>
      <c r="HB91" s="353"/>
      <c r="HC91" s="355"/>
      <c r="HD91" s="352" t="s">
        <v>203</v>
      </c>
      <c r="HE91" s="353"/>
      <c r="HF91" s="353"/>
      <c r="HH91" s="353"/>
      <c r="HI91" s="353"/>
      <c r="HJ91" s="354"/>
      <c r="HK91" s="353" t="s">
        <v>203</v>
      </c>
      <c r="HL91" s="353"/>
      <c r="HM91" s="353"/>
      <c r="HO91" s="353"/>
      <c r="HP91" s="353"/>
      <c r="HQ91" s="354"/>
      <c r="HR91" s="353"/>
      <c r="HS91" s="353"/>
      <c r="HT91" s="353"/>
      <c r="HV91" s="353"/>
      <c r="HW91" s="353"/>
      <c r="HX91" s="355"/>
    </row>
    <row r="92" spans="2:232" ht="15" customHeight="1" outlineLevel="1" x14ac:dyDescent="0.25">
      <c r="B92" s="147"/>
      <c r="C92" s="147"/>
      <c r="D92" s="147"/>
      <c r="E92" s="147"/>
      <c r="F92" s="157"/>
      <c r="G92" s="147"/>
      <c r="H92" s="157"/>
      <c r="I92" s="175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V92" s="162"/>
      <c r="W92" s="159"/>
      <c r="X92" s="159"/>
      <c r="Y92" s="159"/>
      <c r="Z92" s="159"/>
      <c r="AA92" s="159"/>
      <c r="AB92" s="159"/>
      <c r="AC92" s="160"/>
      <c r="AD92" s="361"/>
      <c r="AE92" s="356"/>
      <c r="AF92" s="356"/>
      <c r="AG92" s="163"/>
      <c r="AH92" s="356"/>
      <c r="AI92" s="356"/>
      <c r="AJ92" s="356"/>
      <c r="AK92" s="368"/>
      <c r="AL92" s="356"/>
      <c r="AM92" s="356"/>
      <c r="AN92" s="163"/>
      <c r="AO92" s="356"/>
      <c r="AP92" s="356"/>
      <c r="AQ92" s="357"/>
      <c r="AR92" s="361"/>
      <c r="AS92" s="356"/>
      <c r="AT92" s="356"/>
      <c r="AU92" s="163"/>
      <c r="AV92" s="356"/>
      <c r="AW92" s="356"/>
      <c r="AX92" s="357"/>
      <c r="AY92" s="361"/>
      <c r="AZ92" s="356"/>
      <c r="BA92" s="356"/>
      <c r="BB92" s="163"/>
      <c r="BC92" s="356"/>
      <c r="BD92" s="356"/>
      <c r="BE92" s="356"/>
      <c r="BF92" s="361"/>
      <c r="BG92" s="356"/>
      <c r="BH92" s="356"/>
      <c r="BI92" s="163"/>
      <c r="BJ92" s="356"/>
      <c r="BK92" s="356"/>
      <c r="BL92" s="357"/>
      <c r="BM92" s="361"/>
      <c r="BN92" s="356"/>
      <c r="BO92" s="356"/>
      <c r="BP92" s="163"/>
      <c r="BQ92" s="356"/>
      <c r="BR92" s="356"/>
      <c r="BS92" s="356"/>
      <c r="BT92" s="368"/>
      <c r="BU92" s="356"/>
      <c r="BV92" s="356"/>
      <c r="BW92" s="163"/>
      <c r="BX92" s="356"/>
      <c r="BY92" s="356"/>
      <c r="BZ92" s="357"/>
      <c r="CA92" s="361"/>
      <c r="CB92" s="356"/>
      <c r="CC92" s="356"/>
      <c r="CD92" s="163"/>
      <c r="CE92" s="356"/>
      <c r="CF92" s="356"/>
      <c r="CG92" s="357"/>
      <c r="CH92" s="361"/>
      <c r="CI92" s="356"/>
      <c r="CJ92" s="356"/>
      <c r="CK92" s="163"/>
      <c r="CL92" s="356"/>
      <c r="CM92" s="356"/>
      <c r="CN92" s="357"/>
      <c r="CO92" s="361"/>
      <c r="CP92" s="356"/>
      <c r="CQ92" s="356"/>
      <c r="CR92" s="163"/>
      <c r="CS92" s="356"/>
      <c r="CT92" s="356"/>
      <c r="CU92" s="357"/>
      <c r="CV92" s="361"/>
      <c r="CW92" s="356"/>
      <c r="CX92" s="356"/>
      <c r="CY92" s="163"/>
      <c r="CZ92" s="356"/>
      <c r="DA92" s="356"/>
      <c r="DB92" s="357"/>
      <c r="DC92" s="356"/>
      <c r="DD92" s="356"/>
      <c r="DE92" s="356"/>
      <c r="DF92" s="163"/>
      <c r="DG92" s="356"/>
      <c r="DH92" s="356"/>
      <c r="DI92" s="357"/>
      <c r="DJ92" s="361"/>
      <c r="DK92" s="356"/>
      <c r="DL92" s="356"/>
      <c r="DM92" s="163"/>
      <c r="DN92" s="356"/>
      <c r="DO92" s="356"/>
      <c r="DP92" s="357"/>
      <c r="DQ92" s="361"/>
      <c r="DR92" s="356"/>
      <c r="DS92" s="356"/>
      <c r="DT92" s="163"/>
      <c r="DU92" s="356"/>
      <c r="DV92" s="356"/>
      <c r="DW92" s="357"/>
      <c r="DX92" s="356"/>
      <c r="DY92" s="356"/>
      <c r="DZ92" s="356"/>
      <c r="EA92" s="163"/>
      <c r="EB92" s="356"/>
      <c r="EC92" s="356"/>
      <c r="ED92" s="357"/>
      <c r="EE92" s="361"/>
      <c r="EF92" s="356"/>
      <c r="EG92" s="356"/>
      <c r="EH92" s="163"/>
      <c r="EI92" s="356"/>
      <c r="EJ92" s="356"/>
      <c r="EK92" s="359"/>
      <c r="EL92" s="356"/>
      <c r="EM92" s="356"/>
      <c r="EN92" s="356"/>
      <c r="EO92" s="163"/>
      <c r="EP92" s="356"/>
      <c r="EQ92" s="356"/>
      <c r="ER92" s="359"/>
      <c r="ES92" s="356"/>
      <c r="ET92" s="356"/>
      <c r="EU92" s="356"/>
      <c r="EV92" s="163"/>
      <c r="EW92" s="356"/>
      <c r="EX92" s="356"/>
      <c r="EY92" s="357"/>
      <c r="EZ92" s="361"/>
      <c r="FA92" s="356"/>
      <c r="FB92" s="356"/>
      <c r="FC92" s="163"/>
      <c r="FD92" s="356"/>
      <c r="FE92" s="356"/>
      <c r="FF92" s="356"/>
      <c r="FG92" s="361"/>
      <c r="FH92" s="356"/>
      <c r="FI92" s="356"/>
      <c r="FJ92" s="163"/>
      <c r="FK92" s="356"/>
      <c r="FL92" s="356"/>
      <c r="FM92" s="357"/>
      <c r="FN92" s="361"/>
      <c r="FO92" s="356"/>
      <c r="FP92" s="356"/>
      <c r="FQ92" s="163"/>
      <c r="FR92" s="356"/>
      <c r="FS92" s="356"/>
      <c r="FT92" s="356"/>
      <c r="FU92" s="368"/>
      <c r="FV92" s="356"/>
      <c r="FW92" s="356"/>
      <c r="FX92" s="163"/>
      <c r="FY92" s="356"/>
      <c r="FZ92" s="356"/>
      <c r="GA92" s="356"/>
      <c r="GB92" s="361"/>
      <c r="GC92" s="356"/>
      <c r="GD92" s="356"/>
      <c r="GE92" s="163"/>
      <c r="GF92" s="356"/>
      <c r="GG92" s="356"/>
      <c r="GH92" s="357"/>
      <c r="GI92" s="361"/>
      <c r="GJ92" s="356"/>
      <c r="GK92" s="356"/>
      <c r="GL92" s="163"/>
      <c r="GM92" s="356"/>
      <c r="GN92" s="356"/>
      <c r="GO92" s="357"/>
      <c r="GP92" s="356"/>
      <c r="GQ92" s="356"/>
      <c r="GR92" s="356"/>
      <c r="GS92" s="163"/>
      <c r="GT92" s="356"/>
      <c r="GU92" s="356"/>
      <c r="GV92" s="357"/>
      <c r="GW92" s="361"/>
      <c r="GX92" s="356"/>
      <c r="GY92" s="356"/>
      <c r="GZ92" s="163"/>
      <c r="HA92" s="356"/>
      <c r="HB92" s="356"/>
      <c r="HC92" s="357"/>
      <c r="HD92" s="361"/>
      <c r="HE92" s="356"/>
      <c r="HF92" s="356"/>
      <c r="HG92" s="163"/>
      <c r="HH92" s="356"/>
      <c r="HI92" s="356"/>
      <c r="HJ92" s="359"/>
      <c r="HK92" s="356"/>
      <c r="HL92" s="356"/>
      <c r="HM92" s="356"/>
      <c r="HN92" s="163"/>
      <c r="HO92" s="356"/>
      <c r="HP92" s="356"/>
      <c r="HQ92" s="359"/>
      <c r="HR92" s="356"/>
      <c r="HS92" s="356"/>
      <c r="HT92" s="356"/>
      <c r="HU92" s="163"/>
      <c r="HV92" s="356"/>
      <c r="HW92" s="356"/>
      <c r="HX92" s="357"/>
    </row>
    <row r="93" spans="2:232" outlineLevel="1" x14ac:dyDescent="0.25">
      <c r="B93" s="32"/>
      <c r="C93" s="333">
        <f>MAX(C86:C87)+1</f>
        <v>11</v>
      </c>
      <c r="D93" s="164" t="s">
        <v>21</v>
      </c>
      <c r="E93" s="34"/>
      <c r="F93" s="165" t="s">
        <v>529</v>
      </c>
      <c r="G93" s="165" t="s">
        <v>529</v>
      </c>
      <c r="H93" s="165" t="s">
        <v>185</v>
      </c>
      <c r="I93" s="176" t="s">
        <v>188</v>
      </c>
      <c r="J93" s="165" t="s">
        <v>171</v>
      </c>
      <c r="K93" s="165">
        <v>2031</v>
      </c>
      <c r="L93" s="165">
        <v>2</v>
      </c>
      <c r="M93" s="165"/>
      <c r="N93" s="165"/>
      <c r="O93" s="165"/>
      <c r="P93" s="165"/>
      <c r="Q93" s="165"/>
      <c r="R93" s="165"/>
      <c r="S93" s="165"/>
      <c r="T93" s="165"/>
      <c r="V93" s="11" t="s">
        <v>283</v>
      </c>
      <c r="W93" s="12"/>
      <c r="X93" s="12"/>
      <c r="Y93" s="12"/>
      <c r="Z93" s="12"/>
      <c r="AA93" s="12"/>
      <c r="AB93" s="12"/>
      <c r="AC93" s="14"/>
      <c r="AD93" s="166">
        <f>$C93</f>
        <v>11</v>
      </c>
      <c r="AE93" s="358" t="s">
        <v>175</v>
      </c>
      <c r="AF93" s="358"/>
      <c r="AG93" s="358"/>
      <c r="AH93" s="158"/>
      <c r="AI93" s="337"/>
      <c r="AJ93" s="337"/>
      <c r="AK93" s="214">
        <f>$C93</f>
        <v>11</v>
      </c>
      <c r="AL93" s="358" t="s">
        <v>175</v>
      </c>
      <c r="AM93" s="358"/>
      <c r="AN93" s="358"/>
      <c r="AO93" s="32"/>
      <c r="AP93" s="353"/>
      <c r="AQ93" s="355"/>
      <c r="AR93" s="166">
        <f>$C93</f>
        <v>11</v>
      </c>
      <c r="AS93" s="358" t="s">
        <v>532</v>
      </c>
      <c r="AT93" s="358"/>
      <c r="AU93" s="358"/>
      <c r="AV93" s="32"/>
      <c r="AW93" s="353"/>
      <c r="AX93" s="355"/>
      <c r="AY93" s="166">
        <f>$C93</f>
        <v>11</v>
      </c>
      <c r="AZ93" s="358" t="s">
        <v>531</v>
      </c>
      <c r="BA93" s="358"/>
      <c r="BB93" s="358"/>
      <c r="BC93" s="32"/>
      <c r="BD93" s="353"/>
      <c r="BE93" s="353"/>
      <c r="BF93" s="166">
        <f>$C93</f>
        <v>11</v>
      </c>
      <c r="BG93" s="358" t="s">
        <v>531</v>
      </c>
      <c r="BH93" s="358"/>
      <c r="BI93" s="358"/>
      <c r="BJ93" s="158"/>
      <c r="BK93" s="337"/>
      <c r="BL93" s="338"/>
      <c r="BM93" s="166">
        <f>$C93</f>
        <v>11</v>
      </c>
      <c r="BN93" s="358" t="s">
        <v>531</v>
      </c>
      <c r="BO93" s="358"/>
      <c r="BP93" s="358"/>
      <c r="BQ93" s="158"/>
      <c r="BR93" s="337"/>
      <c r="BS93" s="337"/>
      <c r="BT93" s="214">
        <f>$C93</f>
        <v>11</v>
      </c>
      <c r="BU93" s="358" t="s">
        <v>538</v>
      </c>
      <c r="BV93" s="358"/>
      <c r="BW93" s="358"/>
      <c r="BX93" s="158"/>
      <c r="BY93" s="337"/>
      <c r="BZ93" s="338"/>
      <c r="CA93" s="166">
        <f>$C93</f>
        <v>11</v>
      </c>
      <c r="CB93" s="358" t="s">
        <v>532</v>
      </c>
      <c r="CC93" s="358"/>
      <c r="CD93" s="358"/>
      <c r="CE93" s="158"/>
      <c r="CF93" s="337"/>
      <c r="CG93" s="338"/>
      <c r="CH93" s="166">
        <f>$C93</f>
        <v>11</v>
      </c>
      <c r="CI93" s="358" t="s">
        <v>532</v>
      </c>
      <c r="CJ93" s="358"/>
      <c r="CK93" s="358"/>
      <c r="CL93" s="158"/>
      <c r="CM93" s="337"/>
      <c r="CN93" s="338"/>
      <c r="CO93" s="166">
        <f>$C93</f>
        <v>11</v>
      </c>
      <c r="CP93" s="358" t="s">
        <v>173</v>
      </c>
      <c r="CQ93" s="358"/>
      <c r="CR93" s="358"/>
      <c r="CS93" s="158"/>
      <c r="CT93" s="337"/>
      <c r="CU93" s="338"/>
      <c r="CV93" s="166">
        <f>$C93</f>
        <v>11</v>
      </c>
      <c r="CW93" s="358" t="s">
        <v>531</v>
      </c>
      <c r="CX93" s="358"/>
      <c r="CY93" s="358"/>
      <c r="CZ93" s="158"/>
      <c r="DA93" s="337"/>
      <c r="DB93" s="338"/>
      <c r="DC93" s="166">
        <f>$C93</f>
        <v>11</v>
      </c>
      <c r="DD93" s="358" t="s">
        <v>531</v>
      </c>
      <c r="DE93" s="358"/>
      <c r="DF93" s="358"/>
      <c r="DG93" s="158"/>
      <c r="DH93" s="337"/>
      <c r="DI93" s="338"/>
      <c r="DJ93" s="166">
        <f>$C93</f>
        <v>11</v>
      </c>
      <c r="DK93" s="358" t="s">
        <v>531</v>
      </c>
      <c r="DL93" s="358"/>
      <c r="DM93" s="358"/>
      <c r="DN93" s="158"/>
      <c r="DO93" s="337"/>
      <c r="DP93" s="338"/>
      <c r="DQ93" s="166">
        <f>$C93</f>
        <v>11</v>
      </c>
      <c r="DR93" s="358" t="s">
        <v>173</v>
      </c>
      <c r="DS93" s="358"/>
      <c r="DT93" s="358"/>
      <c r="DU93" s="158"/>
      <c r="DV93" s="337"/>
      <c r="DW93" s="338"/>
      <c r="DX93" s="166">
        <f>$C93</f>
        <v>11</v>
      </c>
      <c r="DY93" s="358" t="s">
        <v>532</v>
      </c>
      <c r="DZ93" s="358"/>
      <c r="EA93" s="358"/>
      <c r="EB93" s="158"/>
      <c r="EC93" s="337"/>
      <c r="ED93" s="338"/>
      <c r="EE93" s="166">
        <f>$C93</f>
        <v>11</v>
      </c>
      <c r="EF93" s="358" t="s">
        <v>531</v>
      </c>
      <c r="EG93" s="358"/>
      <c r="EH93" s="358"/>
      <c r="EI93" s="158"/>
      <c r="EJ93" s="337"/>
      <c r="EK93" s="351"/>
      <c r="EL93" s="193">
        <f>$C93</f>
        <v>11</v>
      </c>
      <c r="EM93" s="358" t="s">
        <v>645</v>
      </c>
      <c r="EN93" s="358"/>
      <c r="EO93" s="358"/>
      <c r="EP93" s="158"/>
      <c r="EQ93" s="337"/>
      <c r="ER93" s="351"/>
      <c r="ES93" s="193">
        <f>$C93</f>
        <v>11</v>
      </c>
      <c r="ET93" s="358" t="s">
        <v>175</v>
      </c>
      <c r="EU93" s="358"/>
      <c r="EV93" s="358"/>
      <c r="EW93" s="32"/>
      <c r="EX93" s="353"/>
      <c r="EY93" s="355"/>
      <c r="EZ93" s="166">
        <f>$C93</f>
        <v>11</v>
      </c>
      <c r="FA93" s="358" t="s">
        <v>532</v>
      </c>
      <c r="FB93" s="358"/>
      <c r="FC93" s="358"/>
      <c r="FD93" s="32"/>
      <c r="FE93" s="353"/>
      <c r="FF93" s="353"/>
      <c r="FG93" s="166">
        <f>$C93</f>
        <v>11</v>
      </c>
      <c r="FH93" s="358" t="s">
        <v>532</v>
      </c>
      <c r="FI93" s="358"/>
      <c r="FJ93" s="358"/>
      <c r="FK93" s="32"/>
      <c r="FL93" s="337"/>
      <c r="FM93" s="338"/>
      <c r="FN93" s="166">
        <f>$C93</f>
        <v>11</v>
      </c>
      <c r="FO93" s="358" t="s">
        <v>532</v>
      </c>
      <c r="FP93" s="358"/>
      <c r="FQ93" s="358"/>
      <c r="FR93" s="32"/>
      <c r="FS93" s="337"/>
      <c r="FT93" s="337"/>
      <c r="FU93" s="214">
        <f>$C93</f>
        <v>11</v>
      </c>
      <c r="FV93" s="358" t="s">
        <v>532</v>
      </c>
      <c r="FW93" s="358"/>
      <c r="FX93" s="358"/>
      <c r="FY93" s="32"/>
      <c r="FZ93" s="337"/>
      <c r="GA93" s="337"/>
      <c r="GB93" s="166">
        <f>$C93</f>
        <v>11</v>
      </c>
      <c r="GC93" s="358" t="s">
        <v>532</v>
      </c>
      <c r="GD93" s="358"/>
      <c r="GE93" s="358"/>
      <c r="GF93" s="32"/>
      <c r="GG93" s="337"/>
      <c r="GH93" s="338"/>
      <c r="GI93" s="166">
        <f>$C93</f>
        <v>11</v>
      </c>
      <c r="GJ93" s="358" t="s">
        <v>532</v>
      </c>
      <c r="GK93" s="358"/>
      <c r="GL93" s="358"/>
      <c r="GM93" s="32"/>
      <c r="GN93" s="337"/>
      <c r="GO93" s="338"/>
      <c r="GP93" s="193">
        <f>$C93</f>
        <v>11</v>
      </c>
      <c r="GQ93" s="358" t="s">
        <v>175</v>
      </c>
      <c r="GR93" s="358"/>
      <c r="GS93" s="358"/>
      <c r="GT93" s="32"/>
      <c r="GU93" s="337"/>
      <c r="GV93" s="338"/>
      <c r="GW93" s="166">
        <f>$C93</f>
        <v>11</v>
      </c>
      <c r="GX93" s="358" t="s">
        <v>175</v>
      </c>
      <c r="GY93" s="358"/>
      <c r="GZ93" s="358"/>
      <c r="HA93" s="32"/>
      <c r="HB93" s="337"/>
      <c r="HC93" s="338"/>
      <c r="HD93" s="166">
        <f>$C93</f>
        <v>11</v>
      </c>
      <c r="HE93" s="358" t="s">
        <v>532</v>
      </c>
      <c r="HF93" s="358"/>
      <c r="HG93" s="358"/>
      <c r="HH93" s="32"/>
      <c r="HI93" s="337"/>
      <c r="HJ93" s="351"/>
      <c r="HK93" s="193">
        <f>$C93</f>
        <v>11</v>
      </c>
      <c r="HL93" s="358" t="s">
        <v>645</v>
      </c>
      <c r="HM93" s="358"/>
      <c r="HN93" s="358"/>
      <c r="HO93" s="32"/>
      <c r="HP93" s="337"/>
      <c r="HQ93" s="351"/>
      <c r="HR93" s="193"/>
      <c r="HS93" s="362"/>
      <c r="HT93" s="362"/>
      <c r="HU93" s="362"/>
      <c r="HV93" s="257"/>
      <c r="HW93" s="337"/>
      <c r="HX93" s="338"/>
    </row>
    <row r="94" spans="2:232" outlineLevel="1" x14ac:dyDescent="0.25">
      <c r="B94" s="32"/>
      <c r="C94" s="167"/>
      <c r="D94" s="167"/>
      <c r="E94" s="34"/>
      <c r="F94" s="168"/>
      <c r="G94" s="167"/>
      <c r="H94" s="168"/>
      <c r="I94" s="177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V94" s="107"/>
      <c r="W94" s="108"/>
      <c r="X94" s="108"/>
      <c r="Y94" s="108"/>
      <c r="Z94" s="108"/>
      <c r="AA94" s="108"/>
      <c r="AB94" s="108"/>
      <c r="AC94" s="109"/>
      <c r="AD94" s="169"/>
      <c r="AE94" s="365"/>
      <c r="AF94" s="365"/>
      <c r="AG94" s="365"/>
      <c r="AH94" s="30"/>
      <c r="AI94" s="340"/>
      <c r="AJ94" s="340"/>
      <c r="AK94" s="215"/>
      <c r="AL94" s="339"/>
      <c r="AM94" s="339"/>
      <c r="AN94" s="339"/>
      <c r="AO94" s="30"/>
      <c r="AP94" s="340"/>
      <c r="AQ94" s="341"/>
      <c r="AR94" s="169"/>
      <c r="AS94" s="339"/>
      <c r="AT94" s="339"/>
      <c r="AU94" s="339"/>
      <c r="AV94" s="30"/>
      <c r="AW94" s="340"/>
      <c r="AX94" s="341"/>
      <c r="AY94" s="169"/>
      <c r="AZ94" s="339"/>
      <c r="BA94" s="339"/>
      <c r="BB94" s="339"/>
      <c r="BC94" s="30"/>
      <c r="BD94" s="340"/>
      <c r="BE94" s="340"/>
      <c r="BF94" s="169"/>
      <c r="BG94" s="339"/>
      <c r="BH94" s="339"/>
      <c r="BI94" s="339"/>
      <c r="BJ94" s="30"/>
      <c r="BK94" s="340"/>
      <c r="BL94" s="341"/>
      <c r="BM94" s="169"/>
      <c r="BN94" s="339"/>
      <c r="BO94" s="339"/>
      <c r="BP94" s="339"/>
      <c r="BQ94" s="30"/>
      <c r="BR94" s="340"/>
      <c r="BS94" s="340"/>
      <c r="BT94" s="215"/>
      <c r="BU94" s="339"/>
      <c r="BV94" s="339"/>
      <c r="BW94" s="339"/>
      <c r="BX94" s="30"/>
      <c r="BY94" s="340"/>
      <c r="BZ94" s="341"/>
      <c r="CA94" s="169"/>
      <c r="CB94" s="339"/>
      <c r="CC94" s="339"/>
      <c r="CD94" s="339"/>
      <c r="CE94" s="30"/>
      <c r="CF94" s="340"/>
      <c r="CG94" s="341"/>
      <c r="CH94" s="169"/>
      <c r="CI94" s="339"/>
      <c r="CJ94" s="339"/>
      <c r="CK94" s="339"/>
      <c r="CL94" s="30"/>
      <c r="CM94" s="340"/>
      <c r="CN94" s="341"/>
      <c r="CO94" s="169"/>
      <c r="CP94" s="339"/>
      <c r="CQ94" s="339"/>
      <c r="CR94" s="339"/>
      <c r="CS94" s="30"/>
      <c r="CT94" s="340"/>
      <c r="CU94" s="341"/>
      <c r="CV94" s="169"/>
      <c r="CW94" s="339"/>
      <c r="CX94" s="339"/>
      <c r="CY94" s="339"/>
      <c r="CZ94" s="30"/>
      <c r="DA94" s="340"/>
      <c r="DB94" s="341"/>
      <c r="DC94" s="192"/>
      <c r="DD94" s="339"/>
      <c r="DE94" s="339"/>
      <c r="DF94" s="339"/>
      <c r="DG94" s="30"/>
      <c r="DH94" s="340"/>
      <c r="DI94" s="341"/>
      <c r="DJ94" s="169"/>
      <c r="DK94" s="339"/>
      <c r="DL94" s="339"/>
      <c r="DM94" s="339"/>
      <c r="DN94" s="30"/>
      <c r="DO94" s="340"/>
      <c r="DP94" s="341"/>
      <c r="DQ94" s="169"/>
      <c r="DR94" s="339"/>
      <c r="DS94" s="339"/>
      <c r="DT94" s="339"/>
      <c r="DU94" s="30"/>
      <c r="DV94" s="340"/>
      <c r="DW94" s="341"/>
      <c r="DX94" s="192"/>
      <c r="DY94" s="339"/>
      <c r="DZ94" s="339"/>
      <c r="EA94" s="339"/>
      <c r="EB94" s="30"/>
      <c r="EC94" s="340"/>
      <c r="ED94" s="341"/>
      <c r="EE94" s="169"/>
      <c r="EF94" s="339"/>
      <c r="EG94" s="339"/>
      <c r="EH94" s="339"/>
      <c r="EI94" s="30"/>
      <c r="EJ94" s="340"/>
      <c r="EK94" s="360"/>
      <c r="EL94" s="192"/>
      <c r="EM94" s="339"/>
      <c r="EN94" s="339"/>
      <c r="EO94" s="339"/>
      <c r="EP94" s="30"/>
      <c r="EQ94" s="340"/>
      <c r="ER94" s="360"/>
      <c r="ES94" s="192"/>
      <c r="ET94" s="339"/>
      <c r="EU94" s="339"/>
      <c r="EV94" s="339"/>
      <c r="EW94" s="30"/>
      <c r="EX94" s="340"/>
      <c r="EY94" s="341"/>
      <c r="EZ94" s="169"/>
      <c r="FA94" s="339"/>
      <c r="FB94" s="339"/>
      <c r="FC94" s="339"/>
      <c r="FD94" s="30"/>
      <c r="FE94" s="340"/>
      <c r="FF94" s="340"/>
      <c r="FG94" s="169"/>
      <c r="FH94" s="339"/>
      <c r="FI94" s="339"/>
      <c r="FJ94" s="339"/>
      <c r="FK94" s="30"/>
      <c r="FL94" s="340"/>
      <c r="FM94" s="341"/>
      <c r="FN94" s="169"/>
      <c r="FO94" s="339"/>
      <c r="FP94" s="339"/>
      <c r="FQ94" s="339"/>
      <c r="FR94" s="30"/>
      <c r="FS94" s="340"/>
      <c r="FT94" s="340"/>
      <c r="FU94" s="215"/>
      <c r="FV94" s="339"/>
      <c r="FW94" s="339"/>
      <c r="FX94" s="339"/>
      <c r="FY94" s="30"/>
      <c r="FZ94" s="340"/>
      <c r="GA94" s="340"/>
      <c r="GB94" s="169"/>
      <c r="GC94" s="339"/>
      <c r="GD94" s="339"/>
      <c r="GE94" s="339"/>
      <c r="GF94" s="30"/>
      <c r="GG94" s="340"/>
      <c r="GH94" s="341"/>
      <c r="GI94" s="169"/>
      <c r="GJ94" s="339"/>
      <c r="GK94" s="339"/>
      <c r="GL94" s="339"/>
      <c r="GM94" s="30"/>
      <c r="GN94" s="340"/>
      <c r="GO94" s="341"/>
      <c r="GP94" s="192"/>
      <c r="GQ94" s="339"/>
      <c r="GR94" s="339"/>
      <c r="GS94" s="339"/>
      <c r="GT94" s="30"/>
      <c r="GU94" s="340"/>
      <c r="GV94" s="341"/>
      <c r="GW94" s="169"/>
      <c r="GX94" s="339"/>
      <c r="GY94" s="339"/>
      <c r="GZ94" s="339"/>
      <c r="HA94" s="30"/>
      <c r="HB94" s="340"/>
      <c r="HC94" s="341"/>
      <c r="HD94" s="169"/>
      <c r="HE94" s="339"/>
      <c r="HF94" s="339"/>
      <c r="HG94" s="339"/>
      <c r="HH94" s="30"/>
      <c r="HI94" s="340"/>
      <c r="HJ94" s="360"/>
      <c r="HK94" s="192"/>
      <c r="HL94" s="339"/>
      <c r="HM94" s="339"/>
      <c r="HN94" s="339"/>
      <c r="HO94" s="30"/>
      <c r="HP94" s="340"/>
      <c r="HQ94" s="360"/>
      <c r="HR94" s="192"/>
      <c r="HS94" s="339"/>
      <c r="HT94" s="339"/>
      <c r="HU94" s="339"/>
      <c r="HV94" s="258"/>
      <c r="HW94" s="340"/>
      <c r="HX94" s="341"/>
    </row>
    <row r="95" spans="2:232" ht="15" customHeight="1" outlineLevel="1" x14ac:dyDescent="0.25">
      <c r="B95" s="147"/>
      <c r="C95" s="147"/>
      <c r="D95" s="148"/>
      <c r="E95" s="147"/>
      <c r="F95" s="149"/>
      <c r="G95" s="148"/>
      <c r="H95" s="149"/>
      <c r="I95" s="174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V95" s="150" t="s">
        <v>170</v>
      </c>
      <c r="W95" s="151"/>
      <c r="X95" s="151"/>
      <c r="Y95" s="151"/>
      <c r="Z95" s="151"/>
      <c r="AA95" s="151"/>
      <c r="AB95" s="369"/>
      <c r="AC95" s="370"/>
      <c r="AD95" s="342" t="s">
        <v>217</v>
      </c>
      <c r="AE95" s="343"/>
      <c r="AF95" s="343"/>
      <c r="AG95" s="343"/>
      <c r="AH95" s="343"/>
      <c r="AI95" s="152"/>
      <c r="AJ95" s="194">
        <f>COUNTA(AD100:AD101)</f>
        <v>1</v>
      </c>
      <c r="AK95" s="366" t="s">
        <v>217</v>
      </c>
      <c r="AL95" s="343"/>
      <c r="AM95" s="343"/>
      <c r="AN95" s="343"/>
      <c r="AO95" s="343"/>
      <c r="AP95" s="152"/>
      <c r="AQ95" s="155">
        <f>COUNTA(AK100:AK101)</f>
        <v>1</v>
      </c>
      <c r="AR95" s="342" t="s">
        <v>217</v>
      </c>
      <c r="AS95" s="343"/>
      <c r="AT95" s="343"/>
      <c r="AU95" s="343"/>
      <c r="AV95" s="343"/>
      <c r="AW95" s="152"/>
      <c r="AX95" s="155">
        <f>COUNTA(AR100:AR101)</f>
        <v>1</v>
      </c>
      <c r="AY95" s="342" t="s">
        <v>217</v>
      </c>
      <c r="AZ95" s="343"/>
      <c r="BA95" s="343"/>
      <c r="BB95" s="343"/>
      <c r="BC95" s="343"/>
      <c r="BD95" s="152"/>
      <c r="BE95" s="194">
        <f>COUNTA(AY100:AY101)</f>
        <v>1</v>
      </c>
      <c r="BF95" s="342" t="s">
        <v>217</v>
      </c>
      <c r="BG95" s="343"/>
      <c r="BH95" s="343"/>
      <c r="BI95" s="343"/>
      <c r="BJ95" s="343"/>
      <c r="BK95" s="152"/>
      <c r="BL95" s="155">
        <f>COUNTA(BF100:BF101)</f>
        <v>1</v>
      </c>
      <c r="BM95" s="156"/>
      <c r="BN95" s="152"/>
      <c r="BO95" s="153"/>
      <c r="BP95" s="152"/>
      <c r="BQ95" s="154"/>
      <c r="BR95" s="152"/>
      <c r="BS95" s="194">
        <f>COUNTA(BM100:BM101)</f>
        <v>1</v>
      </c>
      <c r="BT95" s="366" t="s">
        <v>217</v>
      </c>
      <c r="BU95" s="343"/>
      <c r="BV95" s="343"/>
      <c r="BW95" s="343"/>
      <c r="BX95" s="343"/>
      <c r="BY95" s="152"/>
      <c r="BZ95" s="155">
        <f>COUNTA(BT100:BT101)</f>
        <v>1</v>
      </c>
      <c r="CA95" s="342" t="s">
        <v>217</v>
      </c>
      <c r="CB95" s="343"/>
      <c r="CC95" s="343"/>
      <c r="CD95" s="343"/>
      <c r="CE95" s="343"/>
      <c r="CF95" s="152"/>
      <c r="CG95" s="155">
        <f>COUNTA(CA100:CA101)</f>
        <v>1</v>
      </c>
      <c r="CH95" s="342" t="s">
        <v>217</v>
      </c>
      <c r="CI95" s="343"/>
      <c r="CJ95" s="343"/>
      <c r="CK95" s="343"/>
      <c r="CL95" s="343"/>
      <c r="CM95" s="152"/>
      <c r="CN95" s="155">
        <f>COUNTA(CH100:CH101)</f>
        <v>1</v>
      </c>
      <c r="CO95" s="342" t="s">
        <v>217</v>
      </c>
      <c r="CP95" s="343"/>
      <c r="CQ95" s="343"/>
      <c r="CR95" s="343"/>
      <c r="CS95" s="343"/>
      <c r="CT95" s="152"/>
      <c r="CU95" s="155">
        <f>COUNTA(CO100:CO101)</f>
        <v>1</v>
      </c>
      <c r="CV95" s="342" t="s">
        <v>217</v>
      </c>
      <c r="CW95" s="343"/>
      <c r="CX95" s="343"/>
      <c r="CY95" s="343"/>
      <c r="CZ95" s="343"/>
      <c r="DA95" s="152"/>
      <c r="DB95" s="155">
        <f>COUNTA(CV100:CV101)</f>
        <v>1</v>
      </c>
      <c r="DC95" s="343" t="s">
        <v>217</v>
      </c>
      <c r="DD95" s="343"/>
      <c r="DE95" s="343"/>
      <c r="DF95" s="343"/>
      <c r="DG95" s="343"/>
      <c r="DH95" s="152"/>
      <c r="DI95" s="155">
        <f>COUNTA(DC100:DC101)</f>
        <v>1</v>
      </c>
      <c r="DJ95" s="342" t="s">
        <v>217</v>
      </c>
      <c r="DK95" s="343"/>
      <c r="DL95" s="343"/>
      <c r="DM95" s="343"/>
      <c r="DN95" s="343"/>
      <c r="DO95" s="152"/>
      <c r="DP95" s="155">
        <f>COUNTA(DJ100:DJ101)</f>
        <v>1</v>
      </c>
      <c r="DQ95" s="342" t="s">
        <v>217</v>
      </c>
      <c r="DR95" s="343"/>
      <c r="DS95" s="343"/>
      <c r="DT95" s="343"/>
      <c r="DU95" s="343"/>
      <c r="DV95" s="152"/>
      <c r="DW95" s="155">
        <f>COUNTA(DQ100:DQ101)</f>
        <v>1</v>
      </c>
      <c r="DX95" s="343" t="s">
        <v>217</v>
      </c>
      <c r="DY95" s="343"/>
      <c r="DZ95" s="343"/>
      <c r="EA95" s="343"/>
      <c r="EB95" s="343"/>
      <c r="EC95" s="152"/>
      <c r="ED95" s="155">
        <f>COUNTA(DX100:DX101)</f>
        <v>1</v>
      </c>
      <c r="EE95" s="342" t="s">
        <v>217</v>
      </c>
      <c r="EF95" s="343"/>
      <c r="EG95" s="343"/>
      <c r="EH95" s="343"/>
      <c r="EI95" s="343"/>
      <c r="EJ95" s="152"/>
      <c r="EK95" s="218">
        <f>COUNTA(EE100:EE101)</f>
        <v>1</v>
      </c>
      <c r="EL95" s="343" t="s">
        <v>217</v>
      </c>
      <c r="EM95" s="343"/>
      <c r="EN95" s="343"/>
      <c r="EO95" s="343"/>
      <c r="EP95" s="343"/>
      <c r="EQ95" s="152"/>
      <c r="ER95" s="218">
        <f>COUNTA(EL100:EL101)</f>
        <v>1</v>
      </c>
      <c r="ES95" s="343" t="s">
        <v>217</v>
      </c>
      <c r="ET95" s="343"/>
      <c r="EU95" s="343"/>
      <c r="EV95" s="343"/>
      <c r="EW95" s="343"/>
      <c r="EX95" s="152"/>
      <c r="EY95" s="155">
        <f>COUNTA(ES100:ES101)</f>
        <v>1</v>
      </c>
      <c r="EZ95" s="342" t="s">
        <v>245</v>
      </c>
      <c r="FA95" s="343"/>
      <c r="FB95" s="343"/>
      <c r="FC95" s="343"/>
      <c r="FD95" s="343"/>
      <c r="FE95" s="152"/>
      <c r="FF95" s="194">
        <f>COUNTA(EZ100:EZ101)</f>
        <v>1</v>
      </c>
      <c r="FG95" s="342" t="s">
        <v>217</v>
      </c>
      <c r="FH95" s="343"/>
      <c r="FI95" s="343"/>
      <c r="FJ95" s="343"/>
      <c r="FK95" s="343"/>
      <c r="FL95" s="152"/>
      <c r="FM95" s="155">
        <f>COUNTA(FG100:FG101)</f>
        <v>1</v>
      </c>
      <c r="FN95" s="156"/>
      <c r="FO95" s="152"/>
      <c r="FP95" s="153"/>
      <c r="FQ95" s="152"/>
      <c r="FR95" s="154"/>
      <c r="FS95" s="152"/>
      <c r="FT95" s="194">
        <f>COUNTA(FN100:FN101)</f>
        <v>1</v>
      </c>
      <c r="FU95" s="366" t="s">
        <v>217</v>
      </c>
      <c r="FV95" s="343"/>
      <c r="FW95" s="343"/>
      <c r="FX95" s="343"/>
      <c r="FY95" s="343"/>
      <c r="FZ95" s="152"/>
      <c r="GA95" s="194">
        <f>COUNTA(FU100:FU101)</f>
        <v>1</v>
      </c>
      <c r="GB95" s="342" t="s">
        <v>217</v>
      </c>
      <c r="GC95" s="343"/>
      <c r="GD95" s="343"/>
      <c r="GE95" s="343"/>
      <c r="GF95" s="343"/>
      <c r="GG95" s="152"/>
      <c r="GH95" s="155">
        <f>COUNTA(GB100:GB101)</f>
        <v>1</v>
      </c>
      <c r="GI95" s="342" t="s">
        <v>217</v>
      </c>
      <c r="GJ95" s="343"/>
      <c r="GK95" s="343"/>
      <c r="GL95" s="343"/>
      <c r="GM95" s="343"/>
      <c r="GN95" s="152"/>
      <c r="GO95" s="155">
        <f>COUNTA(GI100:GI101)</f>
        <v>1</v>
      </c>
      <c r="GP95" s="343" t="s">
        <v>217</v>
      </c>
      <c r="GQ95" s="343"/>
      <c r="GR95" s="343"/>
      <c r="GS95" s="343"/>
      <c r="GT95" s="343"/>
      <c r="GU95" s="152"/>
      <c r="GV95" s="155">
        <f>COUNTA(GP100:GP101)</f>
        <v>1</v>
      </c>
      <c r="GW95" s="342" t="s">
        <v>217</v>
      </c>
      <c r="GX95" s="343"/>
      <c r="GY95" s="343"/>
      <c r="GZ95" s="343"/>
      <c r="HA95" s="343"/>
      <c r="HB95" s="152"/>
      <c r="HC95" s="155">
        <f>COUNTA(GW100:GW101)</f>
        <v>1</v>
      </c>
      <c r="HD95" s="342" t="s">
        <v>217</v>
      </c>
      <c r="HE95" s="343"/>
      <c r="HF95" s="343"/>
      <c r="HG95" s="343"/>
      <c r="HH95" s="343"/>
      <c r="HI95" s="152"/>
      <c r="HJ95" s="218">
        <f>COUNTA(HD100:HD101)</f>
        <v>1</v>
      </c>
      <c r="HK95" s="343" t="s">
        <v>217</v>
      </c>
      <c r="HL95" s="343"/>
      <c r="HM95" s="343"/>
      <c r="HN95" s="343"/>
      <c r="HO95" s="343"/>
      <c r="HP95" s="152"/>
      <c r="HQ95" s="218">
        <f>COUNTA(HK100:HK101)</f>
        <v>1</v>
      </c>
      <c r="HR95" s="152"/>
      <c r="HS95" s="152"/>
      <c r="HT95" s="153"/>
      <c r="HU95" s="152"/>
      <c r="HV95" s="255"/>
      <c r="HW95" s="152"/>
      <c r="HX95" s="155">
        <f>COUNTA(HR100:HR101)</f>
        <v>0</v>
      </c>
    </row>
    <row r="96" spans="2:232" ht="15" customHeight="1" outlineLevel="1" x14ac:dyDescent="0.25">
      <c r="B96" s="147"/>
      <c r="C96" s="147"/>
      <c r="D96" s="147"/>
      <c r="E96" s="147"/>
      <c r="F96" s="157"/>
      <c r="G96" s="147"/>
      <c r="H96" s="157"/>
      <c r="I96" s="175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V96" s="185" t="s">
        <v>224</v>
      </c>
      <c r="W96" s="186"/>
      <c r="X96" s="186"/>
      <c r="Y96" s="186"/>
      <c r="Z96" s="186"/>
      <c r="AA96" s="186"/>
      <c r="AB96" s="187"/>
      <c r="AC96" s="188"/>
      <c r="AD96" s="344" t="s">
        <v>225</v>
      </c>
      <c r="AE96" s="345"/>
      <c r="AF96" s="345"/>
      <c r="AG96" s="181" t="s">
        <v>75</v>
      </c>
      <c r="AH96" s="346" t="s">
        <v>295</v>
      </c>
      <c r="AI96" s="346"/>
      <c r="AJ96" s="346"/>
      <c r="AK96" s="363" t="s">
        <v>227</v>
      </c>
      <c r="AL96" s="345"/>
      <c r="AM96" s="345"/>
      <c r="AN96" s="181" t="s">
        <v>75</v>
      </c>
      <c r="AO96" s="346" t="s">
        <v>326</v>
      </c>
      <c r="AP96" s="346"/>
      <c r="AQ96" s="349"/>
      <c r="AR96" s="344" t="s">
        <v>227</v>
      </c>
      <c r="AS96" s="345"/>
      <c r="AT96" s="345"/>
      <c r="AU96" s="181" t="s">
        <v>75</v>
      </c>
      <c r="AV96" s="346" t="s">
        <v>326</v>
      </c>
      <c r="AW96" s="346"/>
      <c r="AX96" s="349"/>
      <c r="AY96" s="344" t="s">
        <v>227</v>
      </c>
      <c r="AZ96" s="345"/>
      <c r="BA96" s="345"/>
      <c r="BB96" s="181" t="s">
        <v>75</v>
      </c>
      <c r="BC96" s="346" t="s">
        <v>326</v>
      </c>
      <c r="BD96" s="346"/>
      <c r="BE96" s="349"/>
      <c r="BF96" s="344" t="s">
        <v>227</v>
      </c>
      <c r="BG96" s="345"/>
      <c r="BH96" s="345"/>
      <c r="BI96" s="181" t="s">
        <v>75</v>
      </c>
      <c r="BJ96" s="346" t="s">
        <v>326</v>
      </c>
      <c r="BK96" s="346"/>
      <c r="BL96" s="349"/>
      <c r="BM96" s="180"/>
      <c r="BN96" s="181"/>
      <c r="BO96" s="182"/>
      <c r="BP96" s="181"/>
      <c r="BQ96" s="183"/>
      <c r="BR96" s="181"/>
      <c r="BS96" s="210"/>
      <c r="BT96" s="363" t="s">
        <v>232</v>
      </c>
      <c r="BU96" s="345"/>
      <c r="BV96" s="345"/>
      <c r="BW96" s="181" t="s">
        <v>75</v>
      </c>
      <c r="BX96" s="346" t="s">
        <v>344</v>
      </c>
      <c r="BY96" s="346"/>
      <c r="BZ96" s="349"/>
      <c r="CA96" s="344" t="s">
        <v>232</v>
      </c>
      <c r="CB96" s="345"/>
      <c r="CC96" s="345"/>
      <c r="CD96" s="181" t="s">
        <v>75</v>
      </c>
      <c r="CE96" s="346" t="s">
        <v>344</v>
      </c>
      <c r="CF96" s="346"/>
      <c r="CG96" s="349"/>
      <c r="CH96" s="344" t="s">
        <v>232</v>
      </c>
      <c r="CI96" s="345"/>
      <c r="CJ96" s="345"/>
      <c r="CK96" s="181" t="s">
        <v>75</v>
      </c>
      <c r="CL96" s="346" t="s">
        <v>344</v>
      </c>
      <c r="CM96" s="346"/>
      <c r="CN96" s="349"/>
      <c r="CO96" s="344" t="s">
        <v>232</v>
      </c>
      <c r="CP96" s="345"/>
      <c r="CQ96" s="345"/>
      <c r="CR96" s="181" t="s">
        <v>75</v>
      </c>
      <c r="CS96" s="346" t="s">
        <v>344</v>
      </c>
      <c r="CT96" s="346"/>
      <c r="CU96" s="349"/>
      <c r="CV96" s="344" t="s">
        <v>232</v>
      </c>
      <c r="CW96" s="345"/>
      <c r="CX96" s="345"/>
      <c r="CY96" s="181" t="s">
        <v>75</v>
      </c>
      <c r="CZ96" s="346" t="s">
        <v>344</v>
      </c>
      <c r="DA96" s="346"/>
      <c r="DB96" s="349"/>
      <c r="DC96" s="344" t="s">
        <v>232</v>
      </c>
      <c r="DD96" s="345"/>
      <c r="DE96" s="345"/>
      <c r="DF96" s="181" t="s">
        <v>75</v>
      </c>
      <c r="DG96" s="346" t="s">
        <v>344</v>
      </c>
      <c r="DH96" s="346"/>
      <c r="DI96" s="349"/>
      <c r="DJ96" s="344" t="s">
        <v>232</v>
      </c>
      <c r="DK96" s="345"/>
      <c r="DL96" s="345"/>
      <c r="DM96" s="181" t="s">
        <v>75</v>
      </c>
      <c r="DN96" s="346" t="s">
        <v>344</v>
      </c>
      <c r="DO96" s="346"/>
      <c r="DP96" s="349"/>
      <c r="DQ96" s="345" t="s">
        <v>232</v>
      </c>
      <c r="DR96" s="345"/>
      <c r="DS96" s="345"/>
      <c r="DT96" s="181" t="s">
        <v>75</v>
      </c>
      <c r="DU96" s="346" t="s">
        <v>344</v>
      </c>
      <c r="DV96" s="346"/>
      <c r="DW96" s="349"/>
      <c r="DX96" s="345" t="s">
        <v>232</v>
      </c>
      <c r="DY96" s="345"/>
      <c r="DZ96" s="345"/>
      <c r="EA96" s="181" t="s">
        <v>75</v>
      </c>
      <c r="EB96" s="346" t="s">
        <v>344</v>
      </c>
      <c r="EC96" s="346"/>
      <c r="ED96" s="349"/>
      <c r="EE96" s="345" t="s">
        <v>232</v>
      </c>
      <c r="EF96" s="345"/>
      <c r="EG96" s="345"/>
      <c r="EH96" s="181" t="s">
        <v>75</v>
      </c>
      <c r="EI96" s="346" t="s">
        <v>344</v>
      </c>
      <c r="EJ96" s="346"/>
      <c r="EK96" s="347"/>
      <c r="EL96" s="345" t="s">
        <v>539</v>
      </c>
      <c r="EM96" s="345"/>
      <c r="EN96" s="345"/>
      <c r="EO96" s="181" t="s">
        <v>75</v>
      </c>
      <c r="EP96" s="346" t="s">
        <v>344</v>
      </c>
      <c r="EQ96" s="346"/>
      <c r="ER96" s="347"/>
      <c r="ES96" s="345" t="s">
        <v>243</v>
      </c>
      <c r="ET96" s="345"/>
      <c r="EU96" s="345"/>
      <c r="EV96" s="181" t="s">
        <v>75</v>
      </c>
      <c r="EW96" s="346" t="s">
        <v>372</v>
      </c>
      <c r="EX96" s="346"/>
      <c r="EY96" s="349"/>
      <c r="EZ96" s="344" t="s">
        <v>243</v>
      </c>
      <c r="FA96" s="345"/>
      <c r="FB96" s="345"/>
      <c r="FC96" s="181" t="s">
        <v>75</v>
      </c>
      <c r="FD96" s="346" t="s">
        <v>372</v>
      </c>
      <c r="FE96" s="346"/>
      <c r="FF96" s="346"/>
      <c r="FG96" s="344" t="s">
        <v>243</v>
      </c>
      <c r="FH96" s="345"/>
      <c r="FI96" s="345"/>
      <c r="FJ96" s="181" t="s">
        <v>75</v>
      </c>
      <c r="FK96" s="346" t="s">
        <v>372</v>
      </c>
      <c r="FL96" s="346"/>
      <c r="FM96" s="349"/>
      <c r="FN96" s="180"/>
      <c r="FO96" s="181"/>
      <c r="FP96" s="182"/>
      <c r="FQ96" s="181"/>
      <c r="FR96" s="183"/>
      <c r="FS96" s="181"/>
      <c r="FT96" s="210"/>
      <c r="FU96" s="363" t="s">
        <v>246</v>
      </c>
      <c r="FV96" s="345"/>
      <c r="FW96" s="345"/>
      <c r="FX96" s="181" t="s">
        <v>75</v>
      </c>
      <c r="FY96" s="346" t="s">
        <v>395</v>
      </c>
      <c r="FZ96" s="346"/>
      <c r="GA96" s="346"/>
      <c r="GB96" s="344" t="s">
        <v>246</v>
      </c>
      <c r="GC96" s="345"/>
      <c r="GD96" s="345"/>
      <c r="GE96" s="181" t="s">
        <v>75</v>
      </c>
      <c r="GF96" s="346" t="s">
        <v>395</v>
      </c>
      <c r="GG96" s="346"/>
      <c r="GH96" s="349"/>
      <c r="GI96" s="344" t="s">
        <v>246</v>
      </c>
      <c r="GJ96" s="345"/>
      <c r="GK96" s="345"/>
      <c r="GL96" s="181" t="s">
        <v>75</v>
      </c>
      <c r="GM96" s="346" t="s">
        <v>395</v>
      </c>
      <c r="GN96" s="346"/>
      <c r="GO96" s="349"/>
      <c r="GP96" s="345" t="s">
        <v>246</v>
      </c>
      <c r="GQ96" s="345"/>
      <c r="GR96" s="345"/>
      <c r="GS96" s="181" t="s">
        <v>75</v>
      </c>
      <c r="GT96" s="346" t="s">
        <v>395</v>
      </c>
      <c r="GU96" s="346"/>
      <c r="GV96" s="349"/>
      <c r="GW96" s="344" t="s">
        <v>246</v>
      </c>
      <c r="GX96" s="345"/>
      <c r="GY96" s="345"/>
      <c r="GZ96" s="181" t="s">
        <v>75</v>
      </c>
      <c r="HA96" s="346" t="s">
        <v>395</v>
      </c>
      <c r="HB96" s="346"/>
      <c r="HC96" s="349"/>
      <c r="HD96" s="344" t="s">
        <v>246</v>
      </c>
      <c r="HE96" s="345"/>
      <c r="HF96" s="345"/>
      <c r="HG96" s="181" t="s">
        <v>75</v>
      </c>
      <c r="HH96" s="346" t="s">
        <v>395</v>
      </c>
      <c r="HI96" s="346"/>
      <c r="HJ96" s="347"/>
      <c r="HK96" s="345" t="s">
        <v>541</v>
      </c>
      <c r="HL96" s="345"/>
      <c r="HM96" s="345"/>
      <c r="HN96" s="181" t="s">
        <v>75</v>
      </c>
      <c r="HO96" s="346" t="s">
        <v>395</v>
      </c>
      <c r="HP96" s="346"/>
      <c r="HQ96" s="347"/>
      <c r="HR96" s="181"/>
      <c r="HS96" s="181"/>
      <c r="HT96" s="182"/>
      <c r="HU96" s="181"/>
      <c r="HV96" s="256"/>
      <c r="HW96" s="181"/>
      <c r="HX96" s="184"/>
    </row>
    <row r="97" spans="2:232" ht="15" customHeight="1" outlineLevel="1" x14ac:dyDescent="0.25">
      <c r="B97" s="147"/>
      <c r="C97" s="147"/>
      <c r="D97" s="147"/>
      <c r="E97" s="147"/>
      <c r="F97" s="157"/>
      <c r="G97" s="147"/>
      <c r="H97" s="157"/>
      <c r="I97" s="175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V97" s="161" t="s">
        <v>199</v>
      </c>
      <c r="W97" s="12"/>
      <c r="X97" s="12"/>
      <c r="Y97" s="12"/>
      <c r="Z97" s="12"/>
      <c r="AA97" s="12"/>
      <c r="AB97" s="12"/>
      <c r="AC97" s="14"/>
      <c r="AD97" s="352" t="s">
        <v>201</v>
      </c>
      <c r="AE97" s="353"/>
      <c r="AF97" s="353"/>
      <c r="AG97" s="1" t="s">
        <v>57</v>
      </c>
      <c r="AH97" s="337" t="s">
        <v>221</v>
      </c>
      <c r="AI97" s="337"/>
      <c r="AJ97" s="337"/>
      <c r="AK97" s="364" t="s">
        <v>202</v>
      </c>
      <c r="AL97" s="337"/>
      <c r="AM97" s="337"/>
      <c r="AN97" s="1" t="s">
        <v>57</v>
      </c>
      <c r="AO97" s="337" t="s">
        <v>221</v>
      </c>
      <c r="AP97" s="337"/>
      <c r="AQ97" s="338"/>
      <c r="AR97" s="350" t="s">
        <v>221</v>
      </c>
      <c r="AS97" s="337"/>
      <c r="AT97" s="337"/>
      <c r="AU97" s="1" t="s">
        <v>57</v>
      </c>
      <c r="AV97" s="337" t="s">
        <v>228</v>
      </c>
      <c r="AW97" s="337"/>
      <c r="AX97" s="338"/>
      <c r="AY97" s="350" t="s">
        <v>228</v>
      </c>
      <c r="AZ97" s="337"/>
      <c r="BA97" s="337"/>
      <c r="BB97" s="1" t="s">
        <v>57</v>
      </c>
      <c r="BC97" s="337" t="s">
        <v>352</v>
      </c>
      <c r="BD97" s="337"/>
      <c r="BE97" s="337"/>
      <c r="BF97" s="350" t="s">
        <v>556</v>
      </c>
      <c r="BG97" s="337"/>
      <c r="BH97" s="337"/>
      <c r="BI97" s="191"/>
      <c r="BJ97" s="337"/>
      <c r="BK97" s="337"/>
      <c r="BL97" s="338"/>
      <c r="BM97" s="350"/>
      <c r="BN97" s="337"/>
      <c r="BO97" s="337"/>
      <c r="BQ97" s="337"/>
      <c r="BR97" s="337"/>
      <c r="BS97" s="337"/>
      <c r="BT97" s="364" t="s">
        <v>221</v>
      </c>
      <c r="BU97" s="337"/>
      <c r="BV97" s="337"/>
      <c r="BW97" s="1" t="s">
        <v>57</v>
      </c>
      <c r="BX97" s="337" t="s">
        <v>231</v>
      </c>
      <c r="BY97" s="337"/>
      <c r="BZ97" s="338"/>
      <c r="CA97" s="337" t="s">
        <v>231</v>
      </c>
      <c r="CB97" s="337"/>
      <c r="CC97" s="337"/>
      <c r="CD97" s="1" t="s">
        <v>57</v>
      </c>
      <c r="CE97" s="337" t="s">
        <v>221</v>
      </c>
      <c r="CF97" s="337"/>
      <c r="CG97" s="337"/>
      <c r="CH97" s="350" t="s">
        <v>221</v>
      </c>
      <c r="CI97" s="337"/>
      <c r="CJ97" s="337"/>
      <c r="CK97" s="1" t="s">
        <v>57</v>
      </c>
      <c r="CL97" s="337" t="s">
        <v>234</v>
      </c>
      <c r="CM97" s="337"/>
      <c r="CN97" s="338"/>
      <c r="CO97" s="350" t="s">
        <v>262</v>
      </c>
      <c r="CP97" s="337"/>
      <c r="CQ97" s="337"/>
      <c r="CR97" s="1" t="s">
        <v>57</v>
      </c>
      <c r="CS97" s="337" t="s">
        <v>233</v>
      </c>
      <c r="CT97" s="337"/>
      <c r="CU97" s="338"/>
      <c r="CV97" s="350" t="s">
        <v>228</v>
      </c>
      <c r="CW97" s="337"/>
      <c r="CX97" s="337"/>
      <c r="CY97" s="1" t="s">
        <v>57</v>
      </c>
      <c r="CZ97" s="337" t="s">
        <v>231</v>
      </c>
      <c r="DA97" s="337"/>
      <c r="DB97" s="338"/>
      <c r="DC97" s="350" t="s">
        <v>231</v>
      </c>
      <c r="DD97" s="337"/>
      <c r="DE97" s="337"/>
      <c r="DF97" s="1" t="s">
        <v>57</v>
      </c>
      <c r="DG97" s="337" t="s">
        <v>252</v>
      </c>
      <c r="DH97" s="337"/>
      <c r="DI97" s="338"/>
      <c r="DJ97" s="350" t="s">
        <v>252</v>
      </c>
      <c r="DK97" s="337"/>
      <c r="DL97" s="337"/>
      <c r="DM97" s="1" t="s">
        <v>57</v>
      </c>
      <c r="DN97" s="337" t="s">
        <v>234</v>
      </c>
      <c r="DO97" s="337"/>
      <c r="DP97" s="338"/>
      <c r="DQ97" s="350" t="s">
        <v>233</v>
      </c>
      <c r="DR97" s="337"/>
      <c r="DS97" s="337"/>
      <c r="DT97" s="191"/>
      <c r="DU97" s="337"/>
      <c r="DV97" s="337"/>
      <c r="DW97" s="338"/>
      <c r="DX97" s="337" t="s">
        <v>252</v>
      </c>
      <c r="DY97" s="337"/>
      <c r="DZ97" s="337"/>
      <c r="EA97" s="1" t="s">
        <v>57</v>
      </c>
      <c r="EB97" s="337" t="s">
        <v>221</v>
      </c>
      <c r="EC97" s="337"/>
      <c r="ED97" s="337"/>
      <c r="EE97" s="350" t="s">
        <v>231</v>
      </c>
      <c r="EF97" s="337"/>
      <c r="EG97" s="337"/>
      <c r="EH97" s="191"/>
      <c r="EI97" s="337"/>
      <c r="EJ97" s="337"/>
      <c r="EK97" s="351"/>
      <c r="EL97" s="337" t="s">
        <v>383</v>
      </c>
      <c r="EM97" s="337"/>
      <c r="EN97" s="337"/>
      <c r="EO97" s="191"/>
      <c r="EP97" s="337"/>
      <c r="EQ97" s="337"/>
      <c r="ER97" s="351"/>
      <c r="ES97" s="337" t="s">
        <v>384</v>
      </c>
      <c r="ET97" s="337"/>
      <c r="EU97" s="337"/>
      <c r="EV97" s="1" t="s">
        <v>57</v>
      </c>
      <c r="EW97" s="337" t="s">
        <v>228</v>
      </c>
      <c r="EX97" s="337"/>
      <c r="EY97" s="338"/>
      <c r="EZ97" s="350" t="s">
        <v>228</v>
      </c>
      <c r="FA97" s="337"/>
      <c r="FB97" s="337"/>
      <c r="FC97" s="1" t="s">
        <v>57</v>
      </c>
      <c r="FD97" s="337" t="s">
        <v>352</v>
      </c>
      <c r="FE97" s="337"/>
      <c r="FF97" s="337"/>
      <c r="FG97" s="350" t="s">
        <v>352</v>
      </c>
      <c r="FH97" s="337"/>
      <c r="FI97" s="337"/>
      <c r="FJ97" s="191"/>
      <c r="FK97" s="337"/>
      <c r="FL97" s="337"/>
      <c r="FM97" s="338"/>
      <c r="FN97" s="350"/>
      <c r="FO97" s="337"/>
      <c r="FP97" s="337"/>
      <c r="FR97" s="337"/>
      <c r="FS97" s="337"/>
      <c r="FT97" s="337"/>
      <c r="FU97" s="364" t="s">
        <v>252</v>
      </c>
      <c r="FV97" s="337"/>
      <c r="FW97" s="337"/>
      <c r="FX97" s="1" t="s">
        <v>57</v>
      </c>
      <c r="FY97" s="337" t="s">
        <v>231</v>
      </c>
      <c r="FZ97" s="337"/>
      <c r="GA97" s="337"/>
      <c r="GB97" s="350" t="s">
        <v>231</v>
      </c>
      <c r="GC97" s="337"/>
      <c r="GD97" s="337"/>
      <c r="GE97" s="1" t="s">
        <v>57</v>
      </c>
      <c r="GF97" s="337" t="s">
        <v>252</v>
      </c>
      <c r="GG97" s="337"/>
      <c r="GH97" s="338"/>
      <c r="GI97" s="350" t="s">
        <v>252</v>
      </c>
      <c r="GJ97" s="337"/>
      <c r="GK97" s="337"/>
      <c r="GL97" s="1" t="s">
        <v>57</v>
      </c>
      <c r="GM97" s="337" t="s">
        <v>234</v>
      </c>
      <c r="GN97" s="337"/>
      <c r="GO97" s="338"/>
      <c r="GP97" s="337" t="s">
        <v>233</v>
      </c>
      <c r="GQ97" s="337"/>
      <c r="GR97" s="337"/>
      <c r="GS97" s="191"/>
      <c r="GT97" s="337"/>
      <c r="GU97" s="337"/>
      <c r="GV97" s="338"/>
      <c r="GW97" s="350" t="s">
        <v>382</v>
      </c>
      <c r="GX97" s="337"/>
      <c r="GY97" s="337"/>
      <c r="GZ97" s="1" t="s">
        <v>57</v>
      </c>
      <c r="HA97" s="337" t="s">
        <v>426</v>
      </c>
      <c r="HB97" s="337"/>
      <c r="HC97" s="338"/>
      <c r="HD97" s="350" t="s">
        <v>231</v>
      </c>
      <c r="HE97" s="337"/>
      <c r="HF97" s="337"/>
      <c r="HG97" s="191"/>
      <c r="HH97" s="337"/>
      <c r="HI97" s="337"/>
      <c r="HJ97" s="351"/>
      <c r="HK97" s="337" t="s">
        <v>383</v>
      </c>
      <c r="HL97" s="337"/>
      <c r="HM97" s="337"/>
      <c r="HO97" s="337"/>
      <c r="HP97" s="337"/>
      <c r="HQ97" s="351"/>
      <c r="HR97" s="337"/>
      <c r="HS97" s="337"/>
      <c r="HT97" s="337"/>
      <c r="HV97" s="337"/>
      <c r="HW97" s="337"/>
      <c r="HX97" s="338"/>
    </row>
    <row r="98" spans="2:232" ht="15" customHeight="1" outlineLevel="1" x14ac:dyDescent="0.25">
      <c r="B98" s="147"/>
      <c r="C98" s="147"/>
      <c r="D98" s="147"/>
      <c r="E98" s="147"/>
      <c r="F98" s="157"/>
      <c r="G98" s="147"/>
      <c r="H98" s="157"/>
      <c r="I98" s="175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V98" s="161" t="s">
        <v>200</v>
      </c>
      <c r="W98" s="12"/>
      <c r="X98" s="12"/>
      <c r="Y98" s="12"/>
      <c r="Z98" s="12"/>
      <c r="AA98" s="12"/>
      <c r="AB98" s="12"/>
      <c r="AC98" s="14"/>
      <c r="AD98" s="352" t="s">
        <v>201</v>
      </c>
      <c r="AE98" s="353"/>
      <c r="AF98" s="353"/>
      <c r="AG98" s="1" t="s">
        <v>57</v>
      </c>
      <c r="AH98" s="353" t="s">
        <v>203</v>
      </c>
      <c r="AI98" s="353"/>
      <c r="AJ98" s="353"/>
      <c r="AK98" s="367" t="s">
        <v>203</v>
      </c>
      <c r="AL98" s="353"/>
      <c r="AM98" s="353"/>
      <c r="AO98" s="353"/>
      <c r="AP98" s="353"/>
      <c r="AQ98" s="355"/>
      <c r="AR98" s="352" t="s">
        <v>203</v>
      </c>
      <c r="AS98" s="353"/>
      <c r="AT98" s="353"/>
      <c r="AV98" s="353"/>
      <c r="AW98" s="353"/>
      <c r="AX98" s="355"/>
      <c r="AY98" s="352" t="s">
        <v>203</v>
      </c>
      <c r="AZ98" s="353"/>
      <c r="BA98" s="353"/>
      <c r="BC98" s="353"/>
      <c r="BD98" s="353"/>
      <c r="BE98" s="353"/>
      <c r="BF98" s="352" t="s">
        <v>203</v>
      </c>
      <c r="BG98" s="353"/>
      <c r="BH98" s="353"/>
      <c r="BJ98" s="353"/>
      <c r="BK98" s="353"/>
      <c r="BL98" s="355"/>
      <c r="BM98" s="352"/>
      <c r="BN98" s="353"/>
      <c r="BO98" s="353"/>
      <c r="BQ98" s="353"/>
      <c r="BR98" s="353"/>
      <c r="BS98" s="353"/>
      <c r="BT98" s="367" t="s">
        <v>203</v>
      </c>
      <c r="BU98" s="353"/>
      <c r="BV98" s="353"/>
      <c r="BX98" s="353"/>
      <c r="BY98" s="353"/>
      <c r="BZ98" s="355"/>
      <c r="CA98" s="352" t="s">
        <v>203</v>
      </c>
      <c r="CB98" s="353"/>
      <c r="CC98" s="353"/>
      <c r="CE98" s="353"/>
      <c r="CF98" s="353"/>
      <c r="CG98" s="353"/>
      <c r="CH98" s="352" t="s">
        <v>203</v>
      </c>
      <c r="CI98" s="353"/>
      <c r="CJ98" s="353"/>
      <c r="CL98" s="353"/>
      <c r="CM98" s="353"/>
      <c r="CN98" s="355"/>
      <c r="CO98" s="352" t="s">
        <v>203</v>
      </c>
      <c r="CP98" s="353"/>
      <c r="CQ98" s="353"/>
      <c r="CS98" s="353"/>
      <c r="CT98" s="353"/>
      <c r="CU98" s="355"/>
      <c r="CV98" s="352" t="s">
        <v>203</v>
      </c>
      <c r="CW98" s="353"/>
      <c r="CX98" s="353"/>
      <c r="CZ98" s="353"/>
      <c r="DA98" s="353"/>
      <c r="DB98" s="353"/>
      <c r="DC98" s="352" t="s">
        <v>203</v>
      </c>
      <c r="DD98" s="353"/>
      <c r="DE98" s="353"/>
      <c r="DG98" s="353"/>
      <c r="DH98" s="353"/>
      <c r="DI98" s="355"/>
      <c r="DJ98" s="352" t="s">
        <v>203</v>
      </c>
      <c r="DK98" s="353"/>
      <c r="DL98" s="353"/>
      <c r="DN98" s="353"/>
      <c r="DO98" s="353"/>
      <c r="DP98" s="355"/>
      <c r="DQ98" s="352" t="s">
        <v>203</v>
      </c>
      <c r="DR98" s="353"/>
      <c r="DS98" s="353"/>
      <c r="DU98" s="353"/>
      <c r="DV98" s="353"/>
      <c r="DW98" s="355"/>
      <c r="DX98" s="352" t="s">
        <v>203</v>
      </c>
      <c r="DY98" s="353"/>
      <c r="DZ98" s="353"/>
      <c r="EB98" s="353"/>
      <c r="EC98" s="353"/>
      <c r="ED98" s="353"/>
      <c r="EE98" s="352" t="s">
        <v>203</v>
      </c>
      <c r="EF98" s="353"/>
      <c r="EG98" s="353"/>
      <c r="EI98" s="353"/>
      <c r="EJ98" s="353"/>
      <c r="EK98" s="354"/>
      <c r="EL98" s="353" t="s">
        <v>203</v>
      </c>
      <c r="EM98" s="353"/>
      <c r="EN98" s="353"/>
      <c r="EP98" s="353"/>
      <c r="EQ98" s="353"/>
      <c r="ER98" s="354"/>
      <c r="ES98" s="353" t="s">
        <v>203</v>
      </c>
      <c r="ET98" s="353"/>
      <c r="EU98" s="353"/>
      <c r="EW98" s="353"/>
      <c r="EX98" s="353"/>
      <c r="EY98" s="355"/>
      <c r="EZ98" s="352" t="s">
        <v>203</v>
      </c>
      <c r="FA98" s="353"/>
      <c r="FB98" s="353"/>
      <c r="FD98" s="353"/>
      <c r="FE98" s="353"/>
      <c r="FF98" s="353"/>
      <c r="FG98" s="352" t="s">
        <v>203</v>
      </c>
      <c r="FH98" s="353"/>
      <c r="FI98" s="353"/>
      <c r="FK98" s="353"/>
      <c r="FL98" s="353"/>
      <c r="FM98" s="355"/>
      <c r="FN98" s="352"/>
      <c r="FO98" s="353"/>
      <c r="FP98" s="353"/>
      <c r="FR98" s="353"/>
      <c r="FS98" s="353"/>
      <c r="FT98" s="353"/>
      <c r="FU98" s="367" t="s">
        <v>203</v>
      </c>
      <c r="FV98" s="353"/>
      <c r="FW98" s="353"/>
      <c r="FY98" s="353"/>
      <c r="FZ98" s="353"/>
      <c r="GA98" s="353"/>
      <c r="GB98" s="352" t="s">
        <v>203</v>
      </c>
      <c r="GC98" s="353"/>
      <c r="GD98" s="353"/>
      <c r="GF98" s="353"/>
      <c r="GG98" s="353"/>
      <c r="GH98" s="355"/>
      <c r="GI98" s="352" t="s">
        <v>203</v>
      </c>
      <c r="GJ98" s="353"/>
      <c r="GK98" s="353"/>
      <c r="GM98" s="353"/>
      <c r="GN98" s="353"/>
      <c r="GO98" s="355"/>
      <c r="GP98" s="353" t="s">
        <v>203</v>
      </c>
      <c r="GQ98" s="353"/>
      <c r="GR98" s="353"/>
      <c r="GT98" s="353"/>
      <c r="GU98" s="353"/>
      <c r="GV98" s="355"/>
      <c r="GW98" s="352" t="s">
        <v>203</v>
      </c>
      <c r="GX98" s="353"/>
      <c r="GY98" s="353"/>
      <c r="HA98" s="353"/>
      <c r="HB98" s="353"/>
      <c r="HC98" s="355"/>
      <c r="HD98" s="352" t="s">
        <v>203</v>
      </c>
      <c r="HE98" s="353"/>
      <c r="HF98" s="353"/>
      <c r="HH98" s="353"/>
      <c r="HI98" s="353"/>
      <c r="HJ98" s="354"/>
      <c r="HK98" s="353" t="s">
        <v>203</v>
      </c>
      <c r="HL98" s="353"/>
      <c r="HM98" s="353"/>
      <c r="HO98" s="353"/>
      <c r="HP98" s="353"/>
      <c r="HQ98" s="354"/>
      <c r="HR98" s="353"/>
      <c r="HS98" s="353"/>
      <c r="HT98" s="353"/>
      <c r="HV98" s="353"/>
      <c r="HW98" s="353"/>
      <c r="HX98" s="355"/>
    </row>
    <row r="99" spans="2:232" ht="15" customHeight="1" outlineLevel="1" x14ac:dyDescent="0.25">
      <c r="B99" s="147"/>
      <c r="C99" s="147"/>
      <c r="D99" s="147"/>
      <c r="E99" s="147"/>
      <c r="F99" s="157"/>
      <c r="G99" s="147"/>
      <c r="H99" s="157"/>
      <c r="I99" s="175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V99" s="162"/>
      <c r="W99" s="159"/>
      <c r="X99" s="159"/>
      <c r="Y99" s="159"/>
      <c r="Z99" s="159"/>
      <c r="AA99" s="159"/>
      <c r="AB99" s="159"/>
      <c r="AC99" s="160"/>
      <c r="AD99" s="361"/>
      <c r="AE99" s="356"/>
      <c r="AF99" s="356"/>
      <c r="AG99" s="163"/>
      <c r="AH99" s="356"/>
      <c r="AI99" s="356"/>
      <c r="AJ99" s="356"/>
      <c r="AK99" s="368"/>
      <c r="AL99" s="356"/>
      <c r="AM99" s="356"/>
      <c r="AN99" s="163"/>
      <c r="AO99" s="356"/>
      <c r="AP99" s="356"/>
      <c r="AQ99" s="357"/>
      <c r="AR99" s="361"/>
      <c r="AS99" s="356"/>
      <c r="AT99" s="356"/>
      <c r="AU99" s="163"/>
      <c r="AV99" s="356"/>
      <c r="AW99" s="356"/>
      <c r="AX99" s="357"/>
      <c r="AY99" s="361"/>
      <c r="AZ99" s="356"/>
      <c r="BA99" s="356"/>
      <c r="BB99" s="163"/>
      <c r="BC99" s="356"/>
      <c r="BD99" s="356"/>
      <c r="BE99" s="356"/>
      <c r="BF99" s="361"/>
      <c r="BG99" s="356"/>
      <c r="BH99" s="356"/>
      <c r="BI99" s="163"/>
      <c r="BJ99" s="356"/>
      <c r="BK99" s="356"/>
      <c r="BL99" s="357"/>
      <c r="BM99" s="361"/>
      <c r="BN99" s="356"/>
      <c r="BO99" s="356"/>
      <c r="BP99" s="163"/>
      <c r="BQ99" s="356"/>
      <c r="BR99" s="356"/>
      <c r="BS99" s="356"/>
      <c r="BT99" s="368"/>
      <c r="BU99" s="356"/>
      <c r="BV99" s="356"/>
      <c r="BW99" s="163"/>
      <c r="BX99" s="356"/>
      <c r="BY99" s="356"/>
      <c r="BZ99" s="357"/>
      <c r="CA99" s="361"/>
      <c r="CB99" s="356"/>
      <c r="CC99" s="356"/>
      <c r="CD99" s="163"/>
      <c r="CE99" s="356"/>
      <c r="CF99" s="356"/>
      <c r="CG99" s="357"/>
      <c r="CH99" s="361"/>
      <c r="CI99" s="356"/>
      <c r="CJ99" s="356"/>
      <c r="CK99" s="163"/>
      <c r="CL99" s="356"/>
      <c r="CM99" s="356"/>
      <c r="CN99" s="357"/>
      <c r="CO99" s="361"/>
      <c r="CP99" s="356"/>
      <c r="CQ99" s="356"/>
      <c r="CR99" s="163"/>
      <c r="CS99" s="356"/>
      <c r="CT99" s="356"/>
      <c r="CU99" s="357"/>
      <c r="CV99" s="361"/>
      <c r="CW99" s="356"/>
      <c r="CX99" s="356"/>
      <c r="CY99" s="163"/>
      <c r="CZ99" s="356"/>
      <c r="DA99" s="356"/>
      <c r="DB99" s="357"/>
      <c r="DC99" s="356"/>
      <c r="DD99" s="356"/>
      <c r="DE99" s="356"/>
      <c r="DF99" s="163"/>
      <c r="DG99" s="356"/>
      <c r="DH99" s="356"/>
      <c r="DI99" s="357"/>
      <c r="DJ99" s="361"/>
      <c r="DK99" s="356"/>
      <c r="DL99" s="356"/>
      <c r="DM99" s="163"/>
      <c r="DN99" s="356"/>
      <c r="DO99" s="356"/>
      <c r="DP99" s="357"/>
      <c r="DQ99" s="361"/>
      <c r="DR99" s="356"/>
      <c r="DS99" s="356"/>
      <c r="DT99" s="163"/>
      <c r="DU99" s="356"/>
      <c r="DV99" s="356"/>
      <c r="DW99" s="357"/>
      <c r="DX99" s="356"/>
      <c r="DY99" s="356"/>
      <c r="DZ99" s="356"/>
      <c r="EA99" s="163"/>
      <c r="EB99" s="356"/>
      <c r="EC99" s="356"/>
      <c r="ED99" s="357"/>
      <c r="EE99" s="361"/>
      <c r="EF99" s="356"/>
      <c r="EG99" s="356"/>
      <c r="EH99" s="163"/>
      <c r="EI99" s="356"/>
      <c r="EJ99" s="356"/>
      <c r="EK99" s="359"/>
      <c r="EL99" s="356"/>
      <c r="EM99" s="356"/>
      <c r="EN99" s="356"/>
      <c r="EO99" s="163"/>
      <c r="EP99" s="356"/>
      <c r="EQ99" s="356"/>
      <c r="ER99" s="359"/>
      <c r="ES99" s="356"/>
      <c r="ET99" s="356"/>
      <c r="EU99" s="356"/>
      <c r="EV99" s="163"/>
      <c r="EW99" s="356"/>
      <c r="EX99" s="356"/>
      <c r="EY99" s="357"/>
      <c r="EZ99" s="361"/>
      <c r="FA99" s="356"/>
      <c r="FB99" s="356"/>
      <c r="FC99" s="163"/>
      <c r="FD99" s="356"/>
      <c r="FE99" s="356"/>
      <c r="FF99" s="356"/>
      <c r="FG99" s="361"/>
      <c r="FH99" s="356"/>
      <c r="FI99" s="356"/>
      <c r="FJ99" s="163"/>
      <c r="FK99" s="356"/>
      <c r="FL99" s="356"/>
      <c r="FM99" s="357"/>
      <c r="FN99" s="361"/>
      <c r="FO99" s="356"/>
      <c r="FP99" s="356"/>
      <c r="FQ99" s="163"/>
      <c r="FR99" s="356"/>
      <c r="FS99" s="356"/>
      <c r="FT99" s="356"/>
      <c r="FU99" s="368"/>
      <c r="FV99" s="356"/>
      <c r="FW99" s="356"/>
      <c r="FX99" s="163"/>
      <c r="FY99" s="356"/>
      <c r="FZ99" s="356"/>
      <c r="GA99" s="356"/>
      <c r="GB99" s="361"/>
      <c r="GC99" s="356"/>
      <c r="GD99" s="356"/>
      <c r="GE99" s="163"/>
      <c r="GF99" s="356"/>
      <c r="GG99" s="356"/>
      <c r="GH99" s="357"/>
      <c r="GI99" s="361"/>
      <c r="GJ99" s="356"/>
      <c r="GK99" s="356"/>
      <c r="GL99" s="163"/>
      <c r="GM99" s="356"/>
      <c r="GN99" s="356"/>
      <c r="GO99" s="357"/>
      <c r="GP99" s="356"/>
      <c r="GQ99" s="356"/>
      <c r="GR99" s="356"/>
      <c r="GS99" s="163"/>
      <c r="GT99" s="356"/>
      <c r="GU99" s="356"/>
      <c r="GV99" s="357"/>
      <c r="GW99" s="361"/>
      <c r="GX99" s="356"/>
      <c r="GY99" s="356"/>
      <c r="GZ99" s="163"/>
      <c r="HA99" s="356"/>
      <c r="HB99" s="356"/>
      <c r="HC99" s="357"/>
      <c r="HD99" s="361"/>
      <c r="HE99" s="356"/>
      <c r="HF99" s="356"/>
      <c r="HG99" s="163"/>
      <c r="HH99" s="356"/>
      <c r="HI99" s="356"/>
      <c r="HJ99" s="359"/>
      <c r="HK99" s="356"/>
      <c r="HL99" s="356"/>
      <c r="HM99" s="356"/>
      <c r="HN99" s="163"/>
      <c r="HO99" s="356"/>
      <c r="HP99" s="356"/>
      <c r="HQ99" s="359"/>
      <c r="HR99" s="356"/>
      <c r="HS99" s="356"/>
      <c r="HT99" s="356"/>
      <c r="HU99" s="163"/>
      <c r="HV99" s="356"/>
      <c r="HW99" s="356"/>
      <c r="HX99" s="357"/>
    </row>
    <row r="100" spans="2:232" outlineLevel="1" x14ac:dyDescent="0.25">
      <c r="B100" s="32"/>
      <c r="C100" s="333">
        <f>MAX(C93:C94)+1</f>
        <v>12</v>
      </c>
      <c r="D100" s="164" t="s">
        <v>21</v>
      </c>
      <c r="E100" s="34"/>
      <c r="F100" s="165" t="s">
        <v>529</v>
      </c>
      <c r="G100" s="165" t="s">
        <v>529</v>
      </c>
      <c r="H100" s="165" t="s">
        <v>96</v>
      </c>
      <c r="I100" s="176" t="s">
        <v>190</v>
      </c>
      <c r="J100" s="165" t="s">
        <v>171</v>
      </c>
      <c r="K100" s="165">
        <v>2031</v>
      </c>
      <c r="L100" s="165">
        <v>3</v>
      </c>
      <c r="M100" s="165"/>
      <c r="N100" s="165"/>
      <c r="O100" s="165"/>
      <c r="P100" s="165"/>
      <c r="Q100" s="165"/>
      <c r="R100" s="165"/>
      <c r="S100" s="165"/>
      <c r="T100" s="165"/>
      <c r="V100" s="11" t="s">
        <v>283</v>
      </c>
      <c r="W100" s="12"/>
      <c r="X100" s="12"/>
      <c r="Y100" s="12"/>
      <c r="Z100" s="12"/>
      <c r="AA100" s="12"/>
      <c r="AB100" s="12"/>
      <c r="AC100" s="14"/>
      <c r="AD100" s="166">
        <f>$C100</f>
        <v>12</v>
      </c>
      <c r="AE100" s="358" t="s">
        <v>175</v>
      </c>
      <c r="AF100" s="358"/>
      <c r="AG100" s="358"/>
      <c r="AH100" s="158"/>
      <c r="AI100" s="337"/>
      <c r="AJ100" s="337"/>
      <c r="AK100" s="214">
        <f>$C100</f>
        <v>12</v>
      </c>
      <c r="AL100" s="358" t="s">
        <v>175</v>
      </c>
      <c r="AM100" s="358"/>
      <c r="AN100" s="358"/>
      <c r="AO100" s="32"/>
      <c r="AP100" s="353"/>
      <c r="AQ100" s="355"/>
      <c r="AR100" s="166">
        <f>$C100</f>
        <v>12</v>
      </c>
      <c r="AS100" s="358" t="s">
        <v>532</v>
      </c>
      <c r="AT100" s="358"/>
      <c r="AU100" s="358"/>
      <c r="AV100" s="32"/>
      <c r="AW100" s="353"/>
      <c r="AX100" s="355"/>
      <c r="AY100" s="166">
        <f>$C100</f>
        <v>12</v>
      </c>
      <c r="AZ100" s="358" t="s">
        <v>531</v>
      </c>
      <c r="BA100" s="358"/>
      <c r="BB100" s="358"/>
      <c r="BC100" s="32"/>
      <c r="BD100" s="353"/>
      <c r="BE100" s="353"/>
      <c r="BF100" s="166">
        <f>$C100</f>
        <v>12</v>
      </c>
      <c r="BG100" s="358" t="s">
        <v>531</v>
      </c>
      <c r="BH100" s="358"/>
      <c r="BI100" s="358"/>
      <c r="BJ100" s="158"/>
      <c r="BK100" s="337"/>
      <c r="BL100" s="338"/>
      <c r="BM100" s="166">
        <f>$C100</f>
        <v>12</v>
      </c>
      <c r="BN100" s="358" t="s">
        <v>531</v>
      </c>
      <c r="BO100" s="358"/>
      <c r="BP100" s="358"/>
      <c r="BQ100" s="158"/>
      <c r="BR100" s="337"/>
      <c r="BS100" s="337"/>
      <c r="BT100" s="214">
        <f>$C100</f>
        <v>12</v>
      </c>
      <c r="BU100" s="358" t="s">
        <v>538</v>
      </c>
      <c r="BV100" s="358"/>
      <c r="BW100" s="358"/>
      <c r="BX100" s="158"/>
      <c r="BY100" s="337"/>
      <c r="BZ100" s="338"/>
      <c r="CA100" s="166">
        <f>$C100</f>
        <v>12</v>
      </c>
      <c r="CB100" s="358" t="s">
        <v>532</v>
      </c>
      <c r="CC100" s="358"/>
      <c r="CD100" s="358"/>
      <c r="CE100" s="158"/>
      <c r="CF100" s="337"/>
      <c r="CG100" s="338"/>
      <c r="CH100" s="166">
        <f>$C100</f>
        <v>12</v>
      </c>
      <c r="CI100" s="358" t="s">
        <v>532</v>
      </c>
      <c r="CJ100" s="358"/>
      <c r="CK100" s="358"/>
      <c r="CL100" s="158"/>
      <c r="CM100" s="337"/>
      <c r="CN100" s="338"/>
      <c r="CO100" s="166">
        <f>$C100</f>
        <v>12</v>
      </c>
      <c r="CP100" s="358" t="s">
        <v>173</v>
      </c>
      <c r="CQ100" s="358"/>
      <c r="CR100" s="358"/>
      <c r="CS100" s="158"/>
      <c r="CT100" s="337"/>
      <c r="CU100" s="338"/>
      <c r="CV100" s="166">
        <f>$C100</f>
        <v>12</v>
      </c>
      <c r="CW100" s="358" t="s">
        <v>531</v>
      </c>
      <c r="CX100" s="358"/>
      <c r="CY100" s="358"/>
      <c r="CZ100" s="158"/>
      <c r="DA100" s="337"/>
      <c r="DB100" s="338"/>
      <c r="DC100" s="166">
        <f>$C100</f>
        <v>12</v>
      </c>
      <c r="DD100" s="358" t="s">
        <v>531</v>
      </c>
      <c r="DE100" s="358"/>
      <c r="DF100" s="358"/>
      <c r="DG100" s="158"/>
      <c r="DH100" s="337"/>
      <c r="DI100" s="338"/>
      <c r="DJ100" s="166">
        <f>$C100</f>
        <v>12</v>
      </c>
      <c r="DK100" s="358" t="s">
        <v>531</v>
      </c>
      <c r="DL100" s="358"/>
      <c r="DM100" s="358"/>
      <c r="DN100" s="158"/>
      <c r="DO100" s="337"/>
      <c r="DP100" s="338"/>
      <c r="DQ100" s="166">
        <f>$C100</f>
        <v>12</v>
      </c>
      <c r="DR100" s="358" t="s">
        <v>173</v>
      </c>
      <c r="DS100" s="358"/>
      <c r="DT100" s="358"/>
      <c r="DU100" s="158"/>
      <c r="DV100" s="337"/>
      <c r="DW100" s="338"/>
      <c r="DX100" s="166">
        <f>$C100</f>
        <v>12</v>
      </c>
      <c r="DY100" s="358" t="s">
        <v>532</v>
      </c>
      <c r="DZ100" s="358"/>
      <c r="EA100" s="358"/>
      <c r="EB100" s="158"/>
      <c r="EC100" s="337"/>
      <c r="ED100" s="338"/>
      <c r="EE100" s="166">
        <f>$C100</f>
        <v>12</v>
      </c>
      <c r="EF100" s="358" t="s">
        <v>531</v>
      </c>
      <c r="EG100" s="358"/>
      <c r="EH100" s="358"/>
      <c r="EI100" s="158"/>
      <c r="EJ100" s="337"/>
      <c r="EK100" s="351"/>
      <c r="EL100" s="193">
        <f>$C100</f>
        <v>12</v>
      </c>
      <c r="EM100" s="358" t="s">
        <v>645</v>
      </c>
      <c r="EN100" s="358"/>
      <c r="EO100" s="358"/>
      <c r="EP100" s="158"/>
      <c r="EQ100" s="337"/>
      <c r="ER100" s="351"/>
      <c r="ES100" s="193">
        <f>$C100</f>
        <v>12</v>
      </c>
      <c r="ET100" s="358" t="s">
        <v>175</v>
      </c>
      <c r="EU100" s="358"/>
      <c r="EV100" s="358"/>
      <c r="EW100" s="32"/>
      <c r="EX100" s="353"/>
      <c r="EY100" s="355"/>
      <c r="EZ100" s="166">
        <f>$C100</f>
        <v>12</v>
      </c>
      <c r="FA100" s="358" t="s">
        <v>532</v>
      </c>
      <c r="FB100" s="358"/>
      <c r="FC100" s="358"/>
      <c r="FD100" s="32"/>
      <c r="FE100" s="353"/>
      <c r="FF100" s="353"/>
      <c r="FG100" s="166">
        <f>$C100</f>
        <v>12</v>
      </c>
      <c r="FH100" s="358" t="s">
        <v>532</v>
      </c>
      <c r="FI100" s="358"/>
      <c r="FJ100" s="358"/>
      <c r="FK100" s="32"/>
      <c r="FL100" s="337"/>
      <c r="FM100" s="338"/>
      <c r="FN100" s="166">
        <f>$C100</f>
        <v>12</v>
      </c>
      <c r="FO100" s="358" t="s">
        <v>532</v>
      </c>
      <c r="FP100" s="358"/>
      <c r="FQ100" s="358"/>
      <c r="FR100" s="32"/>
      <c r="FS100" s="337"/>
      <c r="FT100" s="337"/>
      <c r="FU100" s="214">
        <f>$C100</f>
        <v>12</v>
      </c>
      <c r="FV100" s="358" t="s">
        <v>532</v>
      </c>
      <c r="FW100" s="358"/>
      <c r="FX100" s="358"/>
      <c r="FY100" s="32"/>
      <c r="FZ100" s="337"/>
      <c r="GA100" s="337"/>
      <c r="GB100" s="166">
        <f>$C100</f>
        <v>12</v>
      </c>
      <c r="GC100" s="358" t="s">
        <v>532</v>
      </c>
      <c r="GD100" s="358"/>
      <c r="GE100" s="358"/>
      <c r="GF100" s="32"/>
      <c r="GG100" s="337"/>
      <c r="GH100" s="338"/>
      <c r="GI100" s="166">
        <f>$C100</f>
        <v>12</v>
      </c>
      <c r="GJ100" s="358" t="s">
        <v>532</v>
      </c>
      <c r="GK100" s="358"/>
      <c r="GL100" s="358"/>
      <c r="GM100" s="32"/>
      <c r="GN100" s="337"/>
      <c r="GO100" s="338"/>
      <c r="GP100" s="193">
        <f>$C100</f>
        <v>12</v>
      </c>
      <c r="GQ100" s="358" t="s">
        <v>175</v>
      </c>
      <c r="GR100" s="358"/>
      <c r="GS100" s="358"/>
      <c r="GT100" s="32"/>
      <c r="GU100" s="337"/>
      <c r="GV100" s="338"/>
      <c r="GW100" s="166">
        <f>$C100</f>
        <v>12</v>
      </c>
      <c r="GX100" s="358" t="s">
        <v>175</v>
      </c>
      <c r="GY100" s="358"/>
      <c r="GZ100" s="358"/>
      <c r="HA100" s="32"/>
      <c r="HB100" s="337"/>
      <c r="HC100" s="338"/>
      <c r="HD100" s="166">
        <f>$C100</f>
        <v>12</v>
      </c>
      <c r="HE100" s="358" t="s">
        <v>532</v>
      </c>
      <c r="HF100" s="358"/>
      <c r="HG100" s="358"/>
      <c r="HH100" s="32"/>
      <c r="HI100" s="337"/>
      <c r="HJ100" s="351"/>
      <c r="HK100" s="193">
        <f>$C100</f>
        <v>12</v>
      </c>
      <c r="HL100" s="358" t="s">
        <v>645</v>
      </c>
      <c r="HM100" s="358"/>
      <c r="HN100" s="358"/>
      <c r="HO100" s="32"/>
      <c r="HP100" s="337"/>
      <c r="HQ100" s="351"/>
      <c r="HR100" s="193"/>
      <c r="HS100" s="362"/>
      <c r="HT100" s="362"/>
      <c r="HU100" s="362"/>
      <c r="HV100" s="257"/>
      <c r="HW100" s="337"/>
      <c r="HX100" s="338"/>
    </row>
    <row r="101" spans="2:232" outlineLevel="1" x14ac:dyDescent="0.25">
      <c r="B101" s="32"/>
      <c r="C101" s="167"/>
      <c r="D101" s="167"/>
      <c r="E101" s="34"/>
      <c r="F101" s="168"/>
      <c r="G101" s="167"/>
      <c r="H101" s="168"/>
      <c r="I101" s="177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V101" s="107"/>
      <c r="W101" s="108"/>
      <c r="X101" s="108"/>
      <c r="Y101" s="108"/>
      <c r="Z101" s="108"/>
      <c r="AA101" s="108"/>
      <c r="AB101" s="108"/>
      <c r="AC101" s="109"/>
      <c r="AD101" s="169"/>
      <c r="AE101" s="365"/>
      <c r="AF101" s="365"/>
      <c r="AG101" s="365"/>
      <c r="AH101" s="30"/>
      <c r="AI101" s="340"/>
      <c r="AJ101" s="340"/>
      <c r="AK101" s="215"/>
      <c r="AL101" s="339"/>
      <c r="AM101" s="339"/>
      <c r="AN101" s="339"/>
      <c r="AO101" s="30"/>
      <c r="AP101" s="340"/>
      <c r="AQ101" s="341"/>
      <c r="AR101" s="169"/>
      <c r="AS101" s="339"/>
      <c r="AT101" s="339"/>
      <c r="AU101" s="339"/>
      <c r="AV101" s="30"/>
      <c r="AW101" s="340"/>
      <c r="AX101" s="341"/>
      <c r="AY101" s="169"/>
      <c r="AZ101" s="339"/>
      <c r="BA101" s="339"/>
      <c r="BB101" s="339"/>
      <c r="BC101" s="30"/>
      <c r="BD101" s="340"/>
      <c r="BE101" s="340"/>
      <c r="BF101" s="169"/>
      <c r="BG101" s="339"/>
      <c r="BH101" s="339"/>
      <c r="BI101" s="339"/>
      <c r="BJ101" s="30"/>
      <c r="BK101" s="340"/>
      <c r="BL101" s="341"/>
      <c r="BM101" s="169"/>
      <c r="BN101" s="339"/>
      <c r="BO101" s="339"/>
      <c r="BP101" s="339"/>
      <c r="BQ101" s="30"/>
      <c r="BR101" s="340"/>
      <c r="BS101" s="340"/>
      <c r="BT101" s="215"/>
      <c r="BU101" s="339"/>
      <c r="BV101" s="339"/>
      <c r="BW101" s="339"/>
      <c r="BX101" s="30"/>
      <c r="BY101" s="340"/>
      <c r="BZ101" s="341"/>
      <c r="CA101" s="169"/>
      <c r="CB101" s="339"/>
      <c r="CC101" s="339"/>
      <c r="CD101" s="339"/>
      <c r="CE101" s="30"/>
      <c r="CF101" s="340"/>
      <c r="CG101" s="341"/>
      <c r="CH101" s="169"/>
      <c r="CI101" s="339"/>
      <c r="CJ101" s="339"/>
      <c r="CK101" s="339"/>
      <c r="CL101" s="30"/>
      <c r="CM101" s="340"/>
      <c r="CN101" s="341"/>
      <c r="CO101" s="169"/>
      <c r="CP101" s="339"/>
      <c r="CQ101" s="339"/>
      <c r="CR101" s="339"/>
      <c r="CS101" s="30"/>
      <c r="CT101" s="340"/>
      <c r="CU101" s="341"/>
      <c r="CV101" s="169"/>
      <c r="CW101" s="339"/>
      <c r="CX101" s="339"/>
      <c r="CY101" s="339"/>
      <c r="CZ101" s="30"/>
      <c r="DA101" s="340"/>
      <c r="DB101" s="341"/>
      <c r="DC101" s="192"/>
      <c r="DD101" s="339"/>
      <c r="DE101" s="339"/>
      <c r="DF101" s="339"/>
      <c r="DG101" s="30"/>
      <c r="DH101" s="340"/>
      <c r="DI101" s="341"/>
      <c r="DJ101" s="169"/>
      <c r="DK101" s="339"/>
      <c r="DL101" s="339"/>
      <c r="DM101" s="339"/>
      <c r="DN101" s="30"/>
      <c r="DO101" s="340"/>
      <c r="DP101" s="341"/>
      <c r="DQ101" s="169"/>
      <c r="DR101" s="339"/>
      <c r="DS101" s="339"/>
      <c r="DT101" s="339"/>
      <c r="DU101" s="30"/>
      <c r="DV101" s="340"/>
      <c r="DW101" s="341"/>
      <c r="DX101" s="192"/>
      <c r="DY101" s="339"/>
      <c r="DZ101" s="339"/>
      <c r="EA101" s="339"/>
      <c r="EB101" s="30"/>
      <c r="EC101" s="340"/>
      <c r="ED101" s="341"/>
      <c r="EE101" s="169"/>
      <c r="EF101" s="339"/>
      <c r="EG101" s="339"/>
      <c r="EH101" s="339"/>
      <c r="EI101" s="30"/>
      <c r="EJ101" s="340"/>
      <c r="EK101" s="360"/>
      <c r="EL101" s="192"/>
      <c r="EM101" s="339"/>
      <c r="EN101" s="339"/>
      <c r="EO101" s="339"/>
      <c r="EP101" s="30"/>
      <c r="EQ101" s="340"/>
      <c r="ER101" s="360"/>
      <c r="ES101" s="192"/>
      <c r="ET101" s="339"/>
      <c r="EU101" s="339"/>
      <c r="EV101" s="339"/>
      <c r="EW101" s="30"/>
      <c r="EX101" s="340"/>
      <c r="EY101" s="341"/>
      <c r="EZ101" s="169"/>
      <c r="FA101" s="339"/>
      <c r="FB101" s="339"/>
      <c r="FC101" s="339"/>
      <c r="FD101" s="30"/>
      <c r="FE101" s="340"/>
      <c r="FF101" s="340"/>
      <c r="FG101" s="169"/>
      <c r="FH101" s="339"/>
      <c r="FI101" s="339"/>
      <c r="FJ101" s="339"/>
      <c r="FK101" s="30"/>
      <c r="FL101" s="340"/>
      <c r="FM101" s="341"/>
      <c r="FN101" s="169"/>
      <c r="FO101" s="339"/>
      <c r="FP101" s="339"/>
      <c r="FQ101" s="339"/>
      <c r="FR101" s="30"/>
      <c r="FS101" s="340"/>
      <c r="FT101" s="340"/>
      <c r="FU101" s="215"/>
      <c r="FV101" s="339"/>
      <c r="FW101" s="339"/>
      <c r="FX101" s="339"/>
      <c r="FY101" s="30"/>
      <c r="FZ101" s="340"/>
      <c r="GA101" s="340"/>
      <c r="GB101" s="169"/>
      <c r="GC101" s="339"/>
      <c r="GD101" s="339"/>
      <c r="GE101" s="339"/>
      <c r="GF101" s="30"/>
      <c r="GG101" s="340"/>
      <c r="GH101" s="341"/>
      <c r="GI101" s="169"/>
      <c r="GJ101" s="339"/>
      <c r="GK101" s="339"/>
      <c r="GL101" s="339"/>
      <c r="GM101" s="30"/>
      <c r="GN101" s="340"/>
      <c r="GO101" s="341"/>
      <c r="GP101" s="192"/>
      <c r="GQ101" s="339"/>
      <c r="GR101" s="339"/>
      <c r="GS101" s="339"/>
      <c r="GT101" s="30"/>
      <c r="GU101" s="340"/>
      <c r="GV101" s="341"/>
      <c r="GW101" s="169"/>
      <c r="GX101" s="339"/>
      <c r="GY101" s="339"/>
      <c r="GZ101" s="339"/>
      <c r="HA101" s="30"/>
      <c r="HB101" s="340"/>
      <c r="HC101" s="341"/>
      <c r="HD101" s="169"/>
      <c r="HE101" s="339"/>
      <c r="HF101" s="339"/>
      <c r="HG101" s="339"/>
      <c r="HH101" s="30"/>
      <c r="HI101" s="340"/>
      <c r="HJ101" s="360"/>
      <c r="HK101" s="192"/>
      <c r="HL101" s="339"/>
      <c r="HM101" s="339"/>
      <c r="HN101" s="339"/>
      <c r="HO101" s="30"/>
      <c r="HP101" s="340"/>
      <c r="HQ101" s="360"/>
      <c r="HR101" s="192"/>
      <c r="HS101" s="339"/>
      <c r="HT101" s="339"/>
      <c r="HU101" s="339"/>
      <c r="HV101" s="258"/>
      <c r="HW101" s="340"/>
      <c r="HX101" s="341"/>
    </row>
    <row r="102" spans="2:232" ht="15" customHeight="1" outlineLevel="1" x14ac:dyDescent="0.25">
      <c r="B102" s="147"/>
      <c r="C102" s="147"/>
      <c r="D102" s="148"/>
      <c r="E102" s="147"/>
      <c r="F102" s="149"/>
      <c r="G102" s="148"/>
      <c r="H102" s="149"/>
      <c r="I102" s="174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V102" s="150" t="s">
        <v>170</v>
      </c>
      <c r="W102" s="151"/>
      <c r="X102" s="151"/>
      <c r="Y102" s="151"/>
      <c r="Z102" s="151"/>
      <c r="AA102" s="151"/>
      <c r="AB102" s="369"/>
      <c r="AC102" s="370"/>
      <c r="AD102" s="342" t="s">
        <v>217</v>
      </c>
      <c r="AE102" s="343"/>
      <c r="AF102" s="343"/>
      <c r="AG102" s="343"/>
      <c r="AH102" s="343"/>
      <c r="AI102" s="152"/>
      <c r="AJ102" s="194">
        <f>COUNTA(AD107:AD108)</f>
        <v>1</v>
      </c>
      <c r="AK102" s="366" t="s">
        <v>217</v>
      </c>
      <c r="AL102" s="343"/>
      <c r="AM102" s="343"/>
      <c r="AN102" s="343"/>
      <c r="AO102" s="343"/>
      <c r="AP102" s="152"/>
      <c r="AQ102" s="155">
        <f>COUNTA(AK107:AK108)</f>
        <v>1</v>
      </c>
      <c r="AR102" s="342" t="s">
        <v>217</v>
      </c>
      <c r="AS102" s="343"/>
      <c r="AT102" s="343"/>
      <c r="AU102" s="343"/>
      <c r="AV102" s="343"/>
      <c r="AW102" s="152"/>
      <c r="AX102" s="155">
        <f>COUNTA(AR107:AR108)</f>
        <v>1</v>
      </c>
      <c r="AY102" s="342" t="s">
        <v>217</v>
      </c>
      <c r="AZ102" s="343"/>
      <c r="BA102" s="343"/>
      <c r="BB102" s="343"/>
      <c r="BC102" s="343"/>
      <c r="BD102" s="152"/>
      <c r="BE102" s="194">
        <f>COUNTA(AY107:AY108)</f>
        <v>1</v>
      </c>
      <c r="BF102" s="342" t="s">
        <v>217</v>
      </c>
      <c r="BG102" s="343"/>
      <c r="BH102" s="343"/>
      <c r="BI102" s="343"/>
      <c r="BJ102" s="343"/>
      <c r="BK102" s="152"/>
      <c r="BL102" s="155">
        <f>COUNTA(BF107:BF108)</f>
        <v>1</v>
      </c>
      <c r="BM102" s="342" t="s">
        <v>217</v>
      </c>
      <c r="BN102" s="343"/>
      <c r="BO102" s="343"/>
      <c r="BP102" s="343"/>
      <c r="BQ102" s="343"/>
      <c r="BR102" s="152"/>
      <c r="BS102" s="194">
        <f>COUNTA(BM107:BM108)</f>
        <v>1</v>
      </c>
      <c r="BT102" s="366" t="s">
        <v>217</v>
      </c>
      <c r="BU102" s="343"/>
      <c r="BV102" s="343"/>
      <c r="BW102" s="343"/>
      <c r="BX102" s="343"/>
      <c r="BY102" s="152"/>
      <c r="BZ102" s="155">
        <f>COUNTA(BT107:BT108)</f>
        <v>1</v>
      </c>
      <c r="CA102" s="342" t="s">
        <v>217</v>
      </c>
      <c r="CB102" s="343"/>
      <c r="CC102" s="343"/>
      <c r="CD102" s="343"/>
      <c r="CE102" s="343"/>
      <c r="CF102" s="152"/>
      <c r="CG102" s="155">
        <f>COUNTA(CA107:CA108)</f>
        <v>1</v>
      </c>
      <c r="CH102" s="342" t="s">
        <v>217</v>
      </c>
      <c r="CI102" s="343"/>
      <c r="CJ102" s="343"/>
      <c r="CK102" s="343"/>
      <c r="CL102" s="343"/>
      <c r="CM102" s="152"/>
      <c r="CN102" s="155">
        <f>COUNTA(CH107:CH108)</f>
        <v>1</v>
      </c>
      <c r="CO102" s="342" t="s">
        <v>217</v>
      </c>
      <c r="CP102" s="343"/>
      <c r="CQ102" s="343"/>
      <c r="CR102" s="343"/>
      <c r="CS102" s="343"/>
      <c r="CT102" s="152"/>
      <c r="CU102" s="155">
        <f>COUNTA(CO107:CO108)</f>
        <v>1</v>
      </c>
      <c r="CV102" s="342" t="s">
        <v>217</v>
      </c>
      <c r="CW102" s="343"/>
      <c r="CX102" s="343"/>
      <c r="CY102" s="343"/>
      <c r="CZ102" s="343"/>
      <c r="DA102" s="152"/>
      <c r="DB102" s="155">
        <f>COUNTA(CV107:CV108)</f>
        <v>1</v>
      </c>
      <c r="DC102" s="343" t="s">
        <v>217</v>
      </c>
      <c r="DD102" s="343"/>
      <c r="DE102" s="343"/>
      <c r="DF102" s="343"/>
      <c r="DG102" s="343"/>
      <c r="DH102" s="152"/>
      <c r="DI102" s="155">
        <f>COUNTA(DC107:DC108)</f>
        <v>1</v>
      </c>
      <c r="DJ102" s="342" t="s">
        <v>217</v>
      </c>
      <c r="DK102" s="343"/>
      <c r="DL102" s="343"/>
      <c r="DM102" s="343"/>
      <c r="DN102" s="343"/>
      <c r="DO102" s="152"/>
      <c r="DP102" s="155">
        <f>COUNTA(DJ107:DJ108)</f>
        <v>1</v>
      </c>
      <c r="DQ102" s="342" t="s">
        <v>217</v>
      </c>
      <c r="DR102" s="343"/>
      <c r="DS102" s="343"/>
      <c r="DT102" s="343"/>
      <c r="DU102" s="343"/>
      <c r="DV102" s="152"/>
      <c r="DW102" s="155">
        <f>COUNTA(DQ107:DQ108)</f>
        <v>1</v>
      </c>
      <c r="DX102" s="343" t="s">
        <v>217</v>
      </c>
      <c r="DY102" s="343"/>
      <c r="DZ102" s="343"/>
      <c r="EA102" s="343"/>
      <c r="EB102" s="343"/>
      <c r="EC102" s="152"/>
      <c r="ED102" s="155">
        <f>COUNTA(DX107:DX108)</f>
        <v>1</v>
      </c>
      <c r="EE102" s="342" t="s">
        <v>217</v>
      </c>
      <c r="EF102" s="343"/>
      <c r="EG102" s="343"/>
      <c r="EH102" s="343"/>
      <c r="EI102" s="343"/>
      <c r="EJ102" s="152"/>
      <c r="EK102" s="218">
        <f>COUNTA(EE107:EE108)</f>
        <v>1</v>
      </c>
      <c r="EL102" s="343" t="s">
        <v>217</v>
      </c>
      <c r="EM102" s="343"/>
      <c r="EN102" s="343"/>
      <c r="EO102" s="343"/>
      <c r="EP102" s="343"/>
      <c r="EQ102" s="152"/>
      <c r="ER102" s="218">
        <f>COUNTA(EL107:EL108)</f>
        <v>1</v>
      </c>
      <c r="ES102" s="343" t="s">
        <v>217</v>
      </c>
      <c r="ET102" s="343"/>
      <c r="EU102" s="343"/>
      <c r="EV102" s="343"/>
      <c r="EW102" s="343"/>
      <c r="EX102" s="152"/>
      <c r="EY102" s="155">
        <f>COUNTA(ES107:ES108)</f>
        <v>1</v>
      </c>
      <c r="EZ102" s="342" t="s">
        <v>245</v>
      </c>
      <c r="FA102" s="343"/>
      <c r="FB102" s="343"/>
      <c r="FC102" s="343"/>
      <c r="FD102" s="343"/>
      <c r="FE102" s="152"/>
      <c r="FF102" s="194">
        <f>COUNTA(EZ107:EZ108)</f>
        <v>1</v>
      </c>
      <c r="FG102" s="342" t="s">
        <v>217</v>
      </c>
      <c r="FH102" s="343"/>
      <c r="FI102" s="343"/>
      <c r="FJ102" s="343"/>
      <c r="FK102" s="343"/>
      <c r="FL102" s="152"/>
      <c r="FM102" s="155">
        <f>COUNTA(FG107:FG108)</f>
        <v>1</v>
      </c>
      <c r="FN102" s="342" t="s">
        <v>217</v>
      </c>
      <c r="FO102" s="343"/>
      <c r="FP102" s="343"/>
      <c r="FQ102" s="343"/>
      <c r="FR102" s="343"/>
      <c r="FS102" s="152"/>
      <c r="FT102" s="194">
        <f>COUNTA(FN107:FN108)</f>
        <v>1</v>
      </c>
      <c r="FU102" s="366" t="s">
        <v>217</v>
      </c>
      <c r="FV102" s="343"/>
      <c r="FW102" s="343"/>
      <c r="FX102" s="343"/>
      <c r="FY102" s="343"/>
      <c r="FZ102" s="152"/>
      <c r="GA102" s="194">
        <f>COUNTA(FU107:FU108)</f>
        <v>1</v>
      </c>
      <c r="GB102" s="342" t="s">
        <v>217</v>
      </c>
      <c r="GC102" s="343"/>
      <c r="GD102" s="343"/>
      <c r="GE102" s="343"/>
      <c r="GF102" s="343"/>
      <c r="GG102" s="152"/>
      <c r="GH102" s="155">
        <f>COUNTA(GB107:GB108)</f>
        <v>1</v>
      </c>
      <c r="GI102" s="342" t="s">
        <v>217</v>
      </c>
      <c r="GJ102" s="343"/>
      <c r="GK102" s="343"/>
      <c r="GL102" s="343"/>
      <c r="GM102" s="343"/>
      <c r="GN102" s="152"/>
      <c r="GO102" s="155">
        <f>COUNTA(GI107:GI108)</f>
        <v>1</v>
      </c>
      <c r="GP102" s="343" t="s">
        <v>217</v>
      </c>
      <c r="GQ102" s="343"/>
      <c r="GR102" s="343"/>
      <c r="GS102" s="343"/>
      <c r="GT102" s="343"/>
      <c r="GU102" s="152"/>
      <c r="GV102" s="155">
        <f>COUNTA(GP107:GP108)</f>
        <v>1</v>
      </c>
      <c r="GW102" s="342" t="s">
        <v>217</v>
      </c>
      <c r="GX102" s="343"/>
      <c r="GY102" s="343"/>
      <c r="GZ102" s="343"/>
      <c r="HA102" s="343"/>
      <c r="HB102" s="152"/>
      <c r="HC102" s="155">
        <f>COUNTA(GW107:GW108)</f>
        <v>1</v>
      </c>
      <c r="HD102" s="342" t="s">
        <v>217</v>
      </c>
      <c r="HE102" s="343"/>
      <c r="HF102" s="343"/>
      <c r="HG102" s="343"/>
      <c r="HH102" s="343"/>
      <c r="HI102" s="152"/>
      <c r="HJ102" s="218">
        <f>COUNTA(HD107:HD108)</f>
        <v>1</v>
      </c>
      <c r="HK102" s="343" t="s">
        <v>217</v>
      </c>
      <c r="HL102" s="343"/>
      <c r="HM102" s="343"/>
      <c r="HN102" s="343"/>
      <c r="HO102" s="343"/>
      <c r="HP102" s="152"/>
      <c r="HQ102" s="218">
        <f>COUNTA(HK107:HK108)</f>
        <v>1</v>
      </c>
      <c r="HR102" s="152"/>
      <c r="HS102" s="152"/>
      <c r="HT102" s="153"/>
      <c r="HU102" s="152"/>
      <c r="HV102" s="255"/>
      <c r="HW102" s="152"/>
      <c r="HX102" s="155">
        <f>COUNTA(HR107:HR108)</f>
        <v>0</v>
      </c>
    </row>
    <row r="103" spans="2:232" ht="15" customHeight="1" outlineLevel="1" x14ac:dyDescent="0.25">
      <c r="B103" s="147"/>
      <c r="C103" s="147"/>
      <c r="D103" s="147"/>
      <c r="E103" s="147"/>
      <c r="F103" s="157"/>
      <c r="G103" s="147"/>
      <c r="H103" s="157"/>
      <c r="I103" s="175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V103" s="185" t="s">
        <v>224</v>
      </c>
      <c r="W103" s="186"/>
      <c r="X103" s="186"/>
      <c r="Y103" s="186"/>
      <c r="Z103" s="186"/>
      <c r="AA103" s="186"/>
      <c r="AB103" s="187"/>
      <c r="AC103" s="188"/>
      <c r="AD103" s="344" t="s">
        <v>225</v>
      </c>
      <c r="AE103" s="345"/>
      <c r="AF103" s="345"/>
      <c r="AG103" s="181" t="s">
        <v>75</v>
      </c>
      <c r="AH103" s="346" t="s">
        <v>296</v>
      </c>
      <c r="AI103" s="346"/>
      <c r="AJ103" s="346"/>
      <c r="AK103" s="363" t="s">
        <v>227</v>
      </c>
      <c r="AL103" s="345"/>
      <c r="AM103" s="345"/>
      <c r="AN103" s="181" t="s">
        <v>75</v>
      </c>
      <c r="AO103" s="346" t="s">
        <v>327</v>
      </c>
      <c r="AP103" s="346"/>
      <c r="AQ103" s="349"/>
      <c r="AR103" s="344" t="s">
        <v>227</v>
      </c>
      <c r="AS103" s="345"/>
      <c r="AT103" s="345"/>
      <c r="AU103" s="181" t="s">
        <v>75</v>
      </c>
      <c r="AV103" s="346" t="s">
        <v>327</v>
      </c>
      <c r="AW103" s="346"/>
      <c r="AX103" s="349"/>
      <c r="AY103" s="344" t="s">
        <v>227</v>
      </c>
      <c r="AZ103" s="345"/>
      <c r="BA103" s="345"/>
      <c r="BB103" s="181" t="s">
        <v>75</v>
      </c>
      <c r="BC103" s="346" t="s">
        <v>327</v>
      </c>
      <c r="BD103" s="346"/>
      <c r="BE103" s="349"/>
      <c r="BF103" s="344" t="s">
        <v>227</v>
      </c>
      <c r="BG103" s="345"/>
      <c r="BH103" s="345"/>
      <c r="BI103" s="181" t="s">
        <v>75</v>
      </c>
      <c r="BJ103" s="346" t="s">
        <v>327</v>
      </c>
      <c r="BK103" s="346"/>
      <c r="BL103" s="349"/>
      <c r="BM103" s="344" t="s">
        <v>227</v>
      </c>
      <c r="BN103" s="345"/>
      <c r="BO103" s="345"/>
      <c r="BP103" s="181" t="s">
        <v>75</v>
      </c>
      <c r="BQ103" s="346" t="s">
        <v>327</v>
      </c>
      <c r="BR103" s="346"/>
      <c r="BS103" s="349"/>
      <c r="BT103" s="363" t="s">
        <v>232</v>
      </c>
      <c r="BU103" s="345"/>
      <c r="BV103" s="345"/>
      <c r="BW103" s="181" t="s">
        <v>75</v>
      </c>
      <c r="BX103" s="346" t="s">
        <v>345</v>
      </c>
      <c r="BY103" s="346"/>
      <c r="BZ103" s="349"/>
      <c r="CA103" s="344" t="s">
        <v>232</v>
      </c>
      <c r="CB103" s="345"/>
      <c r="CC103" s="345"/>
      <c r="CD103" s="181" t="s">
        <v>75</v>
      </c>
      <c r="CE103" s="346" t="s">
        <v>345</v>
      </c>
      <c r="CF103" s="346"/>
      <c r="CG103" s="349"/>
      <c r="CH103" s="344" t="s">
        <v>232</v>
      </c>
      <c r="CI103" s="345"/>
      <c r="CJ103" s="345"/>
      <c r="CK103" s="181" t="s">
        <v>75</v>
      </c>
      <c r="CL103" s="346" t="s">
        <v>345</v>
      </c>
      <c r="CM103" s="346"/>
      <c r="CN103" s="349"/>
      <c r="CO103" s="344" t="s">
        <v>232</v>
      </c>
      <c r="CP103" s="345"/>
      <c r="CQ103" s="345"/>
      <c r="CR103" s="181" t="s">
        <v>75</v>
      </c>
      <c r="CS103" s="346" t="s">
        <v>345</v>
      </c>
      <c r="CT103" s="346"/>
      <c r="CU103" s="349"/>
      <c r="CV103" s="344" t="s">
        <v>232</v>
      </c>
      <c r="CW103" s="345"/>
      <c r="CX103" s="345"/>
      <c r="CY103" s="181" t="s">
        <v>75</v>
      </c>
      <c r="CZ103" s="346" t="s">
        <v>345</v>
      </c>
      <c r="DA103" s="346"/>
      <c r="DB103" s="349"/>
      <c r="DC103" s="344" t="s">
        <v>232</v>
      </c>
      <c r="DD103" s="345"/>
      <c r="DE103" s="345"/>
      <c r="DF103" s="181" t="s">
        <v>75</v>
      </c>
      <c r="DG103" s="346" t="s">
        <v>345</v>
      </c>
      <c r="DH103" s="346"/>
      <c r="DI103" s="349"/>
      <c r="DJ103" s="344" t="s">
        <v>232</v>
      </c>
      <c r="DK103" s="345"/>
      <c r="DL103" s="345"/>
      <c r="DM103" s="181" t="s">
        <v>75</v>
      </c>
      <c r="DN103" s="346" t="s">
        <v>345</v>
      </c>
      <c r="DO103" s="346"/>
      <c r="DP103" s="349"/>
      <c r="DQ103" s="345" t="s">
        <v>232</v>
      </c>
      <c r="DR103" s="345"/>
      <c r="DS103" s="345"/>
      <c r="DT103" s="181" t="s">
        <v>75</v>
      </c>
      <c r="DU103" s="346" t="s">
        <v>345</v>
      </c>
      <c r="DV103" s="346"/>
      <c r="DW103" s="349"/>
      <c r="DX103" s="345" t="s">
        <v>232</v>
      </c>
      <c r="DY103" s="345"/>
      <c r="DZ103" s="345"/>
      <c r="EA103" s="181" t="s">
        <v>75</v>
      </c>
      <c r="EB103" s="346" t="s">
        <v>345</v>
      </c>
      <c r="EC103" s="346"/>
      <c r="ED103" s="349"/>
      <c r="EE103" s="345" t="s">
        <v>232</v>
      </c>
      <c r="EF103" s="345"/>
      <c r="EG103" s="345"/>
      <c r="EH103" s="181" t="s">
        <v>75</v>
      </c>
      <c r="EI103" s="346" t="s">
        <v>345</v>
      </c>
      <c r="EJ103" s="346"/>
      <c r="EK103" s="347"/>
      <c r="EL103" s="345" t="s">
        <v>539</v>
      </c>
      <c r="EM103" s="345"/>
      <c r="EN103" s="345"/>
      <c r="EO103" s="181" t="s">
        <v>75</v>
      </c>
      <c r="EP103" s="346" t="s">
        <v>345</v>
      </c>
      <c r="EQ103" s="346"/>
      <c r="ER103" s="347"/>
      <c r="ES103" s="345" t="s">
        <v>243</v>
      </c>
      <c r="ET103" s="345"/>
      <c r="EU103" s="345"/>
      <c r="EV103" s="181" t="s">
        <v>75</v>
      </c>
      <c r="EW103" s="346" t="s">
        <v>373</v>
      </c>
      <c r="EX103" s="346"/>
      <c r="EY103" s="349"/>
      <c r="EZ103" s="344" t="s">
        <v>243</v>
      </c>
      <c r="FA103" s="345"/>
      <c r="FB103" s="345"/>
      <c r="FC103" s="181" t="s">
        <v>75</v>
      </c>
      <c r="FD103" s="346" t="s">
        <v>373</v>
      </c>
      <c r="FE103" s="346"/>
      <c r="FF103" s="346"/>
      <c r="FG103" s="344" t="s">
        <v>243</v>
      </c>
      <c r="FH103" s="345"/>
      <c r="FI103" s="345"/>
      <c r="FJ103" s="181" t="s">
        <v>75</v>
      </c>
      <c r="FK103" s="346" t="s">
        <v>373</v>
      </c>
      <c r="FL103" s="346"/>
      <c r="FM103" s="349"/>
      <c r="FN103" s="344" t="s">
        <v>243</v>
      </c>
      <c r="FO103" s="345"/>
      <c r="FP103" s="345"/>
      <c r="FQ103" s="181" t="s">
        <v>75</v>
      </c>
      <c r="FR103" s="346" t="s">
        <v>373</v>
      </c>
      <c r="FS103" s="346"/>
      <c r="FT103" s="349"/>
      <c r="FU103" s="363" t="s">
        <v>246</v>
      </c>
      <c r="FV103" s="345"/>
      <c r="FW103" s="345"/>
      <c r="FX103" s="181" t="s">
        <v>75</v>
      </c>
      <c r="FY103" s="346" t="s">
        <v>396</v>
      </c>
      <c r="FZ103" s="346"/>
      <c r="GA103" s="346"/>
      <c r="GB103" s="344" t="s">
        <v>246</v>
      </c>
      <c r="GC103" s="345"/>
      <c r="GD103" s="345"/>
      <c r="GE103" s="181" t="s">
        <v>75</v>
      </c>
      <c r="GF103" s="346" t="s">
        <v>396</v>
      </c>
      <c r="GG103" s="346"/>
      <c r="GH103" s="349"/>
      <c r="GI103" s="344" t="s">
        <v>246</v>
      </c>
      <c r="GJ103" s="345"/>
      <c r="GK103" s="345"/>
      <c r="GL103" s="181" t="s">
        <v>75</v>
      </c>
      <c r="GM103" s="346" t="s">
        <v>396</v>
      </c>
      <c r="GN103" s="346"/>
      <c r="GO103" s="349"/>
      <c r="GP103" s="345" t="s">
        <v>246</v>
      </c>
      <c r="GQ103" s="345"/>
      <c r="GR103" s="345"/>
      <c r="GS103" s="181" t="s">
        <v>75</v>
      </c>
      <c r="GT103" s="346" t="s">
        <v>396</v>
      </c>
      <c r="GU103" s="346"/>
      <c r="GV103" s="349"/>
      <c r="GW103" s="344" t="s">
        <v>246</v>
      </c>
      <c r="GX103" s="345"/>
      <c r="GY103" s="345"/>
      <c r="GZ103" s="181" t="s">
        <v>75</v>
      </c>
      <c r="HA103" s="346" t="s">
        <v>396</v>
      </c>
      <c r="HB103" s="346"/>
      <c r="HC103" s="349"/>
      <c r="HD103" s="344" t="s">
        <v>246</v>
      </c>
      <c r="HE103" s="345"/>
      <c r="HF103" s="345"/>
      <c r="HG103" s="181" t="s">
        <v>75</v>
      </c>
      <c r="HH103" s="346" t="s">
        <v>396</v>
      </c>
      <c r="HI103" s="346"/>
      <c r="HJ103" s="347"/>
      <c r="HK103" s="345" t="s">
        <v>541</v>
      </c>
      <c r="HL103" s="345"/>
      <c r="HM103" s="345"/>
      <c r="HN103" s="181" t="s">
        <v>75</v>
      </c>
      <c r="HO103" s="346" t="s">
        <v>396</v>
      </c>
      <c r="HP103" s="346"/>
      <c r="HQ103" s="347"/>
      <c r="HR103" s="181"/>
      <c r="HS103" s="181"/>
      <c r="HT103" s="182"/>
      <c r="HU103" s="181"/>
      <c r="HV103" s="256"/>
      <c r="HW103" s="181"/>
      <c r="HX103" s="184"/>
    </row>
    <row r="104" spans="2:232" ht="15" customHeight="1" outlineLevel="1" x14ac:dyDescent="0.25">
      <c r="B104" s="147"/>
      <c r="C104" s="147"/>
      <c r="D104" s="147"/>
      <c r="E104" s="147"/>
      <c r="F104" s="157"/>
      <c r="G104" s="147"/>
      <c r="H104" s="157"/>
      <c r="I104" s="175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V104" s="161" t="s">
        <v>199</v>
      </c>
      <c r="W104" s="12"/>
      <c r="X104" s="12"/>
      <c r="Y104" s="12"/>
      <c r="Z104" s="12"/>
      <c r="AA104" s="12"/>
      <c r="AB104" s="12"/>
      <c r="AC104" s="14"/>
      <c r="AD104" s="352" t="s">
        <v>201</v>
      </c>
      <c r="AE104" s="353"/>
      <c r="AF104" s="353"/>
      <c r="AG104" s="1" t="s">
        <v>57</v>
      </c>
      <c r="AH104" s="337" t="s">
        <v>221</v>
      </c>
      <c r="AI104" s="337"/>
      <c r="AJ104" s="337"/>
      <c r="AK104" s="364" t="s">
        <v>202</v>
      </c>
      <c r="AL104" s="337"/>
      <c r="AM104" s="337"/>
      <c r="AN104" s="1" t="s">
        <v>57</v>
      </c>
      <c r="AO104" s="337" t="s">
        <v>221</v>
      </c>
      <c r="AP104" s="337"/>
      <c r="AQ104" s="338"/>
      <c r="AR104" s="350" t="s">
        <v>221</v>
      </c>
      <c r="AS104" s="337"/>
      <c r="AT104" s="337"/>
      <c r="AU104" s="1" t="s">
        <v>57</v>
      </c>
      <c r="AV104" s="337" t="s">
        <v>228</v>
      </c>
      <c r="AW104" s="337"/>
      <c r="AX104" s="338"/>
      <c r="AY104" s="350" t="s">
        <v>228</v>
      </c>
      <c r="AZ104" s="337"/>
      <c r="BA104" s="337"/>
      <c r="BB104" s="1" t="s">
        <v>57</v>
      </c>
      <c r="BC104" s="337" t="s">
        <v>352</v>
      </c>
      <c r="BD104" s="337"/>
      <c r="BE104" s="337"/>
      <c r="BF104" s="350" t="s">
        <v>556</v>
      </c>
      <c r="BG104" s="337"/>
      <c r="BH104" s="337"/>
      <c r="BI104" s="191"/>
      <c r="BJ104" s="337"/>
      <c r="BK104" s="337"/>
      <c r="BL104" s="338"/>
      <c r="BM104" s="350" t="s">
        <v>353</v>
      </c>
      <c r="BN104" s="337"/>
      <c r="BO104" s="337"/>
      <c r="BQ104" s="337"/>
      <c r="BR104" s="337"/>
      <c r="BS104" s="337"/>
      <c r="BT104" s="364" t="s">
        <v>221</v>
      </c>
      <c r="BU104" s="337"/>
      <c r="BV104" s="337"/>
      <c r="BW104" s="1" t="s">
        <v>57</v>
      </c>
      <c r="BX104" s="337" t="s">
        <v>231</v>
      </c>
      <c r="BY104" s="337"/>
      <c r="BZ104" s="338"/>
      <c r="CA104" s="337" t="s">
        <v>231</v>
      </c>
      <c r="CB104" s="337"/>
      <c r="CC104" s="337"/>
      <c r="CD104" s="1" t="s">
        <v>57</v>
      </c>
      <c r="CE104" s="337" t="s">
        <v>221</v>
      </c>
      <c r="CF104" s="337"/>
      <c r="CG104" s="337"/>
      <c r="CH104" s="350" t="s">
        <v>221</v>
      </c>
      <c r="CI104" s="337"/>
      <c r="CJ104" s="337"/>
      <c r="CK104" s="1" t="s">
        <v>57</v>
      </c>
      <c r="CL104" s="337" t="s">
        <v>234</v>
      </c>
      <c r="CM104" s="337"/>
      <c r="CN104" s="338"/>
      <c r="CO104" s="350" t="s">
        <v>262</v>
      </c>
      <c r="CP104" s="337"/>
      <c r="CQ104" s="337"/>
      <c r="CR104" s="1" t="s">
        <v>57</v>
      </c>
      <c r="CS104" s="337" t="s">
        <v>233</v>
      </c>
      <c r="CT104" s="337"/>
      <c r="CU104" s="338"/>
      <c r="CV104" s="350" t="s">
        <v>228</v>
      </c>
      <c r="CW104" s="337"/>
      <c r="CX104" s="337"/>
      <c r="CY104" s="1" t="s">
        <v>57</v>
      </c>
      <c r="CZ104" s="337" t="s">
        <v>231</v>
      </c>
      <c r="DA104" s="337"/>
      <c r="DB104" s="338"/>
      <c r="DC104" s="350" t="s">
        <v>231</v>
      </c>
      <c r="DD104" s="337"/>
      <c r="DE104" s="337"/>
      <c r="DF104" s="1" t="s">
        <v>57</v>
      </c>
      <c r="DG104" s="337" t="s">
        <v>252</v>
      </c>
      <c r="DH104" s="337"/>
      <c r="DI104" s="338"/>
      <c r="DJ104" s="350" t="s">
        <v>252</v>
      </c>
      <c r="DK104" s="337"/>
      <c r="DL104" s="337"/>
      <c r="DM104" s="1" t="s">
        <v>57</v>
      </c>
      <c r="DN104" s="337" t="s">
        <v>234</v>
      </c>
      <c r="DO104" s="337"/>
      <c r="DP104" s="338"/>
      <c r="DQ104" s="350" t="s">
        <v>233</v>
      </c>
      <c r="DR104" s="337"/>
      <c r="DS104" s="337"/>
      <c r="DT104" s="191"/>
      <c r="DU104" s="337"/>
      <c r="DV104" s="337"/>
      <c r="DW104" s="338"/>
      <c r="DX104" s="337" t="s">
        <v>252</v>
      </c>
      <c r="DY104" s="337"/>
      <c r="DZ104" s="337"/>
      <c r="EA104" s="1" t="s">
        <v>57</v>
      </c>
      <c r="EB104" s="337" t="s">
        <v>221</v>
      </c>
      <c r="EC104" s="337"/>
      <c r="ED104" s="337"/>
      <c r="EE104" s="350" t="s">
        <v>231</v>
      </c>
      <c r="EF104" s="337"/>
      <c r="EG104" s="337"/>
      <c r="EH104" s="191"/>
      <c r="EI104" s="337"/>
      <c r="EJ104" s="337"/>
      <c r="EK104" s="351"/>
      <c r="EL104" s="337" t="s">
        <v>383</v>
      </c>
      <c r="EM104" s="337"/>
      <c r="EN104" s="337"/>
      <c r="EO104" s="191"/>
      <c r="EP104" s="337"/>
      <c r="EQ104" s="337"/>
      <c r="ER104" s="351"/>
      <c r="ES104" s="337" t="s">
        <v>384</v>
      </c>
      <c r="ET104" s="337"/>
      <c r="EU104" s="337"/>
      <c r="EV104" s="1" t="s">
        <v>57</v>
      </c>
      <c r="EW104" s="337" t="s">
        <v>228</v>
      </c>
      <c r="EX104" s="337"/>
      <c r="EY104" s="338"/>
      <c r="EZ104" s="350" t="s">
        <v>228</v>
      </c>
      <c r="FA104" s="337"/>
      <c r="FB104" s="337"/>
      <c r="FC104" s="1" t="s">
        <v>57</v>
      </c>
      <c r="FD104" s="337" t="s">
        <v>352</v>
      </c>
      <c r="FE104" s="337"/>
      <c r="FF104" s="337"/>
      <c r="FG104" s="350" t="s">
        <v>352</v>
      </c>
      <c r="FH104" s="337"/>
      <c r="FI104" s="337"/>
      <c r="FJ104" s="191"/>
      <c r="FK104" s="337"/>
      <c r="FL104" s="337"/>
      <c r="FM104" s="338"/>
      <c r="FN104" s="350" t="s">
        <v>352</v>
      </c>
      <c r="FO104" s="337"/>
      <c r="FP104" s="337"/>
      <c r="FQ104" s="191"/>
      <c r="FR104" s="337"/>
      <c r="FS104" s="337"/>
      <c r="FT104" s="338"/>
      <c r="FU104" s="364" t="s">
        <v>252</v>
      </c>
      <c r="FV104" s="337"/>
      <c r="FW104" s="337"/>
      <c r="FX104" s="1" t="s">
        <v>57</v>
      </c>
      <c r="FY104" s="337" t="s">
        <v>231</v>
      </c>
      <c r="FZ104" s="337"/>
      <c r="GA104" s="337"/>
      <c r="GB104" s="350" t="s">
        <v>231</v>
      </c>
      <c r="GC104" s="337"/>
      <c r="GD104" s="337"/>
      <c r="GE104" s="1" t="s">
        <v>57</v>
      </c>
      <c r="GF104" s="337" t="s">
        <v>252</v>
      </c>
      <c r="GG104" s="337"/>
      <c r="GH104" s="338"/>
      <c r="GI104" s="350" t="s">
        <v>252</v>
      </c>
      <c r="GJ104" s="337"/>
      <c r="GK104" s="337"/>
      <c r="GL104" s="1" t="s">
        <v>57</v>
      </c>
      <c r="GM104" s="337" t="s">
        <v>234</v>
      </c>
      <c r="GN104" s="337"/>
      <c r="GO104" s="338"/>
      <c r="GP104" s="337" t="s">
        <v>233</v>
      </c>
      <c r="GQ104" s="337"/>
      <c r="GR104" s="337"/>
      <c r="GS104" s="191"/>
      <c r="GT104" s="337"/>
      <c r="GU104" s="337"/>
      <c r="GV104" s="338"/>
      <c r="GW104" s="350" t="s">
        <v>382</v>
      </c>
      <c r="GX104" s="337"/>
      <c r="GY104" s="337"/>
      <c r="GZ104" s="1" t="s">
        <v>57</v>
      </c>
      <c r="HA104" s="337" t="s">
        <v>426</v>
      </c>
      <c r="HB104" s="337"/>
      <c r="HC104" s="338"/>
      <c r="HD104" s="350" t="s">
        <v>231</v>
      </c>
      <c r="HE104" s="337"/>
      <c r="HF104" s="337"/>
      <c r="HG104" s="191"/>
      <c r="HH104" s="337"/>
      <c r="HI104" s="337"/>
      <c r="HJ104" s="351"/>
      <c r="HK104" s="337" t="s">
        <v>383</v>
      </c>
      <c r="HL104" s="337"/>
      <c r="HM104" s="337"/>
      <c r="HO104" s="337"/>
      <c r="HP104" s="337"/>
      <c r="HQ104" s="351"/>
      <c r="HR104" s="337"/>
      <c r="HS104" s="337"/>
      <c r="HT104" s="337"/>
      <c r="HV104" s="337"/>
      <c r="HW104" s="337"/>
      <c r="HX104" s="338"/>
    </row>
    <row r="105" spans="2:232" ht="15" customHeight="1" outlineLevel="1" x14ac:dyDescent="0.25">
      <c r="B105" s="147"/>
      <c r="C105" s="147"/>
      <c r="D105" s="147"/>
      <c r="E105" s="147"/>
      <c r="F105" s="157"/>
      <c r="G105" s="147"/>
      <c r="H105" s="157"/>
      <c r="I105" s="175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V105" s="161" t="s">
        <v>200</v>
      </c>
      <c r="W105" s="12"/>
      <c r="X105" s="12"/>
      <c r="Y105" s="12"/>
      <c r="Z105" s="12"/>
      <c r="AA105" s="12"/>
      <c r="AB105" s="12"/>
      <c r="AC105" s="14"/>
      <c r="AD105" s="352" t="s">
        <v>201</v>
      </c>
      <c r="AE105" s="353"/>
      <c r="AF105" s="353"/>
      <c r="AG105" s="1" t="s">
        <v>57</v>
      </c>
      <c r="AH105" s="353" t="s">
        <v>203</v>
      </c>
      <c r="AI105" s="353"/>
      <c r="AJ105" s="353"/>
      <c r="AK105" s="367" t="s">
        <v>203</v>
      </c>
      <c r="AL105" s="353"/>
      <c r="AM105" s="353"/>
      <c r="AO105" s="353"/>
      <c r="AP105" s="353"/>
      <c r="AQ105" s="355"/>
      <c r="AR105" s="352" t="s">
        <v>203</v>
      </c>
      <c r="AS105" s="353"/>
      <c r="AT105" s="353"/>
      <c r="AV105" s="353"/>
      <c r="AW105" s="353"/>
      <c r="AX105" s="355"/>
      <c r="AY105" s="352" t="s">
        <v>203</v>
      </c>
      <c r="AZ105" s="353"/>
      <c r="BA105" s="353"/>
      <c r="BC105" s="353"/>
      <c r="BD105" s="353"/>
      <c r="BE105" s="353"/>
      <c r="BF105" s="352" t="s">
        <v>203</v>
      </c>
      <c r="BG105" s="353"/>
      <c r="BH105" s="353"/>
      <c r="BJ105" s="353"/>
      <c r="BK105" s="353"/>
      <c r="BL105" s="355"/>
      <c r="BM105" s="352" t="s">
        <v>203</v>
      </c>
      <c r="BN105" s="353"/>
      <c r="BO105" s="353"/>
      <c r="BQ105" s="353"/>
      <c r="BR105" s="353"/>
      <c r="BS105" s="353"/>
      <c r="BT105" s="367" t="s">
        <v>203</v>
      </c>
      <c r="BU105" s="353"/>
      <c r="BV105" s="353"/>
      <c r="BX105" s="353"/>
      <c r="BY105" s="353"/>
      <c r="BZ105" s="355"/>
      <c r="CA105" s="352" t="s">
        <v>203</v>
      </c>
      <c r="CB105" s="353"/>
      <c r="CC105" s="353"/>
      <c r="CE105" s="353"/>
      <c r="CF105" s="353"/>
      <c r="CG105" s="353"/>
      <c r="CH105" s="352" t="s">
        <v>203</v>
      </c>
      <c r="CI105" s="353"/>
      <c r="CJ105" s="353"/>
      <c r="CL105" s="353"/>
      <c r="CM105" s="353"/>
      <c r="CN105" s="355"/>
      <c r="CO105" s="352" t="s">
        <v>203</v>
      </c>
      <c r="CP105" s="353"/>
      <c r="CQ105" s="353"/>
      <c r="CS105" s="353"/>
      <c r="CT105" s="353"/>
      <c r="CU105" s="355"/>
      <c r="CV105" s="352" t="s">
        <v>203</v>
      </c>
      <c r="CW105" s="353"/>
      <c r="CX105" s="353"/>
      <c r="CZ105" s="353"/>
      <c r="DA105" s="353"/>
      <c r="DB105" s="353"/>
      <c r="DC105" s="352" t="s">
        <v>203</v>
      </c>
      <c r="DD105" s="353"/>
      <c r="DE105" s="353"/>
      <c r="DG105" s="353"/>
      <c r="DH105" s="353"/>
      <c r="DI105" s="355"/>
      <c r="DJ105" s="352" t="s">
        <v>203</v>
      </c>
      <c r="DK105" s="353"/>
      <c r="DL105" s="353"/>
      <c r="DN105" s="353"/>
      <c r="DO105" s="353"/>
      <c r="DP105" s="355"/>
      <c r="DQ105" s="352" t="s">
        <v>203</v>
      </c>
      <c r="DR105" s="353"/>
      <c r="DS105" s="353"/>
      <c r="DU105" s="353"/>
      <c r="DV105" s="353"/>
      <c r="DW105" s="355"/>
      <c r="DX105" s="352" t="s">
        <v>203</v>
      </c>
      <c r="DY105" s="353"/>
      <c r="DZ105" s="353"/>
      <c r="EB105" s="353"/>
      <c r="EC105" s="353"/>
      <c r="ED105" s="353"/>
      <c r="EE105" s="352" t="s">
        <v>203</v>
      </c>
      <c r="EF105" s="353"/>
      <c r="EG105" s="353"/>
      <c r="EI105" s="353"/>
      <c r="EJ105" s="353"/>
      <c r="EK105" s="354"/>
      <c r="EL105" s="353" t="s">
        <v>203</v>
      </c>
      <c r="EM105" s="353"/>
      <c r="EN105" s="353"/>
      <c r="EP105" s="353"/>
      <c r="EQ105" s="353"/>
      <c r="ER105" s="354"/>
      <c r="ES105" s="353" t="s">
        <v>203</v>
      </c>
      <c r="ET105" s="353"/>
      <c r="EU105" s="353"/>
      <c r="EW105" s="353"/>
      <c r="EX105" s="353"/>
      <c r="EY105" s="355"/>
      <c r="EZ105" s="352" t="s">
        <v>203</v>
      </c>
      <c r="FA105" s="353"/>
      <c r="FB105" s="353"/>
      <c r="FD105" s="353"/>
      <c r="FE105" s="353"/>
      <c r="FF105" s="353"/>
      <c r="FG105" s="352" t="s">
        <v>203</v>
      </c>
      <c r="FH105" s="353"/>
      <c r="FI105" s="353"/>
      <c r="FK105" s="353"/>
      <c r="FL105" s="353"/>
      <c r="FM105" s="355"/>
      <c r="FN105" s="352" t="s">
        <v>203</v>
      </c>
      <c r="FO105" s="353"/>
      <c r="FP105" s="353"/>
      <c r="FR105" s="353"/>
      <c r="FS105" s="353"/>
      <c r="FT105" s="355"/>
      <c r="FU105" s="367" t="s">
        <v>203</v>
      </c>
      <c r="FV105" s="353"/>
      <c r="FW105" s="353"/>
      <c r="FY105" s="353"/>
      <c r="FZ105" s="353"/>
      <c r="GA105" s="353"/>
      <c r="GB105" s="352" t="s">
        <v>203</v>
      </c>
      <c r="GC105" s="353"/>
      <c r="GD105" s="353"/>
      <c r="GF105" s="353"/>
      <c r="GG105" s="353"/>
      <c r="GH105" s="355"/>
      <c r="GI105" s="352" t="s">
        <v>203</v>
      </c>
      <c r="GJ105" s="353"/>
      <c r="GK105" s="353"/>
      <c r="GM105" s="353"/>
      <c r="GN105" s="353"/>
      <c r="GO105" s="355"/>
      <c r="GP105" s="353" t="s">
        <v>203</v>
      </c>
      <c r="GQ105" s="353"/>
      <c r="GR105" s="353"/>
      <c r="GT105" s="353"/>
      <c r="GU105" s="353"/>
      <c r="GV105" s="355"/>
      <c r="GW105" s="352" t="s">
        <v>203</v>
      </c>
      <c r="GX105" s="353"/>
      <c r="GY105" s="353"/>
      <c r="HA105" s="353"/>
      <c r="HB105" s="353"/>
      <c r="HC105" s="355"/>
      <c r="HD105" s="352" t="s">
        <v>203</v>
      </c>
      <c r="HE105" s="353"/>
      <c r="HF105" s="353"/>
      <c r="HH105" s="353"/>
      <c r="HI105" s="353"/>
      <c r="HJ105" s="354"/>
      <c r="HK105" s="353" t="s">
        <v>203</v>
      </c>
      <c r="HL105" s="353"/>
      <c r="HM105" s="353"/>
      <c r="HO105" s="353"/>
      <c r="HP105" s="353"/>
      <c r="HQ105" s="354"/>
      <c r="HR105" s="353"/>
      <c r="HS105" s="353"/>
      <c r="HT105" s="353"/>
      <c r="HV105" s="353"/>
      <c r="HW105" s="353"/>
      <c r="HX105" s="355"/>
    </row>
    <row r="106" spans="2:232" ht="15" customHeight="1" outlineLevel="1" x14ac:dyDescent="0.25">
      <c r="B106" s="147"/>
      <c r="C106" s="147"/>
      <c r="D106" s="147"/>
      <c r="E106" s="147"/>
      <c r="F106" s="157"/>
      <c r="G106" s="147"/>
      <c r="H106" s="157"/>
      <c r="I106" s="175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V106" s="162"/>
      <c r="W106" s="159"/>
      <c r="X106" s="159"/>
      <c r="Y106" s="159"/>
      <c r="Z106" s="159"/>
      <c r="AA106" s="159"/>
      <c r="AB106" s="159"/>
      <c r="AC106" s="160"/>
      <c r="AD106" s="361"/>
      <c r="AE106" s="356"/>
      <c r="AF106" s="356"/>
      <c r="AG106" s="163"/>
      <c r="AH106" s="356"/>
      <c r="AI106" s="356"/>
      <c r="AJ106" s="356"/>
      <c r="AK106" s="368"/>
      <c r="AL106" s="356"/>
      <c r="AM106" s="356"/>
      <c r="AN106" s="163"/>
      <c r="AO106" s="356"/>
      <c r="AP106" s="356"/>
      <c r="AQ106" s="357"/>
      <c r="AR106" s="361"/>
      <c r="AS106" s="356"/>
      <c r="AT106" s="356"/>
      <c r="AU106" s="163"/>
      <c r="AV106" s="356"/>
      <c r="AW106" s="356"/>
      <c r="AX106" s="357"/>
      <c r="AY106" s="361"/>
      <c r="AZ106" s="356"/>
      <c r="BA106" s="356"/>
      <c r="BB106" s="163"/>
      <c r="BC106" s="356"/>
      <c r="BD106" s="356"/>
      <c r="BE106" s="356"/>
      <c r="BF106" s="361"/>
      <c r="BG106" s="356"/>
      <c r="BH106" s="356"/>
      <c r="BI106" s="163"/>
      <c r="BJ106" s="356"/>
      <c r="BK106" s="356"/>
      <c r="BL106" s="357"/>
      <c r="BM106" s="361"/>
      <c r="BN106" s="356"/>
      <c r="BO106" s="356"/>
      <c r="BP106" s="163"/>
      <c r="BQ106" s="356"/>
      <c r="BR106" s="356"/>
      <c r="BS106" s="356"/>
      <c r="BT106" s="368"/>
      <c r="BU106" s="356"/>
      <c r="BV106" s="356"/>
      <c r="BW106" s="163"/>
      <c r="BX106" s="356"/>
      <c r="BY106" s="356"/>
      <c r="BZ106" s="357"/>
      <c r="CA106" s="361"/>
      <c r="CB106" s="356"/>
      <c r="CC106" s="356"/>
      <c r="CD106" s="163"/>
      <c r="CE106" s="356"/>
      <c r="CF106" s="356"/>
      <c r="CG106" s="357"/>
      <c r="CH106" s="361"/>
      <c r="CI106" s="356"/>
      <c r="CJ106" s="356"/>
      <c r="CK106" s="163"/>
      <c r="CL106" s="356"/>
      <c r="CM106" s="356"/>
      <c r="CN106" s="357"/>
      <c r="CO106" s="361"/>
      <c r="CP106" s="356"/>
      <c r="CQ106" s="356"/>
      <c r="CR106" s="163"/>
      <c r="CS106" s="356"/>
      <c r="CT106" s="356"/>
      <c r="CU106" s="357"/>
      <c r="CV106" s="361"/>
      <c r="CW106" s="356"/>
      <c r="CX106" s="356"/>
      <c r="CY106" s="163"/>
      <c r="CZ106" s="356"/>
      <c r="DA106" s="356"/>
      <c r="DB106" s="357"/>
      <c r="DC106" s="356"/>
      <c r="DD106" s="356"/>
      <c r="DE106" s="356"/>
      <c r="DF106" s="163"/>
      <c r="DG106" s="356"/>
      <c r="DH106" s="356"/>
      <c r="DI106" s="357"/>
      <c r="DJ106" s="361"/>
      <c r="DK106" s="356"/>
      <c r="DL106" s="356"/>
      <c r="DM106" s="163"/>
      <c r="DN106" s="356"/>
      <c r="DO106" s="356"/>
      <c r="DP106" s="357"/>
      <c r="DQ106" s="361"/>
      <c r="DR106" s="356"/>
      <c r="DS106" s="356"/>
      <c r="DT106" s="163"/>
      <c r="DU106" s="356"/>
      <c r="DV106" s="356"/>
      <c r="DW106" s="357"/>
      <c r="DX106" s="356"/>
      <c r="DY106" s="356"/>
      <c r="DZ106" s="356"/>
      <c r="EA106" s="163"/>
      <c r="EB106" s="356"/>
      <c r="EC106" s="356"/>
      <c r="ED106" s="357"/>
      <c r="EE106" s="361"/>
      <c r="EF106" s="356"/>
      <c r="EG106" s="356"/>
      <c r="EH106" s="163"/>
      <c r="EI106" s="356"/>
      <c r="EJ106" s="356"/>
      <c r="EK106" s="359"/>
      <c r="EL106" s="356"/>
      <c r="EM106" s="356"/>
      <c r="EN106" s="356"/>
      <c r="EO106" s="163"/>
      <c r="EP106" s="356"/>
      <c r="EQ106" s="356"/>
      <c r="ER106" s="359"/>
      <c r="ES106" s="356"/>
      <c r="ET106" s="356"/>
      <c r="EU106" s="356"/>
      <c r="EV106" s="163"/>
      <c r="EW106" s="356"/>
      <c r="EX106" s="356"/>
      <c r="EY106" s="357"/>
      <c r="EZ106" s="361"/>
      <c r="FA106" s="356"/>
      <c r="FB106" s="356"/>
      <c r="FC106" s="163"/>
      <c r="FD106" s="356"/>
      <c r="FE106" s="356"/>
      <c r="FF106" s="356"/>
      <c r="FG106" s="361"/>
      <c r="FH106" s="356"/>
      <c r="FI106" s="356"/>
      <c r="FJ106" s="163"/>
      <c r="FK106" s="356"/>
      <c r="FL106" s="356"/>
      <c r="FM106" s="357"/>
      <c r="FN106" s="361"/>
      <c r="FO106" s="356"/>
      <c r="FP106" s="356"/>
      <c r="FQ106" s="163"/>
      <c r="FR106" s="356"/>
      <c r="FS106" s="356"/>
      <c r="FT106" s="356"/>
      <c r="FU106" s="368"/>
      <c r="FV106" s="356"/>
      <c r="FW106" s="356"/>
      <c r="FX106" s="163"/>
      <c r="FY106" s="356"/>
      <c r="FZ106" s="356"/>
      <c r="GA106" s="356"/>
      <c r="GB106" s="361"/>
      <c r="GC106" s="356"/>
      <c r="GD106" s="356"/>
      <c r="GE106" s="163"/>
      <c r="GF106" s="356"/>
      <c r="GG106" s="356"/>
      <c r="GH106" s="357"/>
      <c r="GI106" s="361"/>
      <c r="GJ106" s="356"/>
      <c r="GK106" s="356"/>
      <c r="GL106" s="163"/>
      <c r="GM106" s="356"/>
      <c r="GN106" s="356"/>
      <c r="GO106" s="357"/>
      <c r="GP106" s="356"/>
      <c r="GQ106" s="356"/>
      <c r="GR106" s="356"/>
      <c r="GS106" s="163"/>
      <c r="GT106" s="356"/>
      <c r="GU106" s="356"/>
      <c r="GV106" s="357"/>
      <c r="GW106" s="361"/>
      <c r="GX106" s="356"/>
      <c r="GY106" s="356"/>
      <c r="GZ106" s="163"/>
      <c r="HA106" s="356"/>
      <c r="HB106" s="356"/>
      <c r="HC106" s="357"/>
      <c r="HD106" s="361"/>
      <c r="HE106" s="356"/>
      <c r="HF106" s="356"/>
      <c r="HG106" s="163"/>
      <c r="HH106" s="356"/>
      <c r="HI106" s="356"/>
      <c r="HJ106" s="359"/>
      <c r="HK106" s="356"/>
      <c r="HL106" s="356"/>
      <c r="HM106" s="356"/>
      <c r="HN106" s="163"/>
      <c r="HO106" s="356"/>
      <c r="HP106" s="356"/>
      <c r="HQ106" s="359"/>
      <c r="HR106" s="356"/>
      <c r="HS106" s="356"/>
      <c r="HT106" s="356"/>
      <c r="HU106" s="163"/>
      <c r="HV106" s="356"/>
      <c r="HW106" s="356"/>
      <c r="HX106" s="357"/>
    </row>
    <row r="107" spans="2:232" outlineLevel="1" x14ac:dyDescent="0.25">
      <c r="B107" s="32"/>
      <c r="C107" s="333">
        <f>MAX(C100:C101)+1</f>
        <v>13</v>
      </c>
      <c r="D107" s="164" t="s">
        <v>21</v>
      </c>
      <c r="E107" s="34"/>
      <c r="F107" s="165" t="s">
        <v>529</v>
      </c>
      <c r="G107" s="165" t="s">
        <v>529</v>
      </c>
      <c r="H107" s="165" t="s">
        <v>98</v>
      </c>
      <c r="I107" s="176" t="s">
        <v>85</v>
      </c>
      <c r="J107" s="165" t="s">
        <v>171</v>
      </c>
      <c r="K107" s="165">
        <v>2031</v>
      </c>
      <c r="L107" s="165">
        <v>3</v>
      </c>
      <c r="M107" s="165"/>
      <c r="N107" s="165"/>
      <c r="O107" s="165"/>
      <c r="P107" s="165"/>
      <c r="Q107" s="165"/>
      <c r="R107" s="165"/>
      <c r="S107" s="165"/>
      <c r="T107" s="165"/>
      <c r="V107" s="11" t="s">
        <v>283</v>
      </c>
      <c r="W107" s="12"/>
      <c r="X107" s="12"/>
      <c r="Y107" s="12"/>
      <c r="Z107" s="12"/>
      <c r="AA107" s="12"/>
      <c r="AB107" s="12"/>
      <c r="AC107" s="14"/>
      <c r="AD107" s="166">
        <f>$C107</f>
        <v>13</v>
      </c>
      <c r="AE107" s="358" t="s">
        <v>175</v>
      </c>
      <c r="AF107" s="358"/>
      <c r="AG107" s="358"/>
      <c r="AH107" s="158"/>
      <c r="AI107" s="337"/>
      <c r="AJ107" s="337"/>
      <c r="AK107" s="214">
        <f>$C107</f>
        <v>13</v>
      </c>
      <c r="AL107" s="358" t="s">
        <v>175</v>
      </c>
      <c r="AM107" s="358"/>
      <c r="AN107" s="358"/>
      <c r="AO107" s="32"/>
      <c r="AP107" s="353"/>
      <c r="AQ107" s="355"/>
      <c r="AR107" s="166">
        <f>$C107</f>
        <v>13</v>
      </c>
      <c r="AS107" s="358" t="s">
        <v>532</v>
      </c>
      <c r="AT107" s="358"/>
      <c r="AU107" s="358"/>
      <c r="AV107" s="32"/>
      <c r="AW107" s="353"/>
      <c r="AX107" s="355"/>
      <c r="AY107" s="166">
        <f>$C107</f>
        <v>13</v>
      </c>
      <c r="AZ107" s="358" t="s">
        <v>531</v>
      </c>
      <c r="BA107" s="358"/>
      <c r="BB107" s="358"/>
      <c r="BC107" s="32"/>
      <c r="BD107" s="353"/>
      <c r="BE107" s="353"/>
      <c r="BF107" s="166">
        <f>$C107</f>
        <v>13</v>
      </c>
      <c r="BG107" s="358" t="s">
        <v>531</v>
      </c>
      <c r="BH107" s="358"/>
      <c r="BI107" s="358"/>
      <c r="BJ107" s="158"/>
      <c r="BK107" s="337"/>
      <c r="BL107" s="338"/>
      <c r="BM107" s="166">
        <f>$C107</f>
        <v>13</v>
      </c>
      <c r="BN107" s="358" t="s">
        <v>531</v>
      </c>
      <c r="BO107" s="358"/>
      <c r="BP107" s="358"/>
      <c r="BQ107" s="158"/>
      <c r="BR107" s="337"/>
      <c r="BS107" s="337"/>
      <c r="BT107" s="214">
        <f>$C107</f>
        <v>13</v>
      </c>
      <c r="BU107" s="358" t="s">
        <v>538</v>
      </c>
      <c r="BV107" s="358"/>
      <c r="BW107" s="358"/>
      <c r="BX107" s="158"/>
      <c r="BY107" s="337"/>
      <c r="BZ107" s="338"/>
      <c r="CA107" s="166">
        <f>$C107</f>
        <v>13</v>
      </c>
      <c r="CB107" s="358" t="s">
        <v>532</v>
      </c>
      <c r="CC107" s="358"/>
      <c r="CD107" s="358"/>
      <c r="CE107" s="158"/>
      <c r="CF107" s="337"/>
      <c r="CG107" s="338"/>
      <c r="CH107" s="166">
        <f>$C107</f>
        <v>13</v>
      </c>
      <c r="CI107" s="358" t="s">
        <v>532</v>
      </c>
      <c r="CJ107" s="358"/>
      <c r="CK107" s="358"/>
      <c r="CL107" s="158"/>
      <c r="CM107" s="337"/>
      <c r="CN107" s="338"/>
      <c r="CO107" s="166">
        <f>$C107</f>
        <v>13</v>
      </c>
      <c r="CP107" s="358" t="s">
        <v>173</v>
      </c>
      <c r="CQ107" s="358"/>
      <c r="CR107" s="358"/>
      <c r="CS107" s="158"/>
      <c r="CT107" s="337"/>
      <c r="CU107" s="338"/>
      <c r="CV107" s="166">
        <f>$C107</f>
        <v>13</v>
      </c>
      <c r="CW107" s="358" t="s">
        <v>531</v>
      </c>
      <c r="CX107" s="358"/>
      <c r="CY107" s="358"/>
      <c r="CZ107" s="158"/>
      <c r="DA107" s="337"/>
      <c r="DB107" s="338"/>
      <c r="DC107" s="166">
        <f>$C107</f>
        <v>13</v>
      </c>
      <c r="DD107" s="358" t="s">
        <v>531</v>
      </c>
      <c r="DE107" s="358"/>
      <c r="DF107" s="358"/>
      <c r="DG107" s="158"/>
      <c r="DH107" s="337"/>
      <c r="DI107" s="338"/>
      <c r="DJ107" s="166">
        <f>$C107</f>
        <v>13</v>
      </c>
      <c r="DK107" s="358" t="s">
        <v>531</v>
      </c>
      <c r="DL107" s="358"/>
      <c r="DM107" s="358"/>
      <c r="DN107" s="158"/>
      <c r="DO107" s="337"/>
      <c r="DP107" s="338"/>
      <c r="DQ107" s="166">
        <f>$C107</f>
        <v>13</v>
      </c>
      <c r="DR107" s="358" t="s">
        <v>173</v>
      </c>
      <c r="DS107" s="358"/>
      <c r="DT107" s="358"/>
      <c r="DU107" s="158"/>
      <c r="DV107" s="337"/>
      <c r="DW107" s="338"/>
      <c r="DX107" s="166">
        <f>$C107</f>
        <v>13</v>
      </c>
      <c r="DY107" s="358" t="s">
        <v>532</v>
      </c>
      <c r="DZ107" s="358"/>
      <c r="EA107" s="358"/>
      <c r="EB107" s="158"/>
      <c r="EC107" s="337"/>
      <c r="ED107" s="338"/>
      <c r="EE107" s="166">
        <f>$C107</f>
        <v>13</v>
      </c>
      <c r="EF107" s="358" t="s">
        <v>531</v>
      </c>
      <c r="EG107" s="358"/>
      <c r="EH107" s="358"/>
      <c r="EI107" s="158"/>
      <c r="EJ107" s="337"/>
      <c r="EK107" s="351"/>
      <c r="EL107" s="193">
        <f>$C107</f>
        <v>13</v>
      </c>
      <c r="EM107" s="358" t="s">
        <v>645</v>
      </c>
      <c r="EN107" s="358"/>
      <c r="EO107" s="358"/>
      <c r="EP107" s="158"/>
      <c r="EQ107" s="337"/>
      <c r="ER107" s="351"/>
      <c r="ES107" s="193">
        <f>$C107</f>
        <v>13</v>
      </c>
      <c r="ET107" s="358" t="s">
        <v>175</v>
      </c>
      <c r="EU107" s="358"/>
      <c r="EV107" s="358"/>
      <c r="EW107" s="32"/>
      <c r="EX107" s="353"/>
      <c r="EY107" s="355"/>
      <c r="EZ107" s="166">
        <f>$C107</f>
        <v>13</v>
      </c>
      <c r="FA107" s="358" t="s">
        <v>532</v>
      </c>
      <c r="FB107" s="358"/>
      <c r="FC107" s="358"/>
      <c r="FD107" s="32"/>
      <c r="FE107" s="353"/>
      <c r="FF107" s="353"/>
      <c r="FG107" s="166">
        <f>$C107</f>
        <v>13</v>
      </c>
      <c r="FH107" s="358" t="s">
        <v>532</v>
      </c>
      <c r="FI107" s="358"/>
      <c r="FJ107" s="358"/>
      <c r="FK107" s="32"/>
      <c r="FL107" s="337"/>
      <c r="FM107" s="338"/>
      <c r="FN107" s="166">
        <f>$C107</f>
        <v>13</v>
      </c>
      <c r="FO107" s="358" t="s">
        <v>532</v>
      </c>
      <c r="FP107" s="358"/>
      <c r="FQ107" s="358"/>
      <c r="FR107" s="32"/>
      <c r="FS107" s="337"/>
      <c r="FT107" s="337"/>
      <c r="FU107" s="214">
        <f>$C107</f>
        <v>13</v>
      </c>
      <c r="FV107" s="358" t="s">
        <v>532</v>
      </c>
      <c r="FW107" s="358"/>
      <c r="FX107" s="358"/>
      <c r="FY107" s="32"/>
      <c r="FZ107" s="337"/>
      <c r="GA107" s="337"/>
      <c r="GB107" s="166">
        <f>$C107</f>
        <v>13</v>
      </c>
      <c r="GC107" s="358" t="s">
        <v>532</v>
      </c>
      <c r="GD107" s="358"/>
      <c r="GE107" s="358"/>
      <c r="GF107" s="32"/>
      <c r="GG107" s="337"/>
      <c r="GH107" s="338"/>
      <c r="GI107" s="166">
        <f>$C107</f>
        <v>13</v>
      </c>
      <c r="GJ107" s="358" t="s">
        <v>532</v>
      </c>
      <c r="GK107" s="358"/>
      <c r="GL107" s="358"/>
      <c r="GM107" s="32"/>
      <c r="GN107" s="337"/>
      <c r="GO107" s="338"/>
      <c r="GP107" s="193">
        <f>$C107</f>
        <v>13</v>
      </c>
      <c r="GQ107" s="358" t="s">
        <v>175</v>
      </c>
      <c r="GR107" s="358"/>
      <c r="GS107" s="358"/>
      <c r="GT107" s="32"/>
      <c r="GU107" s="337"/>
      <c r="GV107" s="338"/>
      <c r="GW107" s="166">
        <f>$C107</f>
        <v>13</v>
      </c>
      <c r="GX107" s="358" t="s">
        <v>175</v>
      </c>
      <c r="GY107" s="358"/>
      <c r="GZ107" s="358"/>
      <c r="HA107" s="32"/>
      <c r="HB107" s="337"/>
      <c r="HC107" s="338"/>
      <c r="HD107" s="166">
        <f>$C107</f>
        <v>13</v>
      </c>
      <c r="HE107" s="358" t="s">
        <v>532</v>
      </c>
      <c r="HF107" s="358"/>
      <c r="HG107" s="358"/>
      <c r="HH107" s="32"/>
      <c r="HI107" s="337"/>
      <c r="HJ107" s="351"/>
      <c r="HK107" s="193">
        <f>$C107</f>
        <v>13</v>
      </c>
      <c r="HL107" s="358" t="s">
        <v>645</v>
      </c>
      <c r="HM107" s="358"/>
      <c r="HN107" s="358"/>
      <c r="HO107" s="32"/>
      <c r="HP107" s="337"/>
      <c r="HQ107" s="351"/>
      <c r="HR107" s="193"/>
      <c r="HS107" s="362"/>
      <c r="HT107" s="362"/>
      <c r="HU107" s="362"/>
      <c r="HV107" s="257"/>
      <c r="HW107" s="337"/>
      <c r="HX107" s="338"/>
    </row>
    <row r="108" spans="2:232" outlineLevel="1" x14ac:dyDescent="0.25">
      <c r="B108" s="32"/>
      <c r="C108" s="167"/>
      <c r="D108" s="167"/>
      <c r="E108" s="34"/>
      <c r="F108" s="168"/>
      <c r="G108" s="167"/>
      <c r="H108" s="168"/>
      <c r="I108" s="177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V108" s="107"/>
      <c r="W108" s="108"/>
      <c r="X108" s="108"/>
      <c r="Y108" s="108"/>
      <c r="Z108" s="108"/>
      <c r="AA108" s="108"/>
      <c r="AB108" s="108"/>
      <c r="AC108" s="109"/>
      <c r="AD108" s="169"/>
      <c r="AE108" s="365"/>
      <c r="AF108" s="365"/>
      <c r="AG108" s="365"/>
      <c r="AH108" s="30"/>
      <c r="AI108" s="340"/>
      <c r="AJ108" s="340"/>
      <c r="AK108" s="215"/>
      <c r="AL108" s="339"/>
      <c r="AM108" s="339"/>
      <c r="AN108" s="339"/>
      <c r="AO108" s="30"/>
      <c r="AP108" s="340"/>
      <c r="AQ108" s="341"/>
      <c r="AR108" s="169"/>
      <c r="AS108" s="339"/>
      <c r="AT108" s="339"/>
      <c r="AU108" s="339"/>
      <c r="AV108" s="30"/>
      <c r="AW108" s="340"/>
      <c r="AX108" s="341"/>
      <c r="AY108" s="169"/>
      <c r="AZ108" s="339"/>
      <c r="BA108" s="339"/>
      <c r="BB108" s="339"/>
      <c r="BC108" s="30"/>
      <c r="BD108" s="340"/>
      <c r="BE108" s="340"/>
      <c r="BF108" s="169"/>
      <c r="BG108" s="339"/>
      <c r="BH108" s="339"/>
      <c r="BI108" s="339"/>
      <c r="BJ108" s="30"/>
      <c r="BK108" s="340"/>
      <c r="BL108" s="341"/>
      <c r="BM108" s="169"/>
      <c r="BN108" s="339"/>
      <c r="BO108" s="339"/>
      <c r="BP108" s="339"/>
      <c r="BQ108" s="30"/>
      <c r="BR108" s="340"/>
      <c r="BS108" s="340"/>
      <c r="BT108" s="215"/>
      <c r="BU108" s="339"/>
      <c r="BV108" s="339"/>
      <c r="BW108" s="339"/>
      <c r="BX108" s="30"/>
      <c r="BY108" s="340"/>
      <c r="BZ108" s="341"/>
      <c r="CA108" s="169"/>
      <c r="CB108" s="339"/>
      <c r="CC108" s="339"/>
      <c r="CD108" s="339"/>
      <c r="CE108" s="30"/>
      <c r="CF108" s="340"/>
      <c r="CG108" s="341"/>
      <c r="CH108" s="169"/>
      <c r="CI108" s="339"/>
      <c r="CJ108" s="339"/>
      <c r="CK108" s="339"/>
      <c r="CL108" s="30"/>
      <c r="CM108" s="340"/>
      <c r="CN108" s="341"/>
      <c r="CO108" s="169"/>
      <c r="CP108" s="339"/>
      <c r="CQ108" s="339"/>
      <c r="CR108" s="339"/>
      <c r="CS108" s="30"/>
      <c r="CT108" s="340"/>
      <c r="CU108" s="341"/>
      <c r="CV108" s="169"/>
      <c r="CW108" s="339"/>
      <c r="CX108" s="339"/>
      <c r="CY108" s="339"/>
      <c r="CZ108" s="30"/>
      <c r="DA108" s="340"/>
      <c r="DB108" s="341"/>
      <c r="DC108" s="192"/>
      <c r="DD108" s="339"/>
      <c r="DE108" s="339"/>
      <c r="DF108" s="339"/>
      <c r="DG108" s="30"/>
      <c r="DH108" s="340"/>
      <c r="DI108" s="341"/>
      <c r="DJ108" s="169"/>
      <c r="DK108" s="339"/>
      <c r="DL108" s="339"/>
      <c r="DM108" s="339"/>
      <c r="DN108" s="30"/>
      <c r="DO108" s="340"/>
      <c r="DP108" s="341"/>
      <c r="DQ108" s="169"/>
      <c r="DR108" s="339"/>
      <c r="DS108" s="339"/>
      <c r="DT108" s="339"/>
      <c r="DU108" s="30"/>
      <c r="DV108" s="340"/>
      <c r="DW108" s="341"/>
      <c r="DX108" s="192"/>
      <c r="DY108" s="339"/>
      <c r="DZ108" s="339"/>
      <c r="EA108" s="339"/>
      <c r="EB108" s="30"/>
      <c r="EC108" s="340"/>
      <c r="ED108" s="341"/>
      <c r="EE108" s="169"/>
      <c r="EF108" s="339"/>
      <c r="EG108" s="339"/>
      <c r="EH108" s="339"/>
      <c r="EI108" s="30"/>
      <c r="EJ108" s="340"/>
      <c r="EK108" s="360"/>
      <c r="EL108" s="192"/>
      <c r="EM108" s="339"/>
      <c r="EN108" s="339"/>
      <c r="EO108" s="339"/>
      <c r="EP108" s="30"/>
      <c r="EQ108" s="340"/>
      <c r="ER108" s="360"/>
      <c r="ES108" s="192"/>
      <c r="ET108" s="339"/>
      <c r="EU108" s="339"/>
      <c r="EV108" s="339"/>
      <c r="EW108" s="30"/>
      <c r="EX108" s="340"/>
      <c r="EY108" s="341"/>
      <c r="EZ108" s="169"/>
      <c r="FA108" s="339"/>
      <c r="FB108" s="339"/>
      <c r="FC108" s="339"/>
      <c r="FD108" s="30"/>
      <c r="FE108" s="340"/>
      <c r="FF108" s="340"/>
      <c r="FG108" s="169"/>
      <c r="FH108" s="339"/>
      <c r="FI108" s="339"/>
      <c r="FJ108" s="339"/>
      <c r="FK108" s="30"/>
      <c r="FL108" s="340"/>
      <c r="FM108" s="341"/>
      <c r="FN108" s="169"/>
      <c r="FO108" s="339"/>
      <c r="FP108" s="339"/>
      <c r="FQ108" s="339"/>
      <c r="FR108" s="30"/>
      <c r="FS108" s="340"/>
      <c r="FT108" s="340"/>
      <c r="FU108" s="215"/>
      <c r="FV108" s="339"/>
      <c r="FW108" s="339"/>
      <c r="FX108" s="339"/>
      <c r="FY108" s="30"/>
      <c r="FZ108" s="340"/>
      <c r="GA108" s="340"/>
      <c r="GB108" s="169"/>
      <c r="GC108" s="339"/>
      <c r="GD108" s="339"/>
      <c r="GE108" s="339"/>
      <c r="GF108" s="30"/>
      <c r="GG108" s="340"/>
      <c r="GH108" s="341"/>
      <c r="GI108" s="169"/>
      <c r="GJ108" s="339"/>
      <c r="GK108" s="339"/>
      <c r="GL108" s="339"/>
      <c r="GM108" s="30"/>
      <c r="GN108" s="340"/>
      <c r="GO108" s="341"/>
      <c r="GP108" s="192"/>
      <c r="GQ108" s="339"/>
      <c r="GR108" s="339"/>
      <c r="GS108" s="339"/>
      <c r="GT108" s="30"/>
      <c r="GU108" s="340"/>
      <c r="GV108" s="341"/>
      <c r="GW108" s="169"/>
      <c r="GX108" s="339"/>
      <c r="GY108" s="339"/>
      <c r="GZ108" s="339"/>
      <c r="HA108" s="30"/>
      <c r="HB108" s="340"/>
      <c r="HC108" s="341"/>
      <c r="HD108" s="169"/>
      <c r="HE108" s="339"/>
      <c r="HF108" s="339"/>
      <c r="HG108" s="339"/>
      <c r="HH108" s="30"/>
      <c r="HI108" s="340"/>
      <c r="HJ108" s="360"/>
      <c r="HK108" s="192"/>
      <c r="HL108" s="339"/>
      <c r="HM108" s="339"/>
      <c r="HN108" s="339"/>
      <c r="HO108" s="30"/>
      <c r="HP108" s="340"/>
      <c r="HQ108" s="360"/>
      <c r="HR108" s="192"/>
      <c r="HS108" s="339"/>
      <c r="HT108" s="339"/>
      <c r="HU108" s="339"/>
      <c r="HV108" s="258"/>
      <c r="HW108" s="340"/>
      <c r="HX108" s="341"/>
    </row>
    <row r="109" spans="2:232" ht="15" customHeight="1" outlineLevel="1" x14ac:dyDescent="0.25">
      <c r="B109" s="147"/>
      <c r="C109" s="147"/>
      <c r="D109" s="148"/>
      <c r="E109" s="147"/>
      <c r="F109" s="149"/>
      <c r="G109" s="148"/>
      <c r="H109" s="149"/>
      <c r="I109" s="174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V109" s="150" t="s">
        <v>170</v>
      </c>
      <c r="W109" s="151"/>
      <c r="X109" s="151"/>
      <c r="Y109" s="151"/>
      <c r="Z109" s="151"/>
      <c r="AA109" s="151"/>
      <c r="AB109" s="369"/>
      <c r="AC109" s="370"/>
      <c r="AD109" s="342" t="s">
        <v>217</v>
      </c>
      <c r="AE109" s="343"/>
      <c r="AF109" s="343"/>
      <c r="AG109" s="343"/>
      <c r="AH109" s="343"/>
      <c r="AI109" s="152"/>
      <c r="AJ109" s="194">
        <f>COUNTA(AD114:AD115)</f>
        <v>1</v>
      </c>
      <c r="AK109" s="366" t="s">
        <v>217</v>
      </c>
      <c r="AL109" s="343"/>
      <c r="AM109" s="343"/>
      <c r="AN109" s="343"/>
      <c r="AO109" s="343"/>
      <c r="AP109" s="152"/>
      <c r="AQ109" s="155">
        <f>COUNTA(AK114:AK115)</f>
        <v>1</v>
      </c>
      <c r="AR109" s="342" t="s">
        <v>217</v>
      </c>
      <c r="AS109" s="343"/>
      <c r="AT109" s="343"/>
      <c r="AU109" s="343"/>
      <c r="AV109" s="343"/>
      <c r="AW109" s="152"/>
      <c r="AX109" s="155">
        <f>COUNTA(AR114:AR115)</f>
        <v>1</v>
      </c>
      <c r="AY109" s="342" t="s">
        <v>217</v>
      </c>
      <c r="AZ109" s="343"/>
      <c r="BA109" s="343"/>
      <c r="BB109" s="343"/>
      <c r="BC109" s="343"/>
      <c r="BD109" s="152"/>
      <c r="BE109" s="194">
        <f>COUNTA(AY114:AY115)</f>
        <v>1</v>
      </c>
      <c r="BF109" s="342" t="s">
        <v>217</v>
      </c>
      <c r="BG109" s="343"/>
      <c r="BH109" s="343"/>
      <c r="BI109" s="343"/>
      <c r="BJ109" s="343"/>
      <c r="BK109" s="152"/>
      <c r="BL109" s="155">
        <f>COUNTA(BF114:BF115)</f>
        <v>1</v>
      </c>
      <c r="BM109" s="156"/>
      <c r="BN109" s="152"/>
      <c r="BO109" s="153"/>
      <c r="BP109" s="152"/>
      <c r="BQ109" s="154"/>
      <c r="BR109" s="152"/>
      <c r="BS109" s="194">
        <f>COUNTA(BM114:BM115)</f>
        <v>1</v>
      </c>
      <c r="BT109" s="366" t="s">
        <v>217</v>
      </c>
      <c r="BU109" s="343"/>
      <c r="BV109" s="343"/>
      <c r="BW109" s="343"/>
      <c r="BX109" s="343"/>
      <c r="BY109" s="152"/>
      <c r="BZ109" s="155">
        <f>COUNTA(BT114:BT115)</f>
        <v>1</v>
      </c>
      <c r="CA109" s="342" t="s">
        <v>217</v>
      </c>
      <c r="CB109" s="343"/>
      <c r="CC109" s="343"/>
      <c r="CD109" s="343"/>
      <c r="CE109" s="343"/>
      <c r="CF109" s="152"/>
      <c r="CG109" s="155">
        <f>COUNTA(CA114:CA115)</f>
        <v>1</v>
      </c>
      <c r="CH109" s="342" t="s">
        <v>217</v>
      </c>
      <c r="CI109" s="343"/>
      <c r="CJ109" s="343"/>
      <c r="CK109" s="343"/>
      <c r="CL109" s="343"/>
      <c r="CM109" s="152"/>
      <c r="CN109" s="155">
        <f>COUNTA(CH114:CH115)</f>
        <v>1</v>
      </c>
      <c r="CO109" s="342" t="s">
        <v>217</v>
      </c>
      <c r="CP109" s="343"/>
      <c r="CQ109" s="343"/>
      <c r="CR109" s="343"/>
      <c r="CS109" s="343"/>
      <c r="CT109" s="152"/>
      <c r="CU109" s="155">
        <f>COUNTA(CO114:CO115)</f>
        <v>1</v>
      </c>
      <c r="CV109" s="342" t="s">
        <v>217</v>
      </c>
      <c r="CW109" s="343"/>
      <c r="CX109" s="343"/>
      <c r="CY109" s="343"/>
      <c r="CZ109" s="343"/>
      <c r="DA109" s="152"/>
      <c r="DB109" s="155">
        <f>COUNTA(CV114:CV115)</f>
        <v>1</v>
      </c>
      <c r="DC109" s="343" t="s">
        <v>217</v>
      </c>
      <c r="DD109" s="343"/>
      <c r="DE109" s="343"/>
      <c r="DF109" s="343"/>
      <c r="DG109" s="343"/>
      <c r="DH109" s="152"/>
      <c r="DI109" s="155">
        <f>COUNTA(DC114:DC115)</f>
        <v>1</v>
      </c>
      <c r="DJ109" s="342" t="s">
        <v>217</v>
      </c>
      <c r="DK109" s="343"/>
      <c r="DL109" s="343"/>
      <c r="DM109" s="343"/>
      <c r="DN109" s="343"/>
      <c r="DO109" s="152"/>
      <c r="DP109" s="155">
        <f>COUNTA(DJ114:DJ115)</f>
        <v>1</v>
      </c>
      <c r="DQ109" s="342" t="s">
        <v>217</v>
      </c>
      <c r="DR109" s="343"/>
      <c r="DS109" s="343"/>
      <c r="DT109" s="343"/>
      <c r="DU109" s="343"/>
      <c r="DV109" s="152"/>
      <c r="DW109" s="155">
        <f>COUNTA(DQ114:DQ115)</f>
        <v>1</v>
      </c>
      <c r="DX109" s="343" t="s">
        <v>217</v>
      </c>
      <c r="DY109" s="343"/>
      <c r="DZ109" s="343"/>
      <c r="EA109" s="343"/>
      <c r="EB109" s="343"/>
      <c r="EC109" s="152"/>
      <c r="ED109" s="155">
        <f>COUNTA(DX114:DX115)</f>
        <v>1</v>
      </c>
      <c r="EE109" s="342" t="s">
        <v>217</v>
      </c>
      <c r="EF109" s="343"/>
      <c r="EG109" s="343"/>
      <c r="EH109" s="343"/>
      <c r="EI109" s="343"/>
      <c r="EJ109" s="152"/>
      <c r="EK109" s="218">
        <f>COUNTA(EE114:EE115)</f>
        <v>1</v>
      </c>
      <c r="EL109" s="343" t="s">
        <v>217</v>
      </c>
      <c r="EM109" s="343"/>
      <c r="EN109" s="343"/>
      <c r="EO109" s="343"/>
      <c r="EP109" s="343"/>
      <c r="EQ109" s="152"/>
      <c r="ER109" s="218">
        <f>COUNTA(EL114:EL115)</f>
        <v>1</v>
      </c>
      <c r="ES109" s="343" t="s">
        <v>217</v>
      </c>
      <c r="ET109" s="343"/>
      <c r="EU109" s="343"/>
      <c r="EV109" s="343"/>
      <c r="EW109" s="343"/>
      <c r="EX109" s="152"/>
      <c r="EY109" s="155">
        <f>COUNTA(ES114:ES115)</f>
        <v>1</v>
      </c>
      <c r="EZ109" s="342" t="s">
        <v>245</v>
      </c>
      <c r="FA109" s="343"/>
      <c r="FB109" s="343"/>
      <c r="FC109" s="343"/>
      <c r="FD109" s="343"/>
      <c r="FE109" s="152"/>
      <c r="FF109" s="194">
        <f>COUNTA(EZ114:EZ115)</f>
        <v>1</v>
      </c>
      <c r="FG109" s="342" t="s">
        <v>217</v>
      </c>
      <c r="FH109" s="343"/>
      <c r="FI109" s="343"/>
      <c r="FJ109" s="343"/>
      <c r="FK109" s="343"/>
      <c r="FL109" s="152"/>
      <c r="FM109" s="155">
        <f>COUNTA(FG114:FG115)</f>
        <v>1</v>
      </c>
      <c r="FN109" s="156"/>
      <c r="FO109" s="152"/>
      <c r="FP109" s="153"/>
      <c r="FQ109" s="152"/>
      <c r="FR109" s="154"/>
      <c r="FS109" s="152"/>
      <c r="FT109" s="194">
        <f>COUNTA(FN114:FN115)</f>
        <v>1</v>
      </c>
      <c r="FU109" s="366" t="s">
        <v>217</v>
      </c>
      <c r="FV109" s="343"/>
      <c r="FW109" s="343"/>
      <c r="FX109" s="343"/>
      <c r="FY109" s="343"/>
      <c r="FZ109" s="152"/>
      <c r="GA109" s="194">
        <f>COUNTA(FU114:FU115)</f>
        <v>1</v>
      </c>
      <c r="GB109" s="342" t="s">
        <v>217</v>
      </c>
      <c r="GC109" s="343"/>
      <c r="GD109" s="343"/>
      <c r="GE109" s="343"/>
      <c r="GF109" s="343"/>
      <c r="GG109" s="152"/>
      <c r="GH109" s="155">
        <f>COUNTA(GB114:GB115)</f>
        <v>1</v>
      </c>
      <c r="GI109" s="342" t="s">
        <v>217</v>
      </c>
      <c r="GJ109" s="343"/>
      <c r="GK109" s="343"/>
      <c r="GL109" s="343"/>
      <c r="GM109" s="343"/>
      <c r="GN109" s="152"/>
      <c r="GO109" s="155">
        <f>COUNTA(GI114:GI115)</f>
        <v>1</v>
      </c>
      <c r="GP109" s="343" t="s">
        <v>217</v>
      </c>
      <c r="GQ109" s="343"/>
      <c r="GR109" s="343"/>
      <c r="GS109" s="343"/>
      <c r="GT109" s="343"/>
      <c r="GU109" s="152"/>
      <c r="GV109" s="155">
        <f>COUNTA(GP114:GP115)</f>
        <v>1</v>
      </c>
      <c r="GW109" s="342" t="s">
        <v>217</v>
      </c>
      <c r="GX109" s="343"/>
      <c r="GY109" s="343"/>
      <c r="GZ109" s="343"/>
      <c r="HA109" s="343"/>
      <c r="HB109" s="152"/>
      <c r="HC109" s="155">
        <f>COUNTA(GW114:GW115)</f>
        <v>1</v>
      </c>
      <c r="HD109" s="342" t="s">
        <v>217</v>
      </c>
      <c r="HE109" s="343"/>
      <c r="HF109" s="343"/>
      <c r="HG109" s="343"/>
      <c r="HH109" s="343"/>
      <c r="HI109" s="152"/>
      <c r="HJ109" s="218">
        <f>COUNTA(HD114:HD115)</f>
        <v>1</v>
      </c>
      <c r="HK109" s="343" t="s">
        <v>217</v>
      </c>
      <c r="HL109" s="343"/>
      <c r="HM109" s="343"/>
      <c r="HN109" s="343"/>
      <c r="HO109" s="343"/>
      <c r="HP109" s="152"/>
      <c r="HQ109" s="218">
        <f>COUNTA(HK114:HK115)</f>
        <v>1</v>
      </c>
      <c r="HR109" s="152"/>
      <c r="HS109" s="152"/>
      <c r="HT109" s="153"/>
      <c r="HU109" s="152"/>
      <c r="HV109" s="255"/>
      <c r="HW109" s="152"/>
      <c r="HX109" s="155">
        <f>COUNTA(HR114:HR115)</f>
        <v>0</v>
      </c>
    </row>
    <row r="110" spans="2:232" ht="15" customHeight="1" outlineLevel="1" x14ac:dyDescent="0.25">
      <c r="B110" s="147"/>
      <c r="C110" s="147"/>
      <c r="D110" s="147"/>
      <c r="E110" s="147"/>
      <c r="F110" s="157"/>
      <c r="G110" s="147"/>
      <c r="H110" s="157"/>
      <c r="I110" s="175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V110" s="185" t="s">
        <v>224</v>
      </c>
      <c r="W110" s="186"/>
      <c r="X110" s="186"/>
      <c r="Y110" s="186"/>
      <c r="Z110" s="186"/>
      <c r="AA110" s="186"/>
      <c r="AB110" s="187"/>
      <c r="AC110" s="188"/>
      <c r="AD110" s="344" t="s">
        <v>225</v>
      </c>
      <c r="AE110" s="345"/>
      <c r="AF110" s="345"/>
      <c r="AG110" s="181" t="s">
        <v>75</v>
      </c>
      <c r="AH110" s="346" t="s">
        <v>297</v>
      </c>
      <c r="AI110" s="346"/>
      <c r="AJ110" s="346"/>
      <c r="AK110" s="363" t="s">
        <v>227</v>
      </c>
      <c r="AL110" s="345"/>
      <c r="AM110" s="345"/>
      <c r="AN110" s="181" t="s">
        <v>75</v>
      </c>
      <c r="AO110" s="346" t="s">
        <v>328</v>
      </c>
      <c r="AP110" s="346"/>
      <c r="AQ110" s="349"/>
      <c r="AR110" s="344" t="s">
        <v>227</v>
      </c>
      <c r="AS110" s="345"/>
      <c r="AT110" s="345"/>
      <c r="AU110" s="181" t="s">
        <v>75</v>
      </c>
      <c r="AV110" s="346" t="s">
        <v>328</v>
      </c>
      <c r="AW110" s="346"/>
      <c r="AX110" s="349"/>
      <c r="AY110" s="344" t="s">
        <v>227</v>
      </c>
      <c r="AZ110" s="345"/>
      <c r="BA110" s="345"/>
      <c r="BB110" s="181" t="s">
        <v>75</v>
      </c>
      <c r="BC110" s="346" t="s">
        <v>328</v>
      </c>
      <c r="BD110" s="346"/>
      <c r="BE110" s="349"/>
      <c r="BF110" s="344" t="s">
        <v>227</v>
      </c>
      <c r="BG110" s="345"/>
      <c r="BH110" s="345"/>
      <c r="BI110" s="181" t="s">
        <v>75</v>
      </c>
      <c r="BJ110" s="346" t="s">
        <v>328</v>
      </c>
      <c r="BK110" s="346"/>
      <c r="BL110" s="349"/>
      <c r="BM110" s="180"/>
      <c r="BN110" s="181"/>
      <c r="BO110" s="182"/>
      <c r="BP110" s="181"/>
      <c r="BQ110" s="183"/>
      <c r="BR110" s="181"/>
      <c r="BS110" s="210"/>
      <c r="BT110" s="363" t="s">
        <v>232</v>
      </c>
      <c r="BU110" s="345"/>
      <c r="BV110" s="345"/>
      <c r="BW110" s="181" t="s">
        <v>75</v>
      </c>
      <c r="BX110" s="346" t="s">
        <v>346</v>
      </c>
      <c r="BY110" s="346"/>
      <c r="BZ110" s="349"/>
      <c r="CA110" s="344" t="s">
        <v>232</v>
      </c>
      <c r="CB110" s="345"/>
      <c r="CC110" s="345"/>
      <c r="CD110" s="181" t="s">
        <v>75</v>
      </c>
      <c r="CE110" s="346" t="s">
        <v>346</v>
      </c>
      <c r="CF110" s="346"/>
      <c r="CG110" s="349"/>
      <c r="CH110" s="344" t="s">
        <v>232</v>
      </c>
      <c r="CI110" s="345"/>
      <c r="CJ110" s="345"/>
      <c r="CK110" s="181" t="s">
        <v>75</v>
      </c>
      <c r="CL110" s="346" t="s">
        <v>346</v>
      </c>
      <c r="CM110" s="346"/>
      <c r="CN110" s="349"/>
      <c r="CO110" s="344" t="s">
        <v>232</v>
      </c>
      <c r="CP110" s="345"/>
      <c r="CQ110" s="345"/>
      <c r="CR110" s="181" t="s">
        <v>75</v>
      </c>
      <c r="CS110" s="346" t="s">
        <v>346</v>
      </c>
      <c r="CT110" s="346"/>
      <c r="CU110" s="349"/>
      <c r="CV110" s="344" t="s">
        <v>232</v>
      </c>
      <c r="CW110" s="345"/>
      <c r="CX110" s="345"/>
      <c r="CY110" s="181" t="s">
        <v>75</v>
      </c>
      <c r="CZ110" s="346" t="s">
        <v>346</v>
      </c>
      <c r="DA110" s="346"/>
      <c r="DB110" s="349"/>
      <c r="DC110" s="344" t="s">
        <v>232</v>
      </c>
      <c r="DD110" s="345"/>
      <c r="DE110" s="345"/>
      <c r="DF110" s="181" t="s">
        <v>75</v>
      </c>
      <c r="DG110" s="346" t="s">
        <v>346</v>
      </c>
      <c r="DH110" s="346"/>
      <c r="DI110" s="349"/>
      <c r="DJ110" s="344" t="s">
        <v>232</v>
      </c>
      <c r="DK110" s="345"/>
      <c r="DL110" s="345"/>
      <c r="DM110" s="181" t="s">
        <v>75</v>
      </c>
      <c r="DN110" s="346" t="s">
        <v>346</v>
      </c>
      <c r="DO110" s="346"/>
      <c r="DP110" s="349"/>
      <c r="DQ110" s="345" t="s">
        <v>232</v>
      </c>
      <c r="DR110" s="345"/>
      <c r="DS110" s="345"/>
      <c r="DT110" s="181" t="s">
        <v>75</v>
      </c>
      <c r="DU110" s="346" t="s">
        <v>346</v>
      </c>
      <c r="DV110" s="346"/>
      <c r="DW110" s="349"/>
      <c r="DX110" s="345" t="s">
        <v>232</v>
      </c>
      <c r="DY110" s="345"/>
      <c r="DZ110" s="345"/>
      <c r="EA110" s="181" t="s">
        <v>75</v>
      </c>
      <c r="EB110" s="346" t="s">
        <v>346</v>
      </c>
      <c r="EC110" s="346"/>
      <c r="ED110" s="349"/>
      <c r="EE110" s="345" t="s">
        <v>232</v>
      </c>
      <c r="EF110" s="345"/>
      <c r="EG110" s="345"/>
      <c r="EH110" s="181" t="s">
        <v>75</v>
      </c>
      <c r="EI110" s="346" t="s">
        <v>346</v>
      </c>
      <c r="EJ110" s="346"/>
      <c r="EK110" s="347"/>
      <c r="EL110" s="345" t="s">
        <v>539</v>
      </c>
      <c r="EM110" s="345"/>
      <c r="EN110" s="345"/>
      <c r="EO110" s="181" t="s">
        <v>75</v>
      </c>
      <c r="EP110" s="346" t="s">
        <v>346</v>
      </c>
      <c r="EQ110" s="346"/>
      <c r="ER110" s="347"/>
      <c r="ES110" s="345" t="s">
        <v>243</v>
      </c>
      <c r="ET110" s="345"/>
      <c r="EU110" s="345"/>
      <c r="EV110" s="181" t="s">
        <v>75</v>
      </c>
      <c r="EW110" s="346" t="s">
        <v>374</v>
      </c>
      <c r="EX110" s="346"/>
      <c r="EY110" s="349"/>
      <c r="EZ110" s="344" t="s">
        <v>243</v>
      </c>
      <c r="FA110" s="345"/>
      <c r="FB110" s="345"/>
      <c r="FC110" s="181" t="s">
        <v>75</v>
      </c>
      <c r="FD110" s="346" t="s">
        <v>374</v>
      </c>
      <c r="FE110" s="346"/>
      <c r="FF110" s="346"/>
      <c r="FG110" s="344" t="s">
        <v>243</v>
      </c>
      <c r="FH110" s="345"/>
      <c r="FI110" s="345"/>
      <c r="FJ110" s="181" t="s">
        <v>75</v>
      </c>
      <c r="FK110" s="346" t="s">
        <v>374</v>
      </c>
      <c r="FL110" s="346"/>
      <c r="FM110" s="349"/>
      <c r="FN110" s="180"/>
      <c r="FO110" s="181"/>
      <c r="FP110" s="182"/>
      <c r="FQ110" s="181"/>
      <c r="FR110" s="183"/>
      <c r="FS110" s="181"/>
      <c r="FT110" s="210"/>
      <c r="FU110" s="363" t="s">
        <v>246</v>
      </c>
      <c r="FV110" s="345"/>
      <c r="FW110" s="345"/>
      <c r="FX110" s="181" t="s">
        <v>75</v>
      </c>
      <c r="FY110" s="346" t="s">
        <v>397</v>
      </c>
      <c r="FZ110" s="346"/>
      <c r="GA110" s="346"/>
      <c r="GB110" s="344" t="s">
        <v>246</v>
      </c>
      <c r="GC110" s="345"/>
      <c r="GD110" s="345"/>
      <c r="GE110" s="181" t="s">
        <v>75</v>
      </c>
      <c r="GF110" s="346" t="s">
        <v>397</v>
      </c>
      <c r="GG110" s="346"/>
      <c r="GH110" s="349"/>
      <c r="GI110" s="344" t="s">
        <v>246</v>
      </c>
      <c r="GJ110" s="345"/>
      <c r="GK110" s="345"/>
      <c r="GL110" s="181" t="s">
        <v>75</v>
      </c>
      <c r="GM110" s="346" t="s">
        <v>397</v>
      </c>
      <c r="GN110" s="346"/>
      <c r="GO110" s="349"/>
      <c r="GP110" s="345" t="s">
        <v>246</v>
      </c>
      <c r="GQ110" s="345"/>
      <c r="GR110" s="345"/>
      <c r="GS110" s="181" t="s">
        <v>75</v>
      </c>
      <c r="GT110" s="346" t="s">
        <v>397</v>
      </c>
      <c r="GU110" s="346"/>
      <c r="GV110" s="349"/>
      <c r="GW110" s="344" t="s">
        <v>246</v>
      </c>
      <c r="GX110" s="345"/>
      <c r="GY110" s="345"/>
      <c r="GZ110" s="181" t="s">
        <v>75</v>
      </c>
      <c r="HA110" s="346" t="s">
        <v>397</v>
      </c>
      <c r="HB110" s="346"/>
      <c r="HC110" s="349"/>
      <c r="HD110" s="344" t="s">
        <v>246</v>
      </c>
      <c r="HE110" s="345"/>
      <c r="HF110" s="345"/>
      <c r="HG110" s="181" t="s">
        <v>75</v>
      </c>
      <c r="HH110" s="346" t="s">
        <v>397</v>
      </c>
      <c r="HI110" s="346"/>
      <c r="HJ110" s="347"/>
      <c r="HK110" s="345" t="s">
        <v>541</v>
      </c>
      <c r="HL110" s="345"/>
      <c r="HM110" s="345"/>
      <c r="HN110" s="181" t="s">
        <v>75</v>
      </c>
      <c r="HO110" s="346" t="s">
        <v>397</v>
      </c>
      <c r="HP110" s="346"/>
      <c r="HQ110" s="347"/>
      <c r="HR110" s="181"/>
      <c r="HS110" s="181"/>
      <c r="HT110" s="182"/>
      <c r="HU110" s="181"/>
      <c r="HV110" s="256"/>
      <c r="HW110" s="181"/>
      <c r="HX110" s="184"/>
    </row>
    <row r="111" spans="2:232" ht="15" customHeight="1" outlineLevel="1" x14ac:dyDescent="0.25">
      <c r="B111" s="147"/>
      <c r="C111" s="147"/>
      <c r="D111" s="147"/>
      <c r="E111" s="147"/>
      <c r="F111" s="157"/>
      <c r="G111" s="147"/>
      <c r="H111" s="157"/>
      <c r="I111" s="175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V111" s="161" t="s">
        <v>199</v>
      </c>
      <c r="W111" s="12"/>
      <c r="X111" s="12"/>
      <c r="Y111" s="12"/>
      <c r="Z111" s="12"/>
      <c r="AA111" s="12"/>
      <c r="AB111" s="12"/>
      <c r="AC111" s="14"/>
      <c r="AD111" s="352" t="s">
        <v>201</v>
      </c>
      <c r="AE111" s="353"/>
      <c r="AF111" s="353"/>
      <c r="AG111" s="1" t="s">
        <v>57</v>
      </c>
      <c r="AH111" s="337" t="s">
        <v>221</v>
      </c>
      <c r="AI111" s="337"/>
      <c r="AJ111" s="337"/>
      <c r="AK111" s="364" t="s">
        <v>202</v>
      </c>
      <c r="AL111" s="337"/>
      <c r="AM111" s="337"/>
      <c r="AN111" s="1" t="s">
        <v>57</v>
      </c>
      <c r="AO111" s="337" t="s">
        <v>221</v>
      </c>
      <c r="AP111" s="337"/>
      <c r="AQ111" s="338"/>
      <c r="AR111" s="350" t="s">
        <v>221</v>
      </c>
      <c r="AS111" s="337"/>
      <c r="AT111" s="337"/>
      <c r="AU111" s="1" t="s">
        <v>57</v>
      </c>
      <c r="AV111" s="337" t="s">
        <v>228</v>
      </c>
      <c r="AW111" s="337"/>
      <c r="AX111" s="338"/>
      <c r="AY111" s="350" t="s">
        <v>228</v>
      </c>
      <c r="AZ111" s="337"/>
      <c r="BA111" s="337"/>
      <c r="BB111" s="1" t="s">
        <v>57</v>
      </c>
      <c r="BC111" s="337" t="s">
        <v>352</v>
      </c>
      <c r="BD111" s="337"/>
      <c r="BE111" s="337"/>
      <c r="BF111" s="350" t="s">
        <v>556</v>
      </c>
      <c r="BG111" s="337"/>
      <c r="BH111" s="337"/>
      <c r="BI111" s="191"/>
      <c r="BJ111" s="337"/>
      <c r="BK111" s="337"/>
      <c r="BL111" s="338"/>
      <c r="BM111" s="350"/>
      <c r="BN111" s="337"/>
      <c r="BO111" s="337"/>
      <c r="BQ111" s="337"/>
      <c r="BR111" s="337"/>
      <c r="BS111" s="337"/>
      <c r="BT111" s="364" t="s">
        <v>221</v>
      </c>
      <c r="BU111" s="337"/>
      <c r="BV111" s="337"/>
      <c r="BW111" s="1" t="s">
        <v>57</v>
      </c>
      <c r="BX111" s="337" t="s">
        <v>231</v>
      </c>
      <c r="BY111" s="337"/>
      <c r="BZ111" s="338"/>
      <c r="CA111" s="337" t="s">
        <v>231</v>
      </c>
      <c r="CB111" s="337"/>
      <c r="CC111" s="337"/>
      <c r="CD111" s="1" t="s">
        <v>57</v>
      </c>
      <c r="CE111" s="337" t="s">
        <v>221</v>
      </c>
      <c r="CF111" s="337"/>
      <c r="CG111" s="337"/>
      <c r="CH111" s="350" t="s">
        <v>221</v>
      </c>
      <c r="CI111" s="337"/>
      <c r="CJ111" s="337"/>
      <c r="CK111" s="1" t="s">
        <v>57</v>
      </c>
      <c r="CL111" s="337" t="s">
        <v>234</v>
      </c>
      <c r="CM111" s="337"/>
      <c r="CN111" s="338"/>
      <c r="CO111" s="350" t="s">
        <v>262</v>
      </c>
      <c r="CP111" s="337"/>
      <c r="CQ111" s="337"/>
      <c r="CR111" s="1" t="s">
        <v>57</v>
      </c>
      <c r="CS111" s="337" t="s">
        <v>233</v>
      </c>
      <c r="CT111" s="337"/>
      <c r="CU111" s="338"/>
      <c r="CV111" s="350" t="s">
        <v>228</v>
      </c>
      <c r="CW111" s="337"/>
      <c r="CX111" s="337"/>
      <c r="CY111" s="1" t="s">
        <v>57</v>
      </c>
      <c r="CZ111" s="337" t="s">
        <v>231</v>
      </c>
      <c r="DA111" s="337"/>
      <c r="DB111" s="338"/>
      <c r="DC111" s="350" t="s">
        <v>231</v>
      </c>
      <c r="DD111" s="337"/>
      <c r="DE111" s="337"/>
      <c r="DF111" s="1" t="s">
        <v>57</v>
      </c>
      <c r="DG111" s="337" t="s">
        <v>252</v>
      </c>
      <c r="DH111" s="337"/>
      <c r="DI111" s="338"/>
      <c r="DJ111" s="350" t="s">
        <v>252</v>
      </c>
      <c r="DK111" s="337"/>
      <c r="DL111" s="337"/>
      <c r="DM111" s="1" t="s">
        <v>57</v>
      </c>
      <c r="DN111" s="337" t="s">
        <v>234</v>
      </c>
      <c r="DO111" s="337"/>
      <c r="DP111" s="338"/>
      <c r="DQ111" s="350" t="s">
        <v>233</v>
      </c>
      <c r="DR111" s="337"/>
      <c r="DS111" s="337"/>
      <c r="DT111" s="191"/>
      <c r="DU111" s="337"/>
      <c r="DV111" s="337"/>
      <c r="DW111" s="338"/>
      <c r="DX111" s="337" t="s">
        <v>252</v>
      </c>
      <c r="DY111" s="337"/>
      <c r="DZ111" s="337"/>
      <c r="EA111" s="1" t="s">
        <v>57</v>
      </c>
      <c r="EB111" s="337" t="s">
        <v>221</v>
      </c>
      <c r="EC111" s="337"/>
      <c r="ED111" s="337"/>
      <c r="EE111" s="350" t="s">
        <v>231</v>
      </c>
      <c r="EF111" s="337"/>
      <c r="EG111" s="337"/>
      <c r="EH111" s="191"/>
      <c r="EI111" s="337"/>
      <c r="EJ111" s="337"/>
      <c r="EK111" s="351"/>
      <c r="EL111" s="337" t="s">
        <v>383</v>
      </c>
      <c r="EM111" s="337"/>
      <c r="EN111" s="337"/>
      <c r="EO111" s="191"/>
      <c r="EP111" s="337"/>
      <c r="EQ111" s="337"/>
      <c r="ER111" s="351"/>
      <c r="ES111" s="337" t="s">
        <v>383</v>
      </c>
      <c r="ET111" s="337"/>
      <c r="EU111" s="337"/>
      <c r="EV111" s="1" t="s">
        <v>57</v>
      </c>
      <c r="EW111" s="337" t="s">
        <v>228</v>
      </c>
      <c r="EX111" s="337"/>
      <c r="EY111" s="338"/>
      <c r="EZ111" s="350" t="s">
        <v>228</v>
      </c>
      <c r="FA111" s="337"/>
      <c r="FB111" s="337"/>
      <c r="FC111" s="1" t="s">
        <v>57</v>
      </c>
      <c r="FD111" s="337" t="s">
        <v>352</v>
      </c>
      <c r="FE111" s="337"/>
      <c r="FF111" s="337"/>
      <c r="FG111" s="350" t="s">
        <v>352</v>
      </c>
      <c r="FH111" s="337"/>
      <c r="FI111" s="337"/>
      <c r="FJ111" s="191"/>
      <c r="FK111" s="337"/>
      <c r="FL111" s="337"/>
      <c r="FM111" s="338"/>
      <c r="FN111" s="350"/>
      <c r="FO111" s="337"/>
      <c r="FP111" s="337"/>
      <c r="FR111" s="337"/>
      <c r="FS111" s="337"/>
      <c r="FT111" s="337"/>
      <c r="FU111" s="364" t="s">
        <v>252</v>
      </c>
      <c r="FV111" s="337"/>
      <c r="FW111" s="337"/>
      <c r="FX111" s="1" t="s">
        <v>57</v>
      </c>
      <c r="FY111" s="337" t="s">
        <v>231</v>
      </c>
      <c r="FZ111" s="337"/>
      <c r="GA111" s="337"/>
      <c r="GB111" s="350" t="s">
        <v>231</v>
      </c>
      <c r="GC111" s="337"/>
      <c r="GD111" s="337"/>
      <c r="GE111" s="1" t="s">
        <v>57</v>
      </c>
      <c r="GF111" s="337" t="s">
        <v>252</v>
      </c>
      <c r="GG111" s="337"/>
      <c r="GH111" s="338"/>
      <c r="GI111" s="350" t="s">
        <v>252</v>
      </c>
      <c r="GJ111" s="337"/>
      <c r="GK111" s="337"/>
      <c r="GL111" s="1" t="s">
        <v>57</v>
      </c>
      <c r="GM111" s="337" t="s">
        <v>234</v>
      </c>
      <c r="GN111" s="337"/>
      <c r="GO111" s="338"/>
      <c r="GP111" s="337" t="s">
        <v>233</v>
      </c>
      <c r="GQ111" s="337"/>
      <c r="GR111" s="337"/>
      <c r="GS111" s="191"/>
      <c r="GT111" s="337"/>
      <c r="GU111" s="337"/>
      <c r="GV111" s="338"/>
      <c r="GW111" s="350" t="s">
        <v>382</v>
      </c>
      <c r="GX111" s="337"/>
      <c r="GY111" s="337"/>
      <c r="GZ111" s="1" t="s">
        <v>57</v>
      </c>
      <c r="HA111" s="337" t="s">
        <v>426</v>
      </c>
      <c r="HB111" s="337"/>
      <c r="HC111" s="338"/>
      <c r="HD111" s="350" t="s">
        <v>231</v>
      </c>
      <c r="HE111" s="337"/>
      <c r="HF111" s="337"/>
      <c r="HG111" s="191"/>
      <c r="HH111" s="337"/>
      <c r="HI111" s="337"/>
      <c r="HJ111" s="351"/>
      <c r="HK111" s="337" t="s">
        <v>383</v>
      </c>
      <c r="HL111" s="337"/>
      <c r="HM111" s="337"/>
      <c r="HO111" s="337"/>
      <c r="HP111" s="337"/>
      <c r="HQ111" s="351"/>
      <c r="HR111" s="337"/>
      <c r="HS111" s="337"/>
      <c r="HT111" s="337"/>
      <c r="HV111" s="337"/>
      <c r="HW111" s="337"/>
      <c r="HX111" s="338"/>
    </row>
    <row r="112" spans="2:232" ht="15" customHeight="1" outlineLevel="1" x14ac:dyDescent="0.25">
      <c r="B112" s="147"/>
      <c r="C112" s="147"/>
      <c r="D112" s="147"/>
      <c r="E112" s="147"/>
      <c r="F112" s="157"/>
      <c r="G112" s="147"/>
      <c r="H112" s="157"/>
      <c r="I112" s="175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V112" s="161" t="s">
        <v>200</v>
      </c>
      <c r="W112" s="12"/>
      <c r="X112" s="12"/>
      <c r="Y112" s="12"/>
      <c r="Z112" s="12"/>
      <c r="AA112" s="12"/>
      <c r="AB112" s="12"/>
      <c r="AC112" s="14"/>
      <c r="AD112" s="352" t="s">
        <v>201</v>
      </c>
      <c r="AE112" s="353"/>
      <c r="AF112" s="353"/>
      <c r="AG112" s="1" t="s">
        <v>57</v>
      </c>
      <c r="AH112" s="353" t="s">
        <v>203</v>
      </c>
      <c r="AI112" s="353"/>
      <c r="AJ112" s="353"/>
      <c r="AK112" s="367" t="s">
        <v>203</v>
      </c>
      <c r="AL112" s="353"/>
      <c r="AM112" s="353"/>
      <c r="AO112" s="353"/>
      <c r="AP112" s="353"/>
      <c r="AQ112" s="355"/>
      <c r="AR112" s="352" t="s">
        <v>203</v>
      </c>
      <c r="AS112" s="353"/>
      <c r="AT112" s="353"/>
      <c r="AV112" s="353"/>
      <c r="AW112" s="353"/>
      <c r="AX112" s="355"/>
      <c r="AY112" s="352" t="s">
        <v>203</v>
      </c>
      <c r="AZ112" s="353"/>
      <c r="BA112" s="353"/>
      <c r="BC112" s="353"/>
      <c r="BD112" s="353"/>
      <c r="BE112" s="353"/>
      <c r="BF112" s="352" t="s">
        <v>203</v>
      </c>
      <c r="BG112" s="353"/>
      <c r="BH112" s="353"/>
      <c r="BJ112" s="353"/>
      <c r="BK112" s="353"/>
      <c r="BL112" s="355"/>
      <c r="BM112" s="352"/>
      <c r="BN112" s="353"/>
      <c r="BO112" s="353"/>
      <c r="BQ112" s="353"/>
      <c r="BR112" s="353"/>
      <c r="BS112" s="353"/>
      <c r="BT112" s="367" t="s">
        <v>203</v>
      </c>
      <c r="BU112" s="353"/>
      <c r="BV112" s="353"/>
      <c r="BX112" s="353"/>
      <c r="BY112" s="353"/>
      <c r="BZ112" s="355"/>
      <c r="CA112" s="352" t="s">
        <v>203</v>
      </c>
      <c r="CB112" s="353"/>
      <c r="CC112" s="353"/>
      <c r="CE112" s="353"/>
      <c r="CF112" s="353"/>
      <c r="CG112" s="353"/>
      <c r="CH112" s="352" t="s">
        <v>203</v>
      </c>
      <c r="CI112" s="353"/>
      <c r="CJ112" s="353"/>
      <c r="CL112" s="353"/>
      <c r="CM112" s="353"/>
      <c r="CN112" s="355"/>
      <c r="CO112" s="352" t="s">
        <v>203</v>
      </c>
      <c r="CP112" s="353"/>
      <c r="CQ112" s="353"/>
      <c r="CS112" s="353"/>
      <c r="CT112" s="353"/>
      <c r="CU112" s="355"/>
      <c r="CV112" s="352" t="s">
        <v>203</v>
      </c>
      <c r="CW112" s="353"/>
      <c r="CX112" s="353"/>
      <c r="CZ112" s="353"/>
      <c r="DA112" s="353"/>
      <c r="DB112" s="353"/>
      <c r="DC112" s="352" t="s">
        <v>203</v>
      </c>
      <c r="DD112" s="353"/>
      <c r="DE112" s="353"/>
      <c r="DG112" s="353"/>
      <c r="DH112" s="353"/>
      <c r="DI112" s="355"/>
      <c r="DJ112" s="352" t="s">
        <v>203</v>
      </c>
      <c r="DK112" s="353"/>
      <c r="DL112" s="353"/>
      <c r="DN112" s="353"/>
      <c r="DO112" s="353"/>
      <c r="DP112" s="355"/>
      <c r="DQ112" s="352" t="s">
        <v>203</v>
      </c>
      <c r="DR112" s="353"/>
      <c r="DS112" s="353"/>
      <c r="DU112" s="353"/>
      <c r="DV112" s="353"/>
      <c r="DW112" s="355"/>
      <c r="DX112" s="352" t="s">
        <v>203</v>
      </c>
      <c r="DY112" s="353"/>
      <c r="DZ112" s="353"/>
      <c r="EB112" s="353"/>
      <c r="EC112" s="353"/>
      <c r="ED112" s="353"/>
      <c r="EE112" s="352" t="s">
        <v>203</v>
      </c>
      <c r="EF112" s="353"/>
      <c r="EG112" s="353"/>
      <c r="EI112" s="353"/>
      <c r="EJ112" s="353"/>
      <c r="EK112" s="354"/>
      <c r="EL112" s="353" t="s">
        <v>203</v>
      </c>
      <c r="EM112" s="353"/>
      <c r="EN112" s="353"/>
      <c r="EP112" s="353"/>
      <c r="EQ112" s="353"/>
      <c r="ER112" s="354"/>
      <c r="ES112" s="353" t="s">
        <v>203</v>
      </c>
      <c r="ET112" s="353"/>
      <c r="EU112" s="353"/>
      <c r="EW112" s="353"/>
      <c r="EX112" s="353"/>
      <c r="EY112" s="355"/>
      <c r="EZ112" s="352" t="s">
        <v>203</v>
      </c>
      <c r="FA112" s="353"/>
      <c r="FB112" s="353"/>
      <c r="FD112" s="353"/>
      <c r="FE112" s="353"/>
      <c r="FF112" s="353"/>
      <c r="FG112" s="352" t="s">
        <v>203</v>
      </c>
      <c r="FH112" s="353"/>
      <c r="FI112" s="353"/>
      <c r="FK112" s="353"/>
      <c r="FL112" s="353"/>
      <c r="FM112" s="355"/>
      <c r="FN112" s="352"/>
      <c r="FO112" s="353"/>
      <c r="FP112" s="353"/>
      <c r="FR112" s="353"/>
      <c r="FS112" s="353"/>
      <c r="FT112" s="353"/>
      <c r="FU112" s="367" t="s">
        <v>203</v>
      </c>
      <c r="FV112" s="353"/>
      <c r="FW112" s="353"/>
      <c r="FY112" s="353"/>
      <c r="FZ112" s="353"/>
      <c r="GA112" s="353"/>
      <c r="GB112" s="352" t="s">
        <v>203</v>
      </c>
      <c r="GC112" s="353"/>
      <c r="GD112" s="353"/>
      <c r="GF112" s="353"/>
      <c r="GG112" s="353"/>
      <c r="GH112" s="355"/>
      <c r="GI112" s="352" t="s">
        <v>203</v>
      </c>
      <c r="GJ112" s="353"/>
      <c r="GK112" s="353"/>
      <c r="GM112" s="353"/>
      <c r="GN112" s="353"/>
      <c r="GO112" s="355"/>
      <c r="GP112" s="353" t="s">
        <v>203</v>
      </c>
      <c r="GQ112" s="353"/>
      <c r="GR112" s="353"/>
      <c r="GT112" s="353"/>
      <c r="GU112" s="353"/>
      <c r="GV112" s="355"/>
      <c r="GW112" s="352" t="s">
        <v>203</v>
      </c>
      <c r="GX112" s="353"/>
      <c r="GY112" s="353"/>
      <c r="HA112" s="353"/>
      <c r="HB112" s="353"/>
      <c r="HC112" s="355"/>
      <c r="HD112" s="352" t="s">
        <v>203</v>
      </c>
      <c r="HE112" s="353"/>
      <c r="HF112" s="353"/>
      <c r="HH112" s="353"/>
      <c r="HI112" s="353"/>
      <c r="HJ112" s="354"/>
      <c r="HK112" s="353" t="s">
        <v>203</v>
      </c>
      <c r="HL112" s="353"/>
      <c r="HM112" s="353"/>
      <c r="HO112" s="353"/>
      <c r="HP112" s="353"/>
      <c r="HQ112" s="354"/>
      <c r="HR112" s="353"/>
      <c r="HS112" s="353"/>
      <c r="HT112" s="353"/>
      <c r="HV112" s="353"/>
      <c r="HW112" s="353"/>
      <c r="HX112" s="355"/>
    </row>
    <row r="113" spans="2:232" ht="15" customHeight="1" outlineLevel="1" x14ac:dyDescent="0.25">
      <c r="B113" s="147"/>
      <c r="C113" s="147"/>
      <c r="D113" s="147"/>
      <c r="E113" s="147"/>
      <c r="F113" s="157"/>
      <c r="G113" s="147"/>
      <c r="H113" s="157"/>
      <c r="I113" s="175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V113" s="162"/>
      <c r="W113" s="159"/>
      <c r="X113" s="159"/>
      <c r="Y113" s="159"/>
      <c r="Z113" s="159"/>
      <c r="AA113" s="159"/>
      <c r="AB113" s="159"/>
      <c r="AC113" s="160"/>
      <c r="AD113" s="361"/>
      <c r="AE113" s="356"/>
      <c r="AF113" s="356"/>
      <c r="AG113" s="163"/>
      <c r="AH113" s="356"/>
      <c r="AI113" s="356"/>
      <c r="AJ113" s="356"/>
      <c r="AK113" s="368"/>
      <c r="AL113" s="356"/>
      <c r="AM113" s="356"/>
      <c r="AN113" s="163"/>
      <c r="AO113" s="356"/>
      <c r="AP113" s="356"/>
      <c r="AQ113" s="357"/>
      <c r="AR113" s="361"/>
      <c r="AS113" s="356"/>
      <c r="AT113" s="356"/>
      <c r="AU113" s="163"/>
      <c r="AV113" s="356"/>
      <c r="AW113" s="356"/>
      <c r="AX113" s="357"/>
      <c r="AY113" s="361"/>
      <c r="AZ113" s="356"/>
      <c r="BA113" s="356"/>
      <c r="BB113" s="163"/>
      <c r="BC113" s="356"/>
      <c r="BD113" s="356"/>
      <c r="BE113" s="356"/>
      <c r="BF113" s="361"/>
      <c r="BG113" s="356"/>
      <c r="BH113" s="356"/>
      <c r="BI113" s="163"/>
      <c r="BJ113" s="356"/>
      <c r="BK113" s="356"/>
      <c r="BL113" s="357"/>
      <c r="BM113" s="361"/>
      <c r="BN113" s="356"/>
      <c r="BO113" s="356"/>
      <c r="BP113" s="163"/>
      <c r="BQ113" s="356"/>
      <c r="BR113" s="356"/>
      <c r="BS113" s="356"/>
      <c r="BT113" s="368"/>
      <c r="BU113" s="356"/>
      <c r="BV113" s="356"/>
      <c r="BW113" s="163"/>
      <c r="BX113" s="356"/>
      <c r="BY113" s="356"/>
      <c r="BZ113" s="357"/>
      <c r="CA113" s="361"/>
      <c r="CB113" s="356"/>
      <c r="CC113" s="356"/>
      <c r="CD113" s="163"/>
      <c r="CE113" s="356"/>
      <c r="CF113" s="356"/>
      <c r="CG113" s="357"/>
      <c r="CH113" s="361"/>
      <c r="CI113" s="356"/>
      <c r="CJ113" s="356"/>
      <c r="CK113" s="163"/>
      <c r="CL113" s="356"/>
      <c r="CM113" s="356"/>
      <c r="CN113" s="357"/>
      <c r="CO113" s="361"/>
      <c r="CP113" s="356"/>
      <c r="CQ113" s="356"/>
      <c r="CR113" s="163"/>
      <c r="CS113" s="356"/>
      <c r="CT113" s="356"/>
      <c r="CU113" s="357"/>
      <c r="CV113" s="361"/>
      <c r="CW113" s="356"/>
      <c r="CX113" s="356"/>
      <c r="CY113" s="163"/>
      <c r="CZ113" s="356"/>
      <c r="DA113" s="356"/>
      <c r="DB113" s="357"/>
      <c r="DC113" s="356"/>
      <c r="DD113" s="356"/>
      <c r="DE113" s="356"/>
      <c r="DF113" s="163"/>
      <c r="DG113" s="356"/>
      <c r="DH113" s="356"/>
      <c r="DI113" s="357"/>
      <c r="DJ113" s="361"/>
      <c r="DK113" s="356"/>
      <c r="DL113" s="356"/>
      <c r="DM113" s="163"/>
      <c r="DN113" s="356"/>
      <c r="DO113" s="356"/>
      <c r="DP113" s="357"/>
      <c r="DQ113" s="361"/>
      <c r="DR113" s="356"/>
      <c r="DS113" s="356"/>
      <c r="DT113" s="163"/>
      <c r="DU113" s="356"/>
      <c r="DV113" s="356"/>
      <c r="DW113" s="357"/>
      <c r="DX113" s="356"/>
      <c r="DY113" s="356"/>
      <c r="DZ113" s="356"/>
      <c r="EA113" s="163"/>
      <c r="EB113" s="356"/>
      <c r="EC113" s="356"/>
      <c r="ED113" s="357"/>
      <c r="EE113" s="361"/>
      <c r="EF113" s="356"/>
      <c r="EG113" s="356"/>
      <c r="EH113" s="163"/>
      <c r="EI113" s="356"/>
      <c r="EJ113" s="356"/>
      <c r="EK113" s="359"/>
      <c r="EL113" s="356"/>
      <c r="EM113" s="356"/>
      <c r="EN113" s="356"/>
      <c r="EO113" s="163"/>
      <c r="EP113" s="356"/>
      <c r="EQ113" s="356"/>
      <c r="ER113" s="359"/>
      <c r="ES113" s="356"/>
      <c r="ET113" s="356"/>
      <c r="EU113" s="356"/>
      <c r="EV113" s="163"/>
      <c r="EW113" s="356"/>
      <c r="EX113" s="356"/>
      <c r="EY113" s="357"/>
      <c r="EZ113" s="361"/>
      <c r="FA113" s="356"/>
      <c r="FB113" s="356"/>
      <c r="FC113" s="163"/>
      <c r="FD113" s="356"/>
      <c r="FE113" s="356"/>
      <c r="FF113" s="356"/>
      <c r="FG113" s="361"/>
      <c r="FH113" s="356"/>
      <c r="FI113" s="356"/>
      <c r="FJ113" s="163"/>
      <c r="FK113" s="356"/>
      <c r="FL113" s="356"/>
      <c r="FM113" s="357"/>
      <c r="FN113" s="361"/>
      <c r="FO113" s="356"/>
      <c r="FP113" s="356"/>
      <c r="FQ113" s="163"/>
      <c r="FR113" s="356"/>
      <c r="FS113" s="356"/>
      <c r="FT113" s="356"/>
      <c r="FU113" s="368"/>
      <c r="FV113" s="356"/>
      <c r="FW113" s="356"/>
      <c r="FX113" s="163"/>
      <c r="FY113" s="356"/>
      <c r="FZ113" s="356"/>
      <c r="GA113" s="356"/>
      <c r="GB113" s="361"/>
      <c r="GC113" s="356"/>
      <c r="GD113" s="356"/>
      <c r="GE113" s="163"/>
      <c r="GF113" s="356"/>
      <c r="GG113" s="356"/>
      <c r="GH113" s="357"/>
      <c r="GI113" s="361"/>
      <c r="GJ113" s="356"/>
      <c r="GK113" s="356"/>
      <c r="GL113" s="163"/>
      <c r="GM113" s="356"/>
      <c r="GN113" s="356"/>
      <c r="GO113" s="357"/>
      <c r="GP113" s="356"/>
      <c r="GQ113" s="356"/>
      <c r="GR113" s="356"/>
      <c r="GS113" s="163"/>
      <c r="GT113" s="356"/>
      <c r="GU113" s="356"/>
      <c r="GV113" s="357"/>
      <c r="GW113" s="361"/>
      <c r="GX113" s="356"/>
      <c r="GY113" s="356"/>
      <c r="GZ113" s="163"/>
      <c r="HA113" s="356"/>
      <c r="HB113" s="356"/>
      <c r="HC113" s="357"/>
      <c r="HD113" s="361"/>
      <c r="HE113" s="356"/>
      <c r="HF113" s="356"/>
      <c r="HG113" s="163"/>
      <c r="HH113" s="356"/>
      <c r="HI113" s="356"/>
      <c r="HJ113" s="359"/>
      <c r="HK113" s="356"/>
      <c r="HL113" s="356"/>
      <c r="HM113" s="356"/>
      <c r="HN113" s="163"/>
      <c r="HO113" s="356"/>
      <c r="HP113" s="356"/>
      <c r="HQ113" s="359"/>
      <c r="HR113" s="356"/>
      <c r="HS113" s="356"/>
      <c r="HT113" s="356"/>
      <c r="HU113" s="163"/>
      <c r="HV113" s="356"/>
      <c r="HW113" s="356"/>
      <c r="HX113" s="357"/>
    </row>
    <row r="114" spans="2:232" outlineLevel="1" x14ac:dyDescent="0.25">
      <c r="B114" s="32"/>
      <c r="C114" s="333">
        <f>MAX(C107:C108)+1</f>
        <v>14</v>
      </c>
      <c r="D114" s="164" t="s">
        <v>21</v>
      </c>
      <c r="E114" s="34"/>
      <c r="F114" s="165" t="s">
        <v>529</v>
      </c>
      <c r="G114" s="165" t="s">
        <v>529</v>
      </c>
      <c r="H114" s="259" t="s">
        <v>195</v>
      </c>
      <c r="I114" s="176" t="s">
        <v>181</v>
      </c>
      <c r="J114" s="165" t="s">
        <v>171</v>
      </c>
      <c r="K114" s="165">
        <v>2031</v>
      </c>
      <c r="L114" s="165">
        <v>3</v>
      </c>
      <c r="M114" s="165"/>
      <c r="N114" s="165"/>
      <c r="O114" s="165"/>
      <c r="P114" s="165"/>
      <c r="Q114" s="165"/>
      <c r="R114" s="165"/>
      <c r="S114" s="165"/>
      <c r="T114" s="165"/>
      <c r="V114" s="11" t="s">
        <v>283</v>
      </c>
      <c r="W114" s="12"/>
      <c r="X114" s="12"/>
      <c r="Y114" s="12"/>
      <c r="Z114" s="12"/>
      <c r="AA114" s="12"/>
      <c r="AB114" s="12"/>
      <c r="AC114" s="14"/>
      <c r="AD114" s="166">
        <f>$C114</f>
        <v>14</v>
      </c>
      <c r="AE114" s="358" t="s">
        <v>175</v>
      </c>
      <c r="AF114" s="358"/>
      <c r="AG114" s="358"/>
      <c r="AH114" s="158"/>
      <c r="AI114" s="337"/>
      <c r="AJ114" s="337"/>
      <c r="AK114" s="214">
        <f>$C114</f>
        <v>14</v>
      </c>
      <c r="AL114" s="358" t="s">
        <v>175</v>
      </c>
      <c r="AM114" s="358"/>
      <c r="AN114" s="358"/>
      <c r="AO114" s="32"/>
      <c r="AP114" s="353"/>
      <c r="AQ114" s="355"/>
      <c r="AR114" s="166">
        <f>$C114</f>
        <v>14</v>
      </c>
      <c r="AS114" s="358" t="s">
        <v>532</v>
      </c>
      <c r="AT114" s="358"/>
      <c r="AU114" s="358"/>
      <c r="AV114" s="32"/>
      <c r="AW114" s="353"/>
      <c r="AX114" s="355"/>
      <c r="AY114" s="166">
        <f>$C114</f>
        <v>14</v>
      </c>
      <c r="AZ114" s="358" t="s">
        <v>531</v>
      </c>
      <c r="BA114" s="358"/>
      <c r="BB114" s="358"/>
      <c r="BC114" s="32"/>
      <c r="BD114" s="353"/>
      <c r="BE114" s="353"/>
      <c r="BF114" s="166">
        <f>$C114</f>
        <v>14</v>
      </c>
      <c r="BG114" s="358" t="s">
        <v>531</v>
      </c>
      <c r="BH114" s="358"/>
      <c r="BI114" s="358"/>
      <c r="BJ114" s="158"/>
      <c r="BK114" s="337"/>
      <c r="BL114" s="338"/>
      <c r="BM114" s="166">
        <f>$C114</f>
        <v>14</v>
      </c>
      <c r="BN114" s="358" t="s">
        <v>531</v>
      </c>
      <c r="BO114" s="358"/>
      <c r="BP114" s="358"/>
      <c r="BQ114" s="158"/>
      <c r="BR114" s="337"/>
      <c r="BS114" s="337"/>
      <c r="BT114" s="214">
        <f>$C114</f>
        <v>14</v>
      </c>
      <c r="BU114" s="358" t="s">
        <v>538</v>
      </c>
      <c r="BV114" s="358"/>
      <c r="BW114" s="358"/>
      <c r="BX114" s="158"/>
      <c r="BY114" s="337"/>
      <c r="BZ114" s="338"/>
      <c r="CA114" s="166">
        <f>$C114</f>
        <v>14</v>
      </c>
      <c r="CB114" s="358" t="s">
        <v>532</v>
      </c>
      <c r="CC114" s="358"/>
      <c r="CD114" s="358"/>
      <c r="CE114" s="158"/>
      <c r="CF114" s="337"/>
      <c r="CG114" s="338"/>
      <c r="CH114" s="166">
        <f>$C114</f>
        <v>14</v>
      </c>
      <c r="CI114" s="358" t="s">
        <v>532</v>
      </c>
      <c r="CJ114" s="358"/>
      <c r="CK114" s="358"/>
      <c r="CL114" s="158"/>
      <c r="CM114" s="337"/>
      <c r="CN114" s="338"/>
      <c r="CO114" s="166">
        <f>$C114</f>
        <v>14</v>
      </c>
      <c r="CP114" s="358" t="s">
        <v>173</v>
      </c>
      <c r="CQ114" s="358"/>
      <c r="CR114" s="358"/>
      <c r="CS114" s="158"/>
      <c r="CT114" s="337"/>
      <c r="CU114" s="338"/>
      <c r="CV114" s="166">
        <f>$C114</f>
        <v>14</v>
      </c>
      <c r="CW114" s="358" t="s">
        <v>531</v>
      </c>
      <c r="CX114" s="358"/>
      <c r="CY114" s="358"/>
      <c r="CZ114" s="158"/>
      <c r="DA114" s="337"/>
      <c r="DB114" s="338"/>
      <c r="DC114" s="166">
        <f>$C114</f>
        <v>14</v>
      </c>
      <c r="DD114" s="358" t="s">
        <v>531</v>
      </c>
      <c r="DE114" s="358"/>
      <c r="DF114" s="358"/>
      <c r="DG114" s="158"/>
      <c r="DH114" s="337"/>
      <c r="DI114" s="338"/>
      <c r="DJ114" s="166">
        <f>$C114</f>
        <v>14</v>
      </c>
      <c r="DK114" s="358" t="s">
        <v>531</v>
      </c>
      <c r="DL114" s="358"/>
      <c r="DM114" s="358"/>
      <c r="DN114" s="158"/>
      <c r="DO114" s="337"/>
      <c r="DP114" s="338"/>
      <c r="DQ114" s="166">
        <f>$C114</f>
        <v>14</v>
      </c>
      <c r="DR114" s="358" t="s">
        <v>173</v>
      </c>
      <c r="DS114" s="358"/>
      <c r="DT114" s="358"/>
      <c r="DU114" s="158"/>
      <c r="DV114" s="337"/>
      <c r="DW114" s="338"/>
      <c r="DX114" s="166">
        <f>$C114</f>
        <v>14</v>
      </c>
      <c r="DY114" s="358" t="s">
        <v>532</v>
      </c>
      <c r="DZ114" s="358"/>
      <c r="EA114" s="358"/>
      <c r="EB114" s="158"/>
      <c r="EC114" s="337"/>
      <c r="ED114" s="338"/>
      <c r="EE114" s="166">
        <f>$C114</f>
        <v>14</v>
      </c>
      <c r="EF114" s="358" t="s">
        <v>531</v>
      </c>
      <c r="EG114" s="358"/>
      <c r="EH114" s="358"/>
      <c r="EI114" s="158"/>
      <c r="EJ114" s="337"/>
      <c r="EK114" s="351"/>
      <c r="EL114" s="193">
        <f>$C114</f>
        <v>14</v>
      </c>
      <c r="EM114" s="358" t="s">
        <v>645</v>
      </c>
      <c r="EN114" s="358"/>
      <c r="EO114" s="358"/>
      <c r="EP114" s="158"/>
      <c r="EQ114" s="337"/>
      <c r="ER114" s="351"/>
      <c r="ES114" s="193">
        <f>$C114</f>
        <v>14</v>
      </c>
      <c r="ET114" s="358" t="s">
        <v>175</v>
      </c>
      <c r="EU114" s="358"/>
      <c r="EV114" s="358"/>
      <c r="EW114" s="32"/>
      <c r="EX114" s="353"/>
      <c r="EY114" s="355"/>
      <c r="EZ114" s="166">
        <f>$C114</f>
        <v>14</v>
      </c>
      <c r="FA114" s="358" t="s">
        <v>532</v>
      </c>
      <c r="FB114" s="358"/>
      <c r="FC114" s="358"/>
      <c r="FD114" s="32"/>
      <c r="FE114" s="353"/>
      <c r="FF114" s="353"/>
      <c r="FG114" s="166">
        <f>$C114</f>
        <v>14</v>
      </c>
      <c r="FH114" s="358" t="s">
        <v>532</v>
      </c>
      <c r="FI114" s="358"/>
      <c r="FJ114" s="358"/>
      <c r="FK114" s="32"/>
      <c r="FL114" s="337"/>
      <c r="FM114" s="338"/>
      <c r="FN114" s="166">
        <f>$C114</f>
        <v>14</v>
      </c>
      <c r="FO114" s="358" t="s">
        <v>532</v>
      </c>
      <c r="FP114" s="358"/>
      <c r="FQ114" s="358"/>
      <c r="FR114" s="32"/>
      <c r="FS114" s="337"/>
      <c r="FT114" s="337"/>
      <c r="FU114" s="214">
        <f>$C114</f>
        <v>14</v>
      </c>
      <c r="FV114" s="358" t="s">
        <v>532</v>
      </c>
      <c r="FW114" s="358"/>
      <c r="FX114" s="358"/>
      <c r="FY114" s="32"/>
      <c r="FZ114" s="337"/>
      <c r="GA114" s="337"/>
      <c r="GB114" s="166">
        <f>$C114</f>
        <v>14</v>
      </c>
      <c r="GC114" s="358" t="s">
        <v>532</v>
      </c>
      <c r="GD114" s="358"/>
      <c r="GE114" s="358"/>
      <c r="GF114" s="32"/>
      <c r="GG114" s="337"/>
      <c r="GH114" s="338"/>
      <c r="GI114" s="166">
        <f>$C114</f>
        <v>14</v>
      </c>
      <c r="GJ114" s="358" t="s">
        <v>532</v>
      </c>
      <c r="GK114" s="358"/>
      <c r="GL114" s="358"/>
      <c r="GM114" s="32"/>
      <c r="GN114" s="337"/>
      <c r="GO114" s="338"/>
      <c r="GP114" s="193">
        <f>$C114</f>
        <v>14</v>
      </c>
      <c r="GQ114" s="358" t="s">
        <v>175</v>
      </c>
      <c r="GR114" s="358"/>
      <c r="GS114" s="358"/>
      <c r="GT114" s="32"/>
      <c r="GU114" s="337"/>
      <c r="GV114" s="338"/>
      <c r="GW114" s="166">
        <f>$C114</f>
        <v>14</v>
      </c>
      <c r="GX114" s="358" t="s">
        <v>175</v>
      </c>
      <c r="GY114" s="358"/>
      <c r="GZ114" s="358"/>
      <c r="HA114" s="32"/>
      <c r="HB114" s="337"/>
      <c r="HC114" s="338"/>
      <c r="HD114" s="166">
        <f>$C114</f>
        <v>14</v>
      </c>
      <c r="HE114" s="358" t="s">
        <v>532</v>
      </c>
      <c r="HF114" s="358"/>
      <c r="HG114" s="358"/>
      <c r="HH114" s="32"/>
      <c r="HI114" s="337"/>
      <c r="HJ114" s="351"/>
      <c r="HK114" s="193">
        <f>$C114</f>
        <v>14</v>
      </c>
      <c r="HL114" s="358" t="s">
        <v>645</v>
      </c>
      <c r="HM114" s="358"/>
      <c r="HN114" s="358"/>
      <c r="HO114" s="32"/>
      <c r="HP114" s="337"/>
      <c r="HQ114" s="351"/>
      <c r="HR114" s="193"/>
      <c r="HS114" s="362"/>
      <c r="HT114" s="362"/>
      <c r="HU114" s="362"/>
      <c r="HV114" s="257"/>
      <c r="HW114" s="337"/>
      <c r="HX114" s="338"/>
    </row>
    <row r="115" spans="2:232" outlineLevel="1" x14ac:dyDescent="0.25">
      <c r="B115" s="32"/>
      <c r="C115" s="167"/>
      <c r="D115" s="167"/>
      <c r="E115" s="34"/>
      <c r="F115" s="168"/>
      <c r="G115" s="167"/>
      <c r="H115" s="55"/>
      <c r="I115" s="177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V115" s="107"/>
      <c r="W115" s="108"/>
      <c r="X115" s="108"/>
      <c r="Y115" s="108"/>
      <c r="Z115" s="108"/>
      <c r="AA115" s="108"/>
      <c r="AB115" s="108"/>
      <c r="AC115" s="109"/>
      <c r="AD115" s="169"/>
      <c r="AE115" s="365"/>
      <c r="AF115" s="365"/>
      <c r="AG115" s="365"/>
      <c r="AH115" s="30"/>
      <c r="AI115" s="340"/>
      <c r="AJ115" s="340"/>
      <c r="AK115" s="215"/>
      <c r="AL115" s="339"/>
      <c r="AM115" s="339"/>
      <c r="AN115" s="339"/>
      <c r="AO115" s="30"/>
      <c r="AP115" s="340"/>
      <c r="AQ115" s="341"/>
      <c r="AR115" s="169"/>
      <c r="AS115" s="339"/>
      <c r="AT115" s="339"/>
      <c r="AU115" s="339"/>
      <c r="AV115" s="30"/>
      <c r="AW115" s="340"/>
      <c r="AX115" s="341"/>
      <c r="AY115" s="169"/>
      <c r="AZ115" s="339"/>
      <c r="BA115" s="339"/>
      <c r="BB115" s="339"/>
      <c r="BC115" s="30"/>
      <c r="BD115" s="340"/>
      <c r="BE115" s="340"/>
      <c r="BF115" s="169"/>
      <c r="BG115" s="339"/>
      <c r="BH115" s="339"/>
      <c r="BI115" s="339"/>
      <c r="BJ115" s="30"/>
      <c r="BK115" s="340"/>
      <c r="BL115" s="341"/>
      <c r="BM115" s="169"/>
      <c r="BN115" s="339"/>
      <c r="BO115" s="339"/>
      <c r="BP115" s="339"/>
      <c r="BQ115" s="30"/>
      <c r="BR115" s="340"/>
      <c r="BS115" s="340"/>
      <c r="BT115" s="215"/>
      <c r="BU115" s="339"/>
      <c r="BV115" s="339"/>
      <c r="BW115" s="339"/>
      <c r="BX115" s="30"/>
      <c r="BY115" s="340"/>
      <c r="BZ115" s="341"/>
      <c r="CA115" s="169"/>
      <c r="CB115" s="339"/>
      <c r="CC115" s="339"/>
      <c r="CD115" s="339"/>
      <c r="CE115" s="30"/>
      <c r="CF115" s="340"/>
      <c r="CG115" s="341"/>
      <c r="CH115" s="169"/>
      <c r="CI115" s="339"/>
      <c r="CJ115" s="339"/>
      <c r="CK115" s="339"/>
      <c r="CL115" s="30"/>
      <c r="CM115" s="340"/>
      <c r="CN115" s="341"/>
      <c r="CO115" s="169"/>
      <c r="CP115" s="339"/>
      <c r="CQ115" s="339"/>
      <c r="CR115" s="339"/>
      <c r="CS115" s="30"/>
      <c r="CT115" s="340"/>
      <c r="CU115" s="341"/>
      <c r="CV115" s="169"/>
      <c r="CW115" s="339"/>
      <c r="CX115" s="339"/>
      <c r="CY115" s="339"/>
      <c r="CZ115" s="30"/>
      <c r="DA115" s="340"/>
      <c r="DB115" s="341"/>
      <c r="DC115" s="192"/>
      <c r="DD115" s="339"/>
      <c r="DE115" s="339"/>
      <c r="DF115" s="339"/>
      <c r="DG115" s="30"/>
      <c r="DH115" s="340"/>
      <c r="DI115" s="341"/>
      <c r="DJ115" s="169"/>
      <c r="DK115" s="339"/>
      <c r="DL115" s="339"/>
      <c r="DM115" s="339"/>
      <c r="DN115" s="30"/>
      <c r="DO115" s="340"/>
      <c r="DP115" s="341"/>
      <c r="DQ115" s="169"/>
      <c r="DR115" s="339"/>
      <c r="DS115" s="339"/>
      <c r="DT115" s="339"/>
      <c r="DU115" s="30"/>
      <c r="DV115" s="340"/>
      <c r="DW115" s="341"/>
      <c r="DX115" s="192"/>
      <c r="DY115" s="339"/>
      <c r="DZ115" s="339"/>
      <c r="EA115" s="339"/>
      <c r="EB115" s="30"/>
      <c r="EC115" s="340"/>
      <c r="ED115" s="341"/>
      <c r="EE115" s="169"/>
      <c r="EF115" s="339"/>
      <c r="EG115" s="339"/>
      <c r="EH115" s="339"/>
      <c r="EI115" s="30"/>
      <c r="EJ115" s="340"/>
      <c r="EK115" s="360"/>
      <c r="EL115" s="192"/>
      <c r="EM115" s="339"/>
      <c r="EN115" s="339"/>
      <c r="EO115" s="339"/>
      <c r="EP115" s="30"/>
      <c r="EQ115" s="340"/>
      <c r="ER115" s="360"/>
      <c r="ES115" s="192"/>
      <c r="ET115" s="339"/>
      <c r="EU115" s="339"/>
      <c r="EV115" s="339"/>
      <c r="EW115" s="30"/>
      <c r="EX115" s="340"/>
      <c r="EY115" s="341"/>
      <c r="EZ115" s="169"/>
      <c r="FA115" s="339"/>
      <c r="FB115" s="339"/>
      <c r="FC115" s="339"/>
      <c r="FD115" s="30"/>
      <c r="FE115" s="340"/>
      <c r="FF115" s="340"/>
      <c r="FG115" s="169"/>
      <c r="FH115" s="339"/>
      <c r="FI115" s="339"/>
      <c r="FJ115" s="339"/>
      <c r="FK115" s="30"/>
      <c r="FL115" s="340"/>
      <c r="FM115" s="341"/>
      <c r="FN115" s="169"/>
      <c r="FO115" s="339"/>
      <c r="FP115" s="339"/>
      <c r="FQ115" s="339"/>
      <c r="FR115" s="30"/>
      <c r="FS115" s="340"/>
      <c r="FT115" s="340"/>
      <c r="FU115" s="215"/>
      <c r="FV115" s="339"/>
      <c r="FW115" s="339"/>
      <c r="FX115" s="339"/>
      <c r="FY115" s="30"/>
      <c r="FZ115" s="340"/>
      <c r="GA115" s="340"/>
      <c r="GB115" s="169"/>
      <c r="GC115" s="339"/>
      <c r="GD115" s="339"/>
      <c r="GE115" s="339"/>
      <c r="GF115" s="30"/>
      <c r="GG115" s="340"/>
      <c r="GH115" s="341"/>
      <c r="GI115" s="169"/>
      <c r="GJ115" s="339"/>
      <c r="GK115" s="339"/>
      <c r="GL115" s="339"/>
      <c r="GM115" s="30"/>
      <c r="GN115" s="340"/>
      <c r="GO115" s="341"/>
      <c r="GP115" s="192"/>
      <c r="GQ115" s="339"/>
      <c r="GR115" s="339"/>
      <c r="GS115" s="339"/>
      <c r="GT115" s="30"/>
      <c r="GU115" s="340"/>
      <c r="GV115" s="341"/>
      <c r="GW115" s="169"/>
      <c r="GX115" s="339"/>
      <c r="GY115" s="339"/>
      <c r="GZ115" s="339"/>
      <c r="HA115" s="30"/>
      <c r="HB115" s="340"/>
      <c r="HC115" s="341"/>
      <c r="HD115" s="169"/>
      <c r="HE115" s="339"/>
      <c r="HF115" s="339"/>
      <c r="HG115" s="339"/>
      <c r="HH115" s="30"/>
      <c r="HI115" s="340"/>
      <c r="HJ115" s="360"/>
      <c r="HK115" s="192"/>
      <c r="HL115" s="339"/>
      <c r="HM115" s="339"/>
      <c r="HN115" s="339"/>
      <c r="HO115" s="30"/>
      <c r="HP115" s="340"/>
      <c r="HQ115" s="360"/>
      <c r="HR115" s="192"/>
      <c r="HS115" s="339"/>
      <c r="HT115" s="339"/>
      <c r="HU115" s="339"/>
      <c r="HV115" s="258"/>
      <c r="HW115" s="340"/>
      <c r="HX115" s="341"/>
    </row>
    <row r="116" spans="2:232" ht="15" customHeight="1" outlineLevel="1" x14ac:dyDescent="0.25">
      <c r="B116" s="147"/>
      <c r="C116" s="147"/>
      <c r="D116" s="148"/>
      <c r="E116" s="147"/>
      <c r="F116" s="149"/>
      <c r="G116" s="148"/>
      <c r="H116" s="149"/>
      <c r="I116" s="174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V116" s="150" t="s">
        <v>170</v>
      </c>
      <c r="W116" s="151"/>
      <c r="X116" s="151"/>
      <c r="Y116" s="151"/>
      <c r="Z116" s="151"/>
      <c r="AA116" s="151"/>
      <c r="AB116" s="369"/>
      <c r="AC116" s="370"/>
      <c r="AD116" s="342" t="s">
        <v>217</v>
      </c>
      <c r="AE116" s="343"/>
      <c r="AF116" s="343"/>
      <c r="AG116" s="343"/>
      <c r="AH116" s="343"/>
      <c r="AI116" s="152"/>
      <c r="AJ116" s="194">
        <f>COUNTA(AD121:AD122)</f>
        <v>1</v>
      </c>
      <c r="AK116" s="366" t="s">
        <v>217</v>
      </c>
      <c r="AL116" s="343"/>
      <c r="AM116" s="343"/>
      <c r="AN116" s="343"/>
      <c r="AO116" s="343"/>
      <c r="AP116" s="152"/>
      <c r="AQ116" s="155">
        <f>COUNTA(AK121:AK122)</f>
        <v>1</v>
      </c>
      <c r="AR116" s="342" t="s">
        <v>217</v>
      </c>
      <c r="AS116" s="343"/>
      <c r="AT116" s="343"/>
      <c r="AU116" s="343"/>
      <c r="AV116" s="343"/>
      <c r="AW116" s="152"/>
      <c r="AX116" s="155">
        <f>COUNTA(AR121:AR122)</f>
        <v>1</v>
      </c>
      <c r="AY116" s="342" t="s">
        <v>217</v>
      </c>
      <c r="AZ116" s="343"/>
      <c r="BA116" s="343"/>
      <c r="BB116" s="343"/>
      <c r="BC116" s="343"/>
      <c r="BD116" s="152"/>
      <c r="BE116" s="194">
        <f>COUNTA(AY121:AY122)</f>
        <v>1</v>
      </c>
      <c r="BF116" s="342" t="s">
        <v>217</v>
      </c>
      <c r="BG116" s="343"/>
      <c r="BH116" s="343"/>
      <c r="BI116" s="343"/>
      <c r="BJ116" s="343"/>
      <c r="BK116" s="152"/>
      <c r="BL116" s="155">
        <f>COUNTA(BF121:BF122)</f>
        <v>1</v>
      </c>
      <c r="BM116" s="342" t="s">
        <v>217</v>
      </c>
      <c r="BN116" s="343"/>
      <c r="BO116" s="343"/>
      <c r="BP116" s="343"/>
      <c r="BQ116" s="343"/>
      <c r="BR116" s="152"/>
      <c r="BS116" s="194">
        <f>COUNTA(BM121:BM122)</f>
        <v>1</v>
      </c>
      <c r="BT116" s="366" t="s">
        <v>217</v>
      </c>
      <c r="BU116" s="343"/>
      <c r="BV116" s="343"/>
      <c r="BW116" s="343"/>
      <c r="BX116" s="343"/>
      <c r="BY116" s="152"/>
      <c r="BZ116" s="155">
        <f>COUNTA(BT121:BT122)</f>
        <v>1</v>
      </c>
      <c r="CA116" s="342" t="s">
        <v>217</v>
      </c>
      <c r="CB116" s="343"/>
      <c r="CC116" s="343"/>
      <c r="CD116" s="343"/>
      <c r="CE116" s="343"/>
      <c r="CF116" s="152"/>
      <c r="CG116" s="155">
        <f>COUNTA(CA121:CA122)</f>
        <v>1</v>
      </c>
      <c r="CH116" s="342" t="s">
        <v>217</v>
      </c>
      <c r="CI116" s="343"/>
      <c r="CJ116" s="343"/>
      <c r="CK116" s="343"/>
      <c r="CL116" s="343"/>
      <c r="CM116" s="152"/>
      <c r="CN116" s="155">
        <f>COUNTA(CH121:CH122)</f>
        <v>1</v>
      </c>
      <c r="CO116" s="342" t="s">
        <v>217</v>
      </c>
      <c r="CP116" s="343"/>
      <c r="CQ116" s="343"/>
      <c r="CR116" s="343"/>
      <c r="CS116" s="343"/>
      <c r="CT116" s="152"/>
      <c r="CU116" s="155">
        <f>COUNTA(CO121:CO122)</f>
        <v>1</v>
      </c>
      <c r="CV116" s="342" t="s">
        <v>217</v>
      </c>
      <c r="CW116" s="343"/>
      <c r="CX116" s="343"/>
      <c r="CY116" s="343"/>
      <c r="CZ116" s="343"/>
      <c r="DA116" s="152"/>
      <c r="DB116" s="155">
        <f>COUNTA(CV121:CV122)</f>
        <v>1</v>
      </c>
      <c r="DC116" s="343" t="s">
        <v>217</v>
      </c>
      <c r="DD116" s="343"/>
      <c r="DE116" s="343"/>
      <c r="DF116" s="343"/>
      <c r="DG116" s="343"/>
      <c r="DH116" s="152"/>
      <c r="DI116" s="155">
        <f>COUNTA(DC121:DC122)</f>
        <v>1</v>
      </c>
      <c r="DJ116" s="342" t="s">
        <v>217</v>
      </c>
      <c r="DK116" s="343"/>
      <c r="DL116" s="343"/>
      <c r="DM116" s="343"/>
      <c r="DN116" s="343"/>
      <c r="DO116" s="152"/>
      <c r="DP116" s="155">
        <f>COUNTA(DJ121:DJ122)</f>
        <v>1</v>
      </c>
      <c r="DQ116" s="342" t="s">
        <v>217</v>
      </c>
      <c r="DR116" s="343"/>
      <c r="DS116" s="343"/>
      <c r="DT116" s="343"/>
      <c r="DU116" s="343"/>
      <c r="DV116" s="152"/>
      <c r="DW116" s="155">
        <f>COUNTA(DQ121:DQ122)</f>
        <v>1</v>
      </c>
      <c r="DX116" s="343" t="s">
        <v>217</v>
      </c>
      <c r="DY116" s="343"/>
      <c r="DZ116" s="343"/>
      <c r="EA116" s="343"/>
      <c r="EB116" s="343"/>
      <c r="EC116" s="152"/>
      <c r="ED116" s="155">
        <f>COUNTA(DX121:DX122)</f>
        <v>1</v>
      </c>
      <c r="EE116" s="342" t="s">
        <v>217</v>
      </c>
      <c r="EF116" s="343"/>
      <c r="EG116" s="343"/>
      <c r="EH116" s="343"/>
      <c r="EI116" s="343"/>
      <c r="EJ116" s="152"/>
      <c r="EK116" s="218">
        <f>COUNTA(EE121:EE122)</f>
        <v>1</v>
      </c>
      <c r="EL116" s="343" t="s">
        <v>217</v>
      </c>
      <c r="EM116" s="343"/>
      <c r="EN116" s="343"/>
      <c r="EO116" s="343"/>
      <c r="EP116" s="343"/>
      <c r="EQ116" s="152"/>
      <c r="ER116" s="218">
        <f>COUNTA(EL121:EL122)</f>
        <v>1</v>
      </c>
      <c r="ES116" s="343" t="s">
        <v>217</v>
      </c>
      <c r="ET116" s="343"/>
      <c r="EU116" s="343"/>
      <c r="EV116" s="343"/>
      <c r="EW116" s="343"/>
      <c r="EX116" s="152"/>
      <c r="EY116" s="155">
        <f>COUNTA(ES121:ES122)</f>
        <v>1</v>
      </c>
      <c r="EZ116" s="342" t="s">
        <v>245</v>
      </c>
      <c r="FA116" s="343"/>
      <c r="FB116" s="343"/>
      <c r="FC116" s="343"/>
      <c r="FD116" s="343"/>
      <c r="FE116" s="152"/>
      <c r="FF116" s="194">
        <f>COUNTA(EZ121:EZ122)</f>
        <v>1</v>
      </c>
      <c r="FG116" s="342" t="s">
        <v>217</v>
      </c>
      <c r="FH116" s="343"/>
      <c r="FI116" s="343"/>
      <c r="FJ116" s="343"/>
      <c r="FK116" s="343"/>
      <c r="FL116" s="152"/>
      <c r="FM116" s="155">
        <f>COUNTA(FG121:FG122)</f>
        <v>1</v>
      </c>
      <c r="FN116" s="342" t="s">
        <v>217</v>
      </c>
      <c r="FO116" s="343"/>
      <c r="FP116" s="343"/>
      <c r="FQ116" s="343"/>
      <c r="FR116" s="343"/>
      <c r="FS116" s="152"/>
      <c r="FT116" s="194">
        <f>COUNTA(FN121:FN122)</f>
        <v>1</v>
      </c>
      <c r="FU116" s="366" t="s">
        <v>217</v>
      </c>
      <c r="FV116" s="343"/>
      <c r="FW116" s="343"/>
      <c r="FX116" s="343"/>
      <c r="FY116" s="343"/>
      <c r="FZ116" s="152"/>
      <c r="GA116" s="194">
        <f>COUNTA(FU121:FU122)</f>
        <v>1</v>
      </c>
      <c r="GB116" s="342" t="s">
        <v>217</v>
      </c>
      <c r="GC116" s="343"/>
      <c r="GD116" s="343"/>
      <c r="GE116" s="343"/>
      <c r="GF116" s="343"/>
      <c r="GG116" s="152"/>
      <c r="GH116" s="155">
        <f>COUNTA(GB121:GB122)</f>
        <v>1</v>
      </c>
      <c r="GI116" s="342" t="s">
        <v>217</v>
      </c>
      <c r="GJ116" s="343"/>
      <c r="GK116" s="343"/>
      <c r="GL116" s="343"/>
      <c r="GM116" s="343"/>
      <c r="GN116" s="152"/>
      <c r="GO116" s="155">
        <f>COUNTA(GI121:GI122)</f>
        <v>1</v>
      </c>
      <c r="GP116" s="343" t="s">
        <v>217</v>
      </c>
      <c r="GQ116" s="343"/>
      <c r="GR116" s="343"/>
      <c r="GS116" s="343"/>
      <c r="GT116" s="343"/>
      <c r="GU116" s="152"/>
      <c r="GV116" s="155">
        <f>COUNTA(GP121:GP122)</f>
        <v>1</v>
      </c>
      <c r="GW116" s="342" t="s">
        <v>217</v>
      </c>
      <c r="GX116" s="343"/>
      <c r="GY116" s="343"/>
      <c r="GZ116" s="343"/>
      <c r="HA116" s="343"/>
      <c r="HB116" s="152"/>
      <c r="HC116" s="155">
        <f>COUNTA(GW121:GW122)</f>
        <v>1</v>
      </c>
      <c r="HD116" s="342" t="s">
        <v>217</v>
      </c>
      <c r="HE116" s="343"/>
      <c r="HF116" s="343"/>
      <c r="HG116" s="343"/>
      <c r="HH116" s="343"/>
      <c r="HI116" s="152"/>
      <c r="HJ116" s="218">
        <f>COUNTA(HD121:HD122)</f>
        <v>1</v>
      </c>
      <c r="HK116" s="343" t="s">
        <v>217</v>
      </c>
      <c r="HL116" s="343"/>
      <c r="HM116" s="343"/>
      <c r="HN116" s="343"/>
      <c r="HO116" s="343"/>
      <c r="HP116" s="152"/>
      <c r="HQ116" s="218">
        <f>COUNTA(HK121:HK122)</f>
        <v>1</v>
      </c>
      <c r="HR116" s="152"/>
      <c r="HS116" s="152"/>
      <c r="HT116" s="153"/>
      <c r="HU116" s="152"/>
      <c r="HV116" s="255"/>
      <c r="HW116" s="152"/>
      <c r="HX116" s="155">
        <f>COUNTA(HR121:HR122)</f>
        <v>0</v>
      </c>
    </row>
    <row r="117" spans="2:232" ht="15" customHeight="1" outlineLevel="1" x14ac:dyDescent="0.25">
      <c r="B117" s="147"/>
      <c r="C117" s="147"/>
      <c r="D117" s="147"/>
      <c r="E117" s="147"/>
      <c r="F117" s="157"/>
      <c r="G117" s="147"/>
      <c r="H117" s="157"/>
      <c r="I117" s="175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V117" s="185" t="s">
        <v>224</v>
      </c>
      <c r="W117" s="186"/>
      <c r="X117" s="186"/>
      <c r="Y117" s="186"/>
      <c r="Z117" s="186"/>
      <c r="AA117" s="186"/>
      <c r="AB117" s="187"/>
      <c r="AC117" s="188"/>
      <c r="AD117" s="344" t="s">
        <v>225</v>
      </c>
      <c r="AE117" s="345"/>
      <c r="AF117" s="345"/>
      <c r="AG117" s="181" t="s">
        <v>75</v>
      </c>
      <c r="AH117" s="346" t="s">
        <v>298</v>
      </c>
      <c r="AI117" s="346"/>
      <c r="AJ117" s="346"/>
      <c r="AK117" s="363" t="s">
        <v>227</v>
      </c>
      <c r="AL117" s="345"/>
      <c r="AM117" s="345"/>
      <c r="AN117" s="181" t="s">
        <v>75</v>
      </c>
      <c r="AO117" s="346" t="s">
        <v>329</v>
      </c>
      <c r="AP117" s="346"/>
      <c r="AQ117" s="349"/>
      <c r="AR117" s="344" t="s">
        <v>227</v>
      </c>
      <c r="AS117" s="345"/>
      <c r="AT117" s="345"/>
      <c r="AU117" s="181" t="s">
        <v>75</v>
      </c>
      <c r="AV117" s="346" t="s">
        <v>329</v>
      </c>
      <c r="AW117" s="346"/>
      <c r="AX117" s="349"/>
      <c r="AY117" s="344" t="s">
        <v>227</v>
      </c>
      <c r="AZ117" s="345"/>
      <c r="BA117" s="345"/>
      <c r="BB117" s="181" t="s">
        <v>75</v>
      </c>
      <c r="BC117" s="346" t="s">
        <v>329</v>
      </c>
      <c r="BD117" s="346"/>
      <c r="BE117" s="349"/>
      <c r="BF117" s="344" t="s">
        <v>227</v>
      </c>
      <c r="BG117" s="345"/>
      <c r="BH117" s="345"/>
      <c r="BI117" s="181" t="s">
        <v>75</v>
      </c>
      <c r="BJ117" s="346" t="s">
        <v>329</v>
      </c>
      <c r="BK117" s="346"/>
      <c r="BL117" s="349"/>
      <c r="BM117" s="344" t="s">
        <v>227</v>
      </c>
      <c r="BN117" s="345"/>
      <c r="BO117" s="345"/>
      <c r="BP117" s="181" t="s">
        <v>75</v>
      </c>
      <c r="BQ117" s="346" t="s">
        <v>329</v>
      </c>
      <c r="BR117" s="346"/>
      <c r="BS117" s="349"/>
      <c r="BT117" s="363" t="s">
        <v>232</v>
      </c>
      <c r="BU117" s="345"/>
      <c r="BV117" s="345"/>
      <c r="BW117" s="181" t="s">
        <v>75</v>
      </c>
      <c r="BX117" s="346" t="s">
        <v>348</v>
      </c>
      <c r="BY117" s="346"/>
      <c r="BZ117" s="349"/>
      <c r="CA117" s="344" t="s">
        <v>347</v>
      </c>
      <c r="CB117" s="345"/>
      <c r="CC117" s="345"/>
      <c r="CD117" s="181" t="s">
        <v>75</v>
      </c>
      <c r="CE117" s="346" t="s">
        <v>348</v>
      </c>
      <c r="CF117" s="346"/>
      <c r="CG117" s="349"/>
      <c r="CH117" s="344" t="s">
        <v>232</v>
      </c>
      <c r="CI117" s="345"/>
      <c r="CJ117" s="345"/>
      <c r="CK117" s="181" t="s">
        <v>75</v>
      </c>
      <c r="CL117" s="346" t="s">
        <v>348</v>
      </c>
      <c r="CM117" s="346"/>
      <c r="CN117" s="349"/>
      <c r="CO117" s="344" t="s">
        <v>232</v>
      </c>
      <c r="CP117" s="345"/>
      <c r="CQ117" s="345"/>
      <c r="CR117" s="181" t="s">
        <v>75</v>
      </c>
      <c r="CS117" s="346" t="s">
        <v>348</v>
      </c>
      <c r="CT117" s="346"/>
      <c r="CU117" s="349"/>
      <c r="CV117" s="344" t="s">
        <v>232</v>
      </c>
      <c r="CW117" s="345"/>
      <c r="CX117" s="345"/>
      <c r="CY117" s="181" t="s">
        <v>75</v>
      </c>
      <c r="CZ117" s="346" t="s">
        <v>348</v>
      </c>
      <c r="DA117" s="346"/>
      <c r="DB117" s="349"/>
      <c r="DC117" s="344" t="s">
        <v>232</v>
      </c>
      <c r="DD117" s="345"/>
      <c r="DE117" s="345"/>
      <c r="DF117" s="181" t="s">
        <v>75</v>
      </c>
      <c r="DG117" s="346" t="s">
        <v>348</v>
      </c>
      <c r="DH117" s="346"/>
      <c r="DI117" s="349"/>
      <c r="DJ117" s="344" t="s">
        <v>232</v>
      </c>
      <c r="DK117" s="345"/>
      <c r="DL117" s="345"/>
      <c r="DM117" s="181" t="s">
        <v>75</v>
      </c>
      <c r="DN117" s="346" t="s">
        <v>348</v>
      </c>
      <c r="DO117" s="346"/>
      <c r="DP117" s="349"/>
      <c r="DQ117" s="345" t="s">
        <v>232</v>
      </c>
      <c r="DR117" s="345"/>
      <c r="DS117" s="345"/>
      <c r="DT117" s="181" t="s">
        <v>75</v>
      </c>
      <c r="DU117" s="346" t="s">
        <v>348</v>
      </c>
      <c r="DV117" s="346"/>
      <c r="DW117" s="349"/>
      <c r="DX117" s="345" t="s">
        <v>232</v>
      </c>
      <c r="DY117" s="345"/>
      <c r="DZ117" s="345"/>
      <c r="EA117" s="181" t="s">
        <v>75</v>
      </c>
      <c r="EB117" s="346" t="s">
        <v>348</v>
      </c>
      <c r="EC117" s="346"/>
      <c r="ED117" s="349"/>
      <c r="EE117" s="345" t="s">
        <v>232</v>
      </c>
      <c r="EF117" s="345"/>
      <c r="EG117" s="345"/>
      <c r="EH117" s="181" t="s">
        <v>75</v>
      </c>
      <c r="EI117" s="346" t="s">
        <v>348</v>
      </c>
      <c r="EJ117" s="346"/>
      <c r="EK117" s="347"/>
      <c r="EL117" s="345" t="s">
        <v>539</v>
      </c>
      <c r="EM117" s="345"/>
      <c r="EN117" s="345"/>
      <c r="EO117" s="181" t="s">
        <v>75</v>
      </c>
      <c r="EP117" s="346" t="s">
        <v>348</v>
      </c>
      <c r="EQ117" s="346"/>
      <c r="ER117" s="347"/>
      <c r="ES117" s="345" t="s">
        <v>243</v>
      </c>
      <c r="ET117" s="345"/>
      <c r="EU117" s="345"/>
      <c r="EV117" s="181" t="s">
        <v>75</v>
      </c>
      <c r="EW117" s="346" t="s">
        <v>375</v>
      </c>
      <c r="EX117" s="346"/>
      <c r="EY117" s="349"/>
      <c r="EZ117" s="344" t="s">
        <v>243</v>
      </c>
      <c r="FA117" s="345"/>
      <c r="FB117" s="345"/>
      <c r="FC117" s="181" t="s">
        <v>75</v>
      </c>
      <c r="FD117" s="346" t="s">
        <v>375</v>
      </c>
      <c r="FE117" s="346"/>
      <c r="FF117" s="349"/>
      <c r="FG117" s="344" t="s">
        <v>243</v>
      </c>
      <c r="FH117" s="345"/>
      <c r="FI117" s="345"/>
      <c r="FJ117" s="181" t="s">
        <v>75</v>
      </c>
      <c r="FK117" s="346" t="s">
        <v>375</v>
      </c>
      <c r="FL117" s="346"/>
      <c r="FM117" s="349"/>
      <c r="FN117" s="344" t="s">
        <v>243</v>
      </c>
      <c r="FO117" s="345"/>
      <c r="FP117" s="345"/>
      <c r="FQ117" s="181" t="s">
        <v>75</v>
      </c>
      <c r="FR117" s="346" t="s">
        <v>375</v>
      </c>
      <c r="FS117" s="346"/>
      <c r="FT117" s="349"/>
      <c r="FU117" s="363" t="s">
        <v>246</v>
      </c>
      <c r="FV117" s="345"/>
      <c r="FW117" s="345"/>
      <c r="FX117" s="181" t="s">
        <v>75</v>
      </c>
      <c r="FY117" s="346" t="s">
        <v>398</v>
      </c>
      <c r="FZ117" s="346"/>
      <c r="GA117" s="346"/>
      <c r="GB117" s="344" t="s">
        <v>246</v>
      </c>
      <c r="GC117" s="345"/>
      <c r="GD117" s="345"/>
      <c r="GE117" s="181" t="s">
        <v>75</v>
      </c>
      <c r="GF117" s="346" t="s">
        <v>398</v>
      </c>
      <c r="GG117" s="346"/>
      <c r="GH117" s="349"/>
      <c r="GI117" s="344" t="s">
        <v>246</v>
      </c>
      <c r="GJ117" s="345"/>
      <c r="GK117" s="345"/>
      <c r="GL117" s="181" t="s">
        <v>75</v>
      </c>
      <c r="GM117" s="346" t="s">
        <v>398</v>
      </c>
      <c r="GN117" s="346"/>
      <c r="GO117" s="349"/>
      <c r="GP117" s="345" t="s">
        <v>246</v>
      </c>
      <c r="GQ117" s="345"/>
      <c r="GR117" s="345"/>
      <c r="GS117" s="181" t="s">
        <v>75</v>
      </c>
      <c r="GT117" s="346" t="s">
        <v>398</v>
      </c>
      <c r="GU117" s="346"/>
      <c r="GV117" s="349"/>
      <c r="GW117" s="344" t="s">
        <v>246</v>
      </c>
      <c r="GX117" s="345"/>
      <c r="GY117" s="345"/>
      <c r="GZ117" s="181" t="s">
        <v>75</v>
      </c>
      <c r="HA117" s="346" t="s">
        <v>398</v>
      </c>
      <c r="HB117" s="346"/>
      <c r="HC117" s="349"/>
      <c r="HD117" s="344" t="s">
        <v>246</v>
      </c>
      <c r="HE117" s="345"/>
      <c r="HF117" s="345"/>
      <c r="HG117" s="181" t="s">
        <v>75</v>
      </c>
      <c r="HH117" s="346" t="s">
        <v>398</v>
      </c>
      <c r="HI117" s="346"/>
      <c r="HJ117" s="347"/>
      <c r="HK117" s="345" t="s">
        <v>541</v>
      </c>
      <c r="HL117" s="345"/>
      <c r="HM117" s="345"/>
      <c r="HN117" s="181" t="s">
        <v>75</v>
      </c>
      <c r="HO117" s="346" t="s">
        <v>398</v>
      </c>
      <c r="HP117" s="346"/>
      <c r="HQ117" s="347"/>
      <c r="HR117" s="181"/>
      <c r="HS117" s="181"/>
      <c r="HT117" s="182"/>
      <c r="HU117" s="181"/>
      <c r="HV117" s="256"/>
      <c r="HW117" s="181"/>
      <c r="HX117" s="184"/>
    </row>
    <row r="118" spans="2:232" ht="15" customHeight="1" outlineLevel="1" x14ac:dyDescent="0.25">
      <c r="B118" s="147"/>
      <c r="C118" s="147"/>
      <c r="D118" s="147"/>
      <c r="E118" s="147"/>
      <c r="F118" s="157"/>
      <c r="G118" s="147"/>
      <c r="H118" s="157"/>
      <c r="I118" s="175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V118" s="161" t="s">
        <v>199</v>
      </c>
      <c r="W118" s="12"/>
      <c r="X118" s="12"/>
      <c r="Y118" s="12"/>
      <c r="Z118" s="12"/>
      <c r="AA118" s="12"/>
      <c r="AB118" s="12"/>
      <c r="AC118" s="14"/>
      <c r="AD118" s="352" t="s">
        <v>201</v>
      </c>
      <c r="AE118" s="353"/>
      <c r="AF118" s="353"/>
      <c r="AG118" s="1" t="s">
        <v>57</v>
      </c>
      <c r="AH118" s="337" t="s">
        <v>221</v>
      </c>
      <c r="AI118" s="337"/>
      <c r="AJ118" s="337"/>
      <c r="AK118" s="364" t="s">
        <v>202</v>
      </c>
      <c r="AL118" s="337"/>
      <c r="AM118" s="337"/>
      <c r="AN118" s="1" t="s">
        <v>57</v>
      </c>
      <c r="AO118" s="337" t="s">
        <v>221</v>
      </c>
      <c r="AP118" s="337"/>
      <c r="AQ118" s="338"/>
      <c r="AR118" s="350" t="s">
        <v>221</v>
      </c>
      <c r="AS118" s="337"/>
      <c r="AT118" s="337"/>
      <c r="AU118" s="1" t="s">
        <v>57</v>
      </c>
      <c r="AV118" s="337" t="s">
        <v>228</v>
      </c>
      <c r="AW118" s="337"/>
      <c r="AX118" s="338"/>
      <c r="AY118" s="350" t="s">
        <v>228</v>
      </c>
      <c r="AZ118" s="337"/>
      <c r="BA118" s="337"/>
      <c r="BB118" s="1" t="s">
        <v>57</v>
      </c>
      <c r="BC118" s="337" t="s">
        <v>352</v>
      </c>
      <c r="BD118" s="337"/>
      <c r="BE118" s="337"/>
      <c r="BF118" s="350" t="s">
        <v>556</v>
      </c>
      <c r="BG118" s="337"/>
      <c r="BH118" s="337"/>
      <c r="BI118" s="191"/>
      <c r="BJ118" s="337"/>
      <c r="BK118" s="337"/>
      <c r="BL118" s="338"/>
      <c r="BM118" s="350" t="s">
        <v>556</v>
      </c>
      <c r="BN118" s="337"/>
      <c r="BO118" s="337"/>
      <c r="BP118" s="191"/>
      <c r="BQ118" s="337"/>
      <c r="BR118" s="337"/>
      <c r="BS118" s="338"/>
      <c r="BT118" s="364" t="s">
        <v>221</v>
      </c>
      <c r="BU118" s="337"/>
      <c r="BV118" s="337"/>
      <c r="BW118" s="1" t="s">
        <v>57</v>
      </c>
      <c r="BX118" s="337" t="s">
        <v>231</v>
      </c>
      <c r="BY118" s="337"/>
      <c r="BZ118" s="338"/>
      <c r="CA118" s="337" t="s">
        <v>231</v>
      </c>
      <c r="CB118" s="337"/>
      <c r="CC118" s="337"/>
      <c r="CD118" s="1" t="s">
        <v>57</v>
      </c>
      <c r="CE118" s="337" t="s">
        <v>221</v>
      </c>
      <c r="CF118" s="337"/>
      <c r="CG118" s="337"/>
      <c r="CH118" s="350" t="s">
        <v>221</v>
      </c>
      <c r="CI118" s="337"/>
      <c r="CJ118" s="337"/>
      <c r="CK118" s="1" t="s">
        <v>57</v>
      </c>
      <c r="CL118" s="337" t="s">
        <v>234</v>
      </c>
      <c r="CM118" s="337"/>
      <c r="CN118" s="338"/>
      <c r="CO118" s="350" t="s">
        <v>262</v>
      </c>
      <c r="CP118" s="337"/>
      <c r="CQ118" s="337"/>
      <c r="CR118" s="1" t="s">
        <v>57</v>
      </c>
      <c r="CS118" s="337" t="s">
        <v>233</v>
      </c>
      <c r="CT118" s="337"/>
      <c r="CU118" s="338"/>
      <c r="CV118" s="350" t="s">
        <v>228</v>
      </c>
      <c r="CW118" s="337"/>
      <c r="CX118" s="337"/>
      <c r="CY118" s="1" t="s">
        <v>57</v>
      </c>
      <c r="CZ118" s="337" t="s">
        <v>231</v>
      </c>
      <c r="DA118" s="337"/>
      <c r="DB118" s="338"/>
      <c r="DC118" s="350" t="s">
        <v>231</v>
      </c>
      <c r="DD118" s="337"/>
      <c r="DE118" s="337"/>
      <c r="DF118" s="1" t="s">
        <v>57</v>
      </c>
      <c r="DG118" s="337" t="s">
        <v>252</v>
      </c>
      <c r="DH118" s="337"/>
      <c r="DI118" s="338"/>
      <c r="DJ118" s="350" t="s">
        <v>252</v>
      </c>
      <c r="DK118" s="337"/>
      <c r="DL118" s="337"/>
      <c r="DM118" s="1" t="s">
        <v>57</v>
      </c>
      <c r="DN118" s="337" t="s">
        <v>234</v>
      </c>
      <c r="DO118" s="337"/>
      <c r="DP118" s="338"/>
      <c r="DQ118" s="350" t="s">
        <v>233</v>
      </c>
      <c r="DR118" s="337"/>
      <c r="DS118" s="337"/>
      <c r="DT118" s="191"/>
      <c r="DU118" s="337"/>
      <c r="DV118" s="337"/>
      <c r="DW118" s="338"/>
      <c r="DX118" s="350" t="s">
        <v>252</v>
      </c>
      <c r="DY118" s="337"/>
      <c r="DZ118" s="337"/>
      <c r="EA118" s="1" t="s">
        <v>57</v>
      </c>
      <c r="EB118" s="337" t="s">
        <v>221</v>
      </c>
      <c r="EC118" s="337"/>
      <c r="ED118" s="338"/>
      <c r="EE118" s="350" t="s">
        <v>231</v>
      </c>
      <c r="EF118" s="337"/>
      <c r="EG118" s="337"/>
      <c r="EH118" s="191"/>
      <c r="EI118" s="337"/>
      <c r="EJ118" s="337"/>
      <c r="EK118" s="351"/>
      <c r="EL118" s="337" t="s">
        <v>383</v>
      </c>
      <c r="EM118" s="337"/>
      <c r="EN118" s="337"/>
      <c r="EO118" s="191"/>
      <c r="EP118" s="337"/>
      <c r="EQ118" s="337"/>
      <c r="ER118" s="351"/>
      <c r="ES118" s="337" t="s">
        <v>383</v>
      </c>
      <c r="ET118" s="337"/>
      <c r="EU118" s="337"/>
      <c r="EV118" s="1" t="s">
        <v>57</v>
      </c>
      <c r="EW118" s="337" t="s">
        <v>228</v>
      </c>
      <c r="EX118" s="337"/>
      <c r="EY118" s="338"/>
      <c r="EZ118" s="350" t="s">
        <v>228</v>
      </c>
      <c r="FA118" s="337"/>
      <c r="FB118" s="337"/>
      <c r="FC118" s="1" t="s">
        <v>57</v>
      </c>
      <c r="FD118" s="337" t="s">
        <v>352</v>
      </c>
      <c r="FE118" s="337"/>
      <c r="FF118" s="337"/>
      <c r="FG118" s="350" t="s">
        <v>352</v>
      </c>
      <c r="FH118" s="337"/>
      <c r="FI118" s="337"/>
      <c r="FJ118" s="191"/>
      <c r="FK118" s="337"/>
      <c r="FL118" s="337"/>
      <c r="FM118" s="338"/>
      <c r="FN118" s="350" t="s">
        <v>352</v>
      </c>
      <c r="FO118" s="337"/>
      <c r="FP118" s="337"/>
      <c r="FQ118" s="191"/>
      <c r="FR118" s="337"/>
      <c r="FS118" s="337"/>
      <c r="FT118" s="338"/>
      <c r="FU118" s="364" t="s">
        <v>252</v>
      </c>
      <c r="FV118" s="337"/>
      <c r="FW118" s="337"/>
      <c r="FX118" s="1" t="s">
        <v>57</v>
      </c>
      <c r="FY118" s="337" t="s">
        <v>231</v>
      </c>
      <c r="FZ118" s="337"/>
      <c r="GA118" s="337"/>
      <c r="GB118" s="350" t="s">
        <v>231</v>
      </c>
      <c r="GC118" s="337"/>
      <c r="GD118" s="337"/>
      <c r="GE118" s="1" t="s">
        <v>57</v>
      </c>
      <c r="GF118" s="337" t="s">
        <v>252</v>
      </c>
      <c r="GG118" s="337"/>
      <c r="GH118" s="338"/>
      <c r="GI118" s="350" t="s">
        <v>252</v>
      </c>
      <c r="GJ118" s="337"/>
      <c r="GK118" s="337"/>
      <c r="GL118" s="1" t="s">
        <v>57</v>
      </c>
      <c r="GM118" s="337" t="s">
        <v>234</v>
      </c>
      <c r="GN118" s="337"/>
      <c r="GO118" s="338"/>
      <c r="GP118" s="337" t="s">
        <v>233</v>
      </c>
      <c r="GQ118" s="337"/>
      <c r="GR118" s="337"/>
      <c r="GS118" s="191"/>
      <c r="GT118" s="337"/>
      <c r="GU118" s="337"/>
      <c r="GV118" s="338"/>
      <c r="GW118" s="350" t="s">
        <v>382</v>
      </c>
      <c r="GX118" s="337"/>
      <c r="GY118" s="337"/>
      <c r="GZ118" s="1" t="s">
        <v>57</v>
      </c>
      <c r="HA118" s="337" t="s">
        <v>426</v>
      </c>
      <c r="HB118" s="337"/>
      <c r="HC118" s="338"/>
      <c r="HD118" s="350" t="s">
        <v>231</v>
      </c>
      <c r="HE118" s="337"/>
      <c r="HF118" s="337"/>
      <c r="HG118" s="191"/>
      <c r="HH118" s="337"/>
      <c r="HI118" s="337"/>
      <c r="HJ118" s="351"/>
      <c r="HK118" s="337" t="s">
        <v>383</v>
      </c>
      <c r="HL118" s="337"/>
      <c r="HM118" s="337"/>
      <c r="HO118" s="337"/>
      <c r="HP118" s="337"/>
      <c r="HQ118" s="351"/>
      <c r="HR118" s="337"/>
      <c r="HS118" s="337"/>
      <c r="HT118" s="337"/>
      <c r="HV118" s="337"/>
      <c r="HW118" s="337"/>
      <c r="HX118" s="338"/>
    </row>
    <row r="119" spans="2:232" ht="15" customHeight="1" outlineLevel="1" x14ac:dyDescent="0.25">
      <c r="B119" s="147"/>
      <c r="C119" s="147"/>
      <c r="D119" s="147"/>
      <c r="E119" s="147"/>
      <c r="F119" s="157"/>
      <c r="G119" s="147"/>
      <c r="H119" s="157"/>
      <c r="I119" s="175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V119" s="161" t="s">
        <v>200</v>
      </c>
      <c r="W119" s="12"/>
      <c r="X119" s="12"/>
      <c r="Y119" s="12"/>
      <c r="Z119" s="12"/>
      <c r="AA119" s="12"/>
      <c r="AB119" s="12"/>
      <c r="AC119" s="14"/>
      <c r="AD119" s="352" t="s">
        <v>201</v>
      </c>
      <c r="AE119" s="353"/>
      <c r="AF119" s="353"/>
      <c r="AG119" s="1" t="s">
        <v>57</v>
      </c>
      <c r="AH119" s="353" t="s">
        <v>220</v>
      </c>
      <c r="AI119" s="353"/>
      <c r="AJ119" s="353"/>
      <c r="AK119" s="367" t="s">
        <v>220</v>
      </c>
      <c r="AL119" s="353"/>
      <c r="AM119" s="353"/>
      <c r="AO119" s="353"/>
      <c r="AP119" s="353"/>
      <c r="AQ119" s="355"/>
      <c r="AR119" s="352" t="s">
        <v>220</v>
      </c>
      <c r="AS119" s="353"/>
      <c r="AT119" s="353"/>
      <c r="AV119" s="353"/>
      <c r="AW119" s="353"/>
      <c r="AX119" s="355"/>
      <c r="AY119" s="352" t="s">
        <v>220</v>
      </c>
      <c r="AZ119" s="353"/>
      <c r="BA119" s="353"/>
      <c r="BC119" s="353"/>
      <c r="BD119" s="353"/>
      <c r="BE119" s="353"/>
      <c r="BF119" s="352" t="s">
        <v>220</v>
      </c>
      <c r="BG119" s="353"/>
      <c r="BH119" s="353"/>
      <c r="BJ119" s="353"/>
      <c r="BK119" s="353"/>
      <c r="BL119" s="355"/>
      <c r="BM119" s="352" t="s">
        <v>220</v>
      </c>
      <c r="BN119" s="353"/>
      <c r="BO119" s="353"/>
      <c r="BP119" s="1" t="s">
        <v>57</v>
      </c>
      <c r="BQ119" s="353" t="s">
        <v>237</v>
      </c>
      <c r="BR119" s="353"/>
      <c r="BS119" s="353"/>
      <c r="BT119" s="367" t="s">
        <v>220</v>
      </c>
      <c r="BU119" s="353"/>
      <c r="BV119" s="353"/>
      <c r="BX119" s="353"/>
      <c r="BY119" s="353"/>
      <c r="BZ119" s="355"/>
      <c r="CA119" s="352" t="s">
        <v>220</v>
      </c>
      <c r="CB119" s="353"/>
      <c r="CC119" s="353"/>
      <c r="CE119" s="353"/>
      <c r="CF119" s="353"/>
      <c r="CG119" s="353"/>
      <c r="CH119" s="352" t="s">
        <v>220</v>
      </c>
      <c r="CI119" s="353"/>
      <c r="CJ119" s="353"/>
      <c r="CL119" s="353"/>
      <c r="CM119" s="353"/>
      <c r="CN119" s="355"/>
      <c r="CO119" s="352" t="s">
        <v>220</v>
      </c>
      <c r="CP119" s="353"/>
      <c r="CQ119" s="353"/>
      <c r="CS119" s="353"/>
      <c r="CT119" s="353"/>
      <c r="CU119" s="355"/>
      <c r="CV119" s="352" t="s">
        <v>229</v>
      </c>
      <c r="CW119" s="353"/>
      <c r="CX119" s="353"/>
      <c r="CZ119" s="353"/>
      <c r="DA119" s="353"/>
      <c r="DB119" s="355"/>
      <c r="DC119" s="352" t="s">
        <v>229</v>
      </c>
      <c r="DD119" s="353"/>
      <c r="DE119" s="353"/>
      <c r="DG119" s="353"/>
      <c r="DH119" s="353"/>
      <c r="DI119" s="355"/>
      <c r="DJ119" s="352" t="s">
        <v>229</v>
      </c>
      <c r="DK119" s="353"/>
      <c r="DL119" s="353"/>
      <c r="DN119" s="353"/>
      <c r="DO119" s="353"/>
      <c r="DP119" s="355"/>
      <c r="DQ119" s="352" t="s">
        <v>220</v>
      </c>
      <c r="DR119" s="353"/>
      <c r="DS119" s="353"/>
      <c r="DU119" s="353"/>
      <c r="DV119" s="353"/>
      <c r="DW119" s="355"/>
      <c r="DX119" s="352" t="s">
        <v>229</v>
      </c>
      <c r="DY119" s="353"/>
      <c r="DZ119" s="353"/>
      <c r="EB119" s="353"/>
      <c r="EC119" s="353"/>
      <c r="ED119" s="355"/>
      <c r="EE119" s="352" t="s">
        <v>220</v>
      </c>
      <c r="EF119" s="353"/>
      <c r="EG119" s="353"/>
      <c r="EI119" s="353"/>
      <c r="EJ119" s="353"/>
      <c r="EK119" s="354"/>
      <c r="EL119" s="353" t="s">
        <v>220</v>
      </c>
      <c r="EM119" s="353"/>
      <c r="EN119" s="353"/>
      <c r="EP119" s="353"/>
      <c r="EQ119" s="353"/>
      <c r="ER119" s="354"/>
      <c r="ES119" s="353" t="s">
        <v>220</v>
      </c>
      <c r="ET119" s="353"/>
      <c r="EU119" s="353"/>
      <c r="EW119" s="353"/>
      <c r="EX119" s="353"/>
      <c r="EY119" s="355"/>
      <c r="EZ119" s="352" t="s">
        <v>220</v>
      </c>
      <c r="FA119" s="353"/>
      <c r="FB119" s="353"/>
      <c r="FD119" s="353"/>
      <c r="FE119" s="353"/>
      <c r="FF119" s="353"/>
      <c r="FG119" s="352" t="s">
        <v>229</v>
      </c>
      <c r="FH119" s="353"/>
      <c r="FI119" s="353"/>
      <c r="FK119" s="353"/>
      <c r="FL119" s="353"/>
      <c r="FM119" s="355"/>
      <c r="FN119" s="352" t="s">
        <v>229</v>
      </c>
      <c r="FO119" s="353"/>
      <c r="FP119" s="353"/>
      <c r="FQ119" s="1" t="s">
        <v>57</v>
      </c>
      <c r="FR119" s="353" t="s">
        <v>237</v>
      </c>
      <c r="FS119" s="353"/>
      <c r="FT119" s="353"/>
      <c r="FU119" s="367" t="s">
        <v>229</v>
      </c>
      <c r="FV119" s="353"/>
      <c r="FW119" s="353"/>
      <c r="FY119" s="353"/>
      <c r="FZ119" s="353"/>
      <c r="GA119" s="353"/>
      <c r="GB119" s="352" t="s">
        <v>229</v>
      </c>
      <c r="GC119" s="353"/>
      <c r="GD119" s="353"/>
      <c r="GF119" s="353"/>
      <c r="GG119" s="353"/>
      <c r="GH119" s="355"/>
      <c r="GI119" s="352" t="s">
        <v>229</v>
      </c>
      <c r="GJ119" s="353"/>
      <c r="GK119" s="353"/>
      <c r="GM119" s="353"/>
      <c r="GN119" s="353"/>
      <c r="GO119" s="355"/>
      <c r="GP119" s="353" t="s">
        <v>229</v>
      </c>
      <c r="GQ119" s="353"/>
      <c r="GR119" s="353"/>
      <c r="GT119" s="353"/>
      <c r="GU119" s="353"/>
      <c r="GV119" s="355"/>
      <c r="GW119" s="352" t="s">
        <v>229</v>
      </c>
      <c r="GX119" s="353"/>
      <c r="GY119" s="353"/>
      <c r="HA119" s="353"/>
      <c r="HB119" s="353"/>
      <c r="HC119" s="355"/>
      <c r="HD119" s="352" t="s">
        <v>229</v>
      </c>
      <c r="HE119" s="353"/>
      <c r="HF119" s="353"/>
      <c r="HH119" s="353"/>
      <c r="HI119" s="353"/>
      <c r="HJ119" s="354"/>
      <c r="HK119" s="353" t="s">
        <v>229</v>
      </c>
      <c r="HL119" s="353"/>
      <c r="HM119" s="353"/>
      <c r="HO119" s="353"/>
      <c r="HP119" s="353"/>
      <c r="HQ119" s="354"/>
      <c r="HR119" s="353"/>
      <c r="HS119" s="353"/>
      <c r="HT119" s="353"/>
      <c r="HV119" s="353"/>
      <c r="HW119" s="353"/>
      <c r="HX119" s="355"/>
    </row>
    <row r="120" spans="2:232" ht="15" customHeight="1" outlineLevel="1" x14ac:dyDescent="0.25">
      <c r="B120" s="147"/>
      <c r="C120" s="147"/>
      <c r="D120" s="147"/>
      <c r="E120" s="147"/>
      <c r="F120" s="157"/>
      <c r="G120" s="147"/>
      <c r="H120" s="157"/>
      <c r="I120" s="175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V120" s="162"/>
      <c r="W120" s="159"/>
      <c r="X120" s="159"/>
      <c r="Y120" s="159"/>
      <c r="Z120" s="159"/>
      <c r="AA120" s="159"/>
      <c r="AB120" s="159"/>
      <c r="AC120" s="160"/>
      <c r="AD120" s="361"/>
      <c r="AE120" s="356"/>
      <c r="AF120" s="356"/>
      <c r="AG120" s="163"/>
      <c r="AH120" s="356"/>
      <c r="AI120" s="356"/>
      <c r="AJ120" s="356"/>
      <c r="AK120" s="368"/>
      <c r="AL120" s="356"/>
      <c r="AM120" s="356"/>
      <c r="AN120" s="163"/>
      <c r="AO120" s="356"/>
      <c r="AP120" s="356"/>
      <c r="AQ120" s="357"/>
      <c r="AR120" s="361"/>
      <c r="AS120" s="356"/>
      <c r="AT120" s="356"/>
      <c r="AU120" s="163"/>
      <c r="AV120" s="356"/>
      <c r="AW120" s="356"/>
      <c r="AX120" s="357"/>
      <c r="AY120" s="361"/>
      <c r="AZ120" s="356"/>
      <c r="BA120" s="356"/>
      <c r="BB120" s="163"/>
      <c r="BC120" s="356"/>
      <c r="BD120" s="356"/>
      <c r="BE120" s="356"/>
      <c r="BF120" s="361"/>
      <c r="BG120" s="356"/>
      <c r="BH120" s="356"/>
      <c r="BI120" s="163"/>
      <c r="BJ120" s="356"/>
      <c r="BK120" s="356"/>
      <c r="BL120" s="357"/>
      <c r="BM120" s="361"/>
      <c r="BN120" s="356"/>
      <c r="BO120" s="356"/>
      <c r="BP120" s="163"/>
      <c r="BQ120" s="356"/>
      <c r="BR120" s="356"/>
      <c r="BS120" s="356"/>
      <c r="BT120" s="368"/>
      <c r="BU120" s="356"/>
      <c r="BV120" s="356"/>
      <c r="BW120" s="163"/>
      <c r="BX120" s="356"/>
      <c r="BY120" s="356"/>
      <c r="BZ120" s="357"/>
      <c r="CA120" s="361"/>
      <c r="CB120" s="356"/>
      <c r="CC120" s="356"/>
      <c r="CD120" s="163"/>
      <c r="CE120" s="356"/>
      <c r="CF120" s="356"/>
      <c r="CG120" s="357"/>
      <c r="CH120" s="361"/>
      <c r="CI120" s="356"/>
      <c r="CJ120" s="356"/>
      <c r="CK120" s="163"/>
      <c r="CL120" s="356"/>
      <c r="CM120" s="356"/>
      <c r="CN120" s="357"/>
      <c r="CO120" s="361"/>
      <c r="CP120" s="356"/>
      <c r="CQ120" s="356"/>
      <c r="CR120" s="163"/>
      <c r="CS120" s="356"/>
      <c r="CT120" s="356"/>
      <c r="CU120" s="357"/>
      <c r="CV120" s="361"/>
      <c r="CW120" s="356"/>
      <c r="CX120" s="356"/>
      <c r="CY120" s="163"/>
      <c r="CZ120" s="356"/>
      <c r="DA120" s="356"/>
      <c r="DB120" s="357"/>
      <c r="DC120" s="356"/>
      <c r="DD120" s="356"/>
      <c r="DE120" s="356"/>
      <c r="DF120" s="163"/>
      <c r="DG120" s="356"/>
      <c r="DH120" s="356"/>
      <c r="DI120" s="357"/>
      <c r="DJ120" s="361"/>
      <c r="DK120" s="356"/>
      <c r="DL120" s="356"/>
      <c r="DM120" s="163"/>
      <c r="DN120" s="356"/>
      <c r="DO120" s="356"/>
      <c r="DP120" s="357"/>
      <c r="DQ120" s="361"/>
      <c r="DR120" s="356"/>
      <c r="DS120" s="356"/>
      <c r="DT120" s="163"/>
      <c r="DU120" s="356"/>
      <c r="DV120" s="356"/>
      <c r="DW120" s="357"/>
      <c r="DX120" s="356"/>
      <c r="DY120" s="356"/>
      <c r="DZ120" s="356"/>
      <c r="EA120" s="163"/>
      <c r="EB120" s="356"/>
      <c r="EC120" s="356"/>
      <c r="ED120" s="357"/>
      <c r="EE120" s="361"/>
      <c r="EF120" s="356"/>
      <c r="EG120" s="356"/>
      <c r="EH120" s="163"/>
      <c r="EI120" s="356"/>
      <c r="EJ120" s="356"/>
      <c r="EK120" s="359"/>
      <c r="EL120" s="356"/>
      <c r="EM120" s="356"/>
      <c r="EN120" s="356"/>
      <c r="EO120" s="163"/>
      <c r="EP120" s="356"/>
      <c r="EQ120" s="356"/>
      <c r="ER120" s="359"/>
      <c r="ES120" s="356"/>
      <c r="ET120" s="356"/>
      <c r="EU120" s="356"/>
      <c r="EV120" s="163"/>
      <c r="EW120" s="356"/>
      <c r="EX120" s="356"/>
      <c r="EY120" s="357"/>
      <c r="EZ120" s="361"/>
      <c r="FA120" s="356"/>
      <c r="FB120" s="356"/>
      <c r="FC120" s="163"/>
      <c r="FD120" s="356"/>
      <c r="FE120" s="356"/>
      <c r="FF120" s="356"/>
      <c r="FG120" s="361"/>
      <c r="FH120" s="356"/>
      <c r="FI120" s="356"/>
      <c r="FJ120" s="163"/>
      <c r="FK120" s="356"/>
      <c r="FL120" s="356"/>
      <c r="FM120" s="357"/>
      <c r="FN120" s="361"/>
      <c r="FO120" s="356"/>
      <c r="FP120" s="356"/>
      <c r="FQ120" s="163"/>
      <c r="FR120" s="356"/>
      <c r="FS120" s="356"/>
      <c r="FT120" s="356"/>
      <c r="FU120" s="368"/>
      <c r="FV120" s="356"/>
      <c r="FW120" s="356"/>
      <c r="FX120" s="163"/>
      <c r="FY120" s="356"/>
      <c r="FZ120" s="356"/>
      <c r="GA120" s="356"/>
      <c r="GB120" s="361"/>
      <c r="GC120" s="356"/>
      <c r="GD120" s="356"/>
      <c r="GE120" s="163"/>
      <c r="GF120" s="356"/>
      <c r="GG120" s="356"/>
      <c r="GH120" s="357"/>
      <c r="GI120" s="361"/>
      <c r="GJ120" s="356"/>
      <c r="GK120" s="356"/>
      <c r="GL120" s="163"/>
      <c r="GM120" s="356"/>
      <c r="GN120" s="356"/>
      <c r="GO120" s="357"/>
      <c r="GP120" s="356"/>
      <c r="GQ120" s="356"/>
      <c r="GR120" s="356"/>
      <c r="GS120" s="163"/>
      <c r="GT120" s="356"/>
      <c r="GU120" s="356"/>
      <c r="GV120" s="357"/>
      <c r="GW120" s="361"/>
      <c r="GX120" s="356"/>
      <c r="GY120" s="356"/>
      <c r="GZ120" s="163"/>
      <c r="HA120" s="356"/>
      <c r="HB120" s="356"/>
      <c r="HC120" s="357"/>
      <c r="HD120" s="361"/>
      <c r="HE120" s="356"/>
      <c r="HF120" s="356"/>
      <c r="HG120" s="163"/>
      <c r="HH120" s="356"/>
      <c r="HI120" s="356"/>
      <c r="HJ120" s="359"/>
      <c r="HK120" s="356"/>
      <c r="HL120" s="356"/>
      <c r="HM120" s="356"/>
      <c r="HN120" s="163"/>
      <c r="HO120" s="356"/>
      <c r="HP120" s="356"/>
      <c r="HQ120" s="359"/>
      <c r="HR120" s="356"/>
      <c r="HS120" s="356"/>
      <c r="HT120" s="356"/>
      <c r="HU120" s="163"/>
      <c r="HV120" s="356"/>
      <c r="HW120" s="356"/>
      <c r="HX120" s="357"/>
    </row>
    <row r="121" spans="2:232" outlineLevel="1" x14ac:dyDescent="0.25">
      <c r="B121" s="32"/>
      <c r="C121" s="333">
        <f>MAX(C114:C115)+1</f>
        <v>15</v>
      </c>
      <c r="D121" s="164" t="s">
        <v>21</v>
      </c>
      <c r="E121" s="34"/>
      <c r="F121" s="165" t="s">
        <v>529</v>
      </c>
      <c r="G121" s="165" t="s">
        <v>529</v>
      </c>
      <c r="H121" s="259" t="s">
        <v>191</v>
      </c>
      <c r="I121" s="176" t="s">
        <v>196</v>
      </c>
      <c r="J121" s="165" t="s">
        <v>171</v>
      </c>
      <c r="K121" s="165">
        <v>2031</v>
      </c>
      <c r="L121" s="165">
        <v>4</v>
      </c>
      <c r="M121" s="165"/>
      <c r="N121" s="165"/>
      <c r="O121" s="165"/>
      <c r="P121" s="165"/>
      <c r="Q121" s="165"/>
      <c r="R121" s="165"/>
      <c r="S121" s="165"/>
      <c r="T121" s="165"/>
      <c r="V121" s="11" t="s">
        <v>283</v>
      </c>
      <c r="W121" s="12"/>
      <c r="X121" s="12"/>
      <c r="Y121" s="12"/>
      <c r="Z121" s="12"/>
      <c r="AA121" s="12"/>
      <c r="AB121" s="12"/>
      <c r="AC121" s="14"/>
      <c r="AD121" s="166">
        <f>$C121</f>
        <v>15</v>
      </c>
      <c r="AE121" s="358" t="s">
        <v>175</v>
      </c>
      <c r="AF121" s="358"/>
      <c r="AG121" s="358"/>
      <c r="AH121" s="158"/>
      <c r="AI121" s="337"/>
      <c r="AJ121" s="337"/>
      <c r="AK121" s="214">
        <f>$C121</f>
        <v>15</v>
      </c>
      <c r="AL121" s="358" t="s">
        <v>175</v>
      </c>
      <c r="AM121" s="358"/>
      <c r="AN121" s="358"/>
      <c r="AO121" s="32"/>
      <c r="AP121" s="353"/>
      <c r="AQ121" s="355"/>
      <c r="AR121" s="166">
        <f>$C121</f>
        <v>15</v>
      </c>
      <c r="AS121" s="358" t="s">
        <v>532</v>
      </c>
      <c r="AT121" s="358"/>
      <c r="AU121" s="358"/>
      <c r="AV121" s="32"/>
      <c r="AW121" s="353"/>
      <c r="AX121" s="355"/>
      <c r="AY121" s="166">
        <f>$C121</f>
        <v>15</v>
      </c>
      <c r="AZ121" s="358" t="s">
        <v>531</v>
      </c>
      <c r="BA121" s="358"/>
      <c r="BB121" s="358"/>
      <c r="BC121" s="32"/>
      <c r="BD121" s="353"/>
      <c r="BE121" s="353"/>
      <c r="BF121" s="166">
        <f>$C121</f>
        <v>15</v>
      </c>
      <c r="BG121" s="358" t="s">
        <v>531</v>
      </c>
      <c r="BH121" s="358"/>
      <c r="BI121" s="358"/>
      <c r="BJ121" s="158"/>
      <c r="BK121" s="337"/>
      <c r="BL121" s="338"/>
      <c r="BM121" s="166">
        <f>$C121</f>
        <v>15</v>
      </c>
      <c r="BN121" s="358" t="s">
        <v>531</v>
      </c>
      <c r="BO121" s="358"/>
      <c r="BP121" s="358"/>
      <c r="BQ121" s="158"/>
      <c r="BR121" s="337"/>
      <c r="BS121" s="337"/>
      <c r="BT121" s="214">
        <f>$C121</f>
        <v>15</v>
      </c>
      <c r="BU121" s="358" t="s">
        <v>538</v>
      </c>
      <c r="BV121" s="358"/>
      <c r="BW121" s="358"/>
      <c r="BX121" s="158"/>
      <c r="BY121" s="337"/>
      <c r="BZ121" s="338"/>
      <c r="CA121" s="166">
        <f>$C121</f>
        <v>15</v>
      </c>
      <c r="CB121" s="358" t="s">
        <v>532</v>
      </c>
      <c r="CC121" s="358"/>
      <c r="CD121" s="358"/>
      <c r="CE121" s="158"/>
      <c r="CF121" s="337"/>
      <c r="CG121" s="338"/>
      <c r="CH121" s="166">
        <f>$C121</f>
        <v>15</v>
      </c>
      <c r="CI121" s="358" t="s">
        <v>532</v>
      </c>
      <c r="CJ121" s="358"/>
      <c r="CK121" s="358"/>
      <c r="CL121" s="158"/>
      <c r="CM121" s="337"/>
      <c r="CN121" s="338"/>
      <c r="CO121" s="166">
        <f>$C121</f>
        <v>15</v>
      </c>
      <c r="CP121" s="358" t="s">
        <v>173</v>
      </c>
      <c r="CQ121" s="358"/>
      <c r="CR121" s="358"/>
      <c r="CS121" s="158"/>
      <c r="CT121" s="337"/>
      <c r="CU121" s="338"/>
      <c r="CV121" s="166">
        <f>$C121</f>
        <v>15</v>
      </c>
      <c r="CW121" s="358" t="s">
        <v>531</v>
      </c>
      <c r="CX121" s="358"/>
      <c r="CY121" s="358"/>
      <c r="CZ121" s="158"/>
      <c r="DA121" s="337"/>
      <c r="DB121" s="338"/>
      <c r="DC121" s="166">
        <f>$C121</f>
        <v>15</v>
      </c>
      <c r="DD121" s="358" t="s">
        <v>531</v>
      </c>
      <c r="DE121" s="358"/>
      <c r="DF121" s="358"/>
      <c r="DG121" s="158"/>
      <c r="DH121" s="337"/>
      <c r="DI121" s="338"/>
      <c r="DJ121" s="166">
        <f>$C121</f>
        <v>15</v>
      </c>
      <c r="DK121" s="358" t="s">
        <v>531</v>
      </c>
      <c r="DL121" s="358"/>
      <c r="DM121" s="358"/>
      <c r="DN121" s="158"/>
      <c r="DO121" s="337"/>
      <c r="DP121" s="338"/>
      <c r="DQ121" s="166">
        <f>$C121</f>
        <v>15</v>
      </c>
      <c r="DR121" s="358" t="s">
        <v>173</v>
      </c>
      <c r="DS121" s="358"/>
      <c r="DT121" s="358"/>
      <c r="DU121" s="158"/>
      <c r="DV121" s="337"/>
      <c r="DW121" s="338"/>
      <c r="DX121" s="166">
        <f>$C121</f>
        <v>15</v>
      </c>
      <c r="DY121" s="358" t="s">
        <v>532</v>
      </c>
      <c r="DZ121" s="358"/>
      <c r="EA121" s="358"/>
      <c r="EB121" s="158"/>
      <c r="EC121" s="337"/>
      <c r="ED121" s="338"/>
      <c r="EE121" s="166">
        <f>$C121</f>
        <v>15</v>
      </c>
      <c r="EF121" s="358" t="s">
        <v>531</v>
      </c>
      <c r="EG121" s="358"/>
      <c r="EH121" s="358"/>
      <c r="EI121" s="158"/>
      <c r="EJ121" s="337"/>
      <c r="EK121" s="351"/>
      <c r="EL121" s="193">
        <f>$C121</f>
        <v>15</v>
      </c>
      <c r="EM121" s="358" t="s">
        <v>645</v>
      </c>
      <c r="EN121" s="358"/>
      <c r="EO121" s="358"/>
      <c r="EP121" s="158"/>
      <c r="EQ121" s="337"/>
      <c r="ER121" s="351"/>
      <c r="ES121" s="193">
        <f>$C121</f>
        <v>15</v>
      </c>
      <c r="ET121" s="358" t="s">
        <v>175</v>
      </c>
      <c r="EU121" s="358"/>
      <c r="EV121" s="358"/>
      <c r="EW121" s="32"/>
      <c r="EX121" s="353"/>
      <c r="EY121" s="355"/>
      <c r="EZ121" s="166">
        <f>$C121</f>
        <v>15</v>
      </c>
      <c r="FA121" s="358" t="s">
        <v>532</v>
      </c>
      <c r="FB121" s="358"/>
      <c r="FC121" s="358"/>
      <c r="FD121" s="32"/>
      <c r="FE121" s="353"/>
      <c r="FF121" s="353"/>
      <c r="FG121" s="166">
        <f>$C121</f>
        <v>15</v>
      </c>
      <c r="FH121" s="358" t="s">
        <v>532</v>
      </c>
      <c r="FI121" s="358"/>
      <c r="FJ121" s="358"/>
      <c r="FK121" s="32"/>
      <c r="FL121" s="337"/>
      <c r="FM121" s="338"/>
      <c r="FN121" s="166">
        <f>$C121</f>
        <v>15</v>
      </c>
      <c r="FO121" s="358" t="s">
        <v>532</v>
      </c>
      <c r="FP121" s="358"/>
      <c r="FQ121" s="358"/>
      <c r="FR121" s="32"/>
      <c r="FS121" s="337"/>
      <c r="FT121" s="337"/>
      <c r="FU121" s="214">
        <f>$C121</f>
        <v>15</v>
      </c>
      <c r="FV121" s="358" t="s">
        <v>532</v>
      </c>
      <c r="FW121" s="358"/>
      <c r="FX121" s="358"/>
      <c r="FY121" s="32"/>
      <c r="FZ121" s="337"/>
      <c r="GA121" s="337"/>
      <c r="GB121" s="166">
        <f>$C121</f>
        <v>15</v>
      </c>
      <c r="GC121" s="358" t="s">
        <v>532</v>
      </c>
      <c r="GD121" s="358"/>
      <c r="GE121" s="358"/>
      <c r="GF121" s="32"/>
      <c r="GG121" s="337"/>
      <c r="GH121" s="338"/>
      <c r="GI121" s="166">
        <f>$C121</f>
        <v>15</v>
      </c>
      <c r="GJ121" s="358" t="s">
        <v>532</v>
      </c>
      <c r="GK121" s="358"/>
      <c r="GL121" s="358"/>
      <c r="GM121" s="32"/>
      <c r="GN121" s="337"/>
      <c r="GO121" s="338"/>
      <c r="GP121" s="193">
        <f>$C121</f>
        <v>15</v>
      </c>
      <c r="GQ121" s="358" t="s">
        <v>175</v>
      </c>
      <c r="GR121" s="358"/>
      <c r="GS121" s="358"/>
      <c r="GT121" s="32"/>
      <c r="GU121" s="337"/>
      <c r="GV121" s="338"/>
      <c r="GW121" s="166">
        <f>$C121</f>
        <v>15</v>
      </c>
      <c r="GX121" s="358" t="s">
        <v>175</v>
      </c>
      <c r="GY121" s="358"/>
      <c r="GZ121" s="358"/>
      <c r="HA121" s="32"/>
      <c r="HB121" s="337"/>
      <c r="HC121" s="338"/>
      <c r="HD121" s="166">
        <f>$C121</f>
        <v>15</v>
      </c>
      <c r="HE121" s="358" t="s">
        <v>532</v>
      </c>
      <c r="HF121" s="358"/>
      <c r="HG121" s="358"/>
      <c r="HH121" s="32"/>
      <c r="HI121" s="337"/>
      <c r="HJ121" s="351"/>
      <c r="HK121" s="193">
        <f>$C121</f>
        <v>15</v>
      </c>
      <c r="HL121" s="358" t="s">
        <v>645</v>
      </c>
      <c r="HM121" s="358"/>
      <c r="HN121" s="358"/>
      <c r="HO121" s="32"/>
      <c r="HP121" s="337"/>
      <c r="HQ121" s="351"/>
      <c r="HR121" s="193"/>
      <c r="HS121" s="362"/>
      <c r="HT121" s="362"/>
      <c r="HU121" s="362"/>
      <c r="HV121" s="257"/>
      <c r="HW121" s="337"/>
      <c r="HX121" s="338"/>
    </row>
    <row r="122" spans="2:232" outlineLevel="1" x14ac:dyDescent="0.25">
      <c r="B122" s="32"/>
      <c r="C122" s="167"/>
      <c r="D122" s="167"/>
      <c r="E122" s="34"/>
      <c r="F122" s="168"/>
      <c r="G122" s="167"/>
      <c r="H122" s="55"/>
      <c r="I122" s="177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V122" s="107"/>
      <c r="W122" s="108"/>
      <c r="X122" s="108"/>
      <c r="Y122" s="108"/>
      <c r="Z122" s="108"/>
      <c r="AA122" s="108"/>
      <c r="AB122" s="108"/>
      <c r="AC122" s="109"/>
      <c r="AD122" s="169"/>
      <c r="AE122" s="365"/>
      <c r="AF122" s="365"/>
      <c r="AG122" s="365"/>
      <c r="AH122" s="30"/>
      <c r="AI122" s="340"/>
      <c r="AJ122" s="340"/>
      <c r="AK122" s="215"/>
      <c r="AL122" s="339"/>
      <c r="AM122" s="339"/>
      <c r="AN122" s="339"/>
      <c r="AO122" s="30"/>
      <c r="AP122" s="340"/>
      <c r="AQ122" s="341"/>
      <c r="AR122" s="169"/>
      <c r="AS122" s="339"/>
      <c r="AT122" s="339"/>
      <c r="AU122" s="339"/>
      <c r="AV122" s="30"/>
      <c r="AW122" s="340"/>
      <c r="AX122" s="341"/>
      <c r="AY122" s="169"/>
      <c r="AZ122" s="339"/>
      <c r="BA122" s="339"/>
      <c r="BB122" s="339"/>
      <c r="BC122" s="30"/>
      <c r="BD122" s="340"/>
      <c r="BE122" s="340"/>
      <c r="BF122" s="169"/>
      <c r="BG122" s="339"/>
      <c r="BH122" s="339"/>
      <c r="BI122" s="339"/>
      <c r="BJ122" s="30"/>
      <c r="BK122" s="340"/>
      <c r="BL122" s="341"/>
      <c r="BM122" s="169"/>
      <c r="BN122" s="339"/>
      <c r="BO122" s="339"/>
      <c r="BP122" s="339"/>
      <c r="BQ122" s="30"/>
      <c r="BR122" s="340"/>
      <c r="BS122" s="340"/>
      <c r="BT122" s="215"/>
      <c r="BU122" s="339"/>
      <c r="BV122" s="339"/>
      <c r="BW122" s="339"/>
      <c r="BX122" s="30"/>
      <c r="BY122" s="340"/>
      <c r="BZ122" s="341"/>
      <c r="CA122" s="169"/>
      <c r="CB122" s="339"/>
      <c r="CC122" s="339"/>
      <c r="CD122" s="339"/>
      <c r="CE122" s="30"/>
      <c r="CF122" s="340"/>
      <c r="CG122" s="341"/>
      <c r="CH122" s="169"/>
      <c r="CI122" s="339"/>
      <c r="CJ122" s="339"/>
      <c r="CK122" s="339"/>
      <c r="CL122" s="30"/>
      <c r="CM122" s="340"/>
      <c r="CN122" s="341"/>
      <c r="CO122" s="169"/>
      <c r="CP122" s="339"/>
      <c r="CQ122" s="339"/>
      <c r="CR122" s="339"/>
      <c r="CS122" s="30"/>
      <c r="CT122" s="340"/>
      <c r="CU122" s="341"/>
      <c r="CV122" s="169"/>
      <c r="CW122" s="339"/>
      <c r="CX122" s="339"/>
      <c r="CY122" s="339"/>
      <c r="CZ122" s="30"/>
      <c r="DA122" s="340"/>
      <c r="DB122" s="341"/>
      <c r="DC122" s="192"/>
      <c r="DD122" s="339"/>
      <c r="DE122" s="339"/>
      <c r="DF122" s="339"/>
      <c r="DG122" s="30"/>
      <c r="DH122" s="340"/>
      <c r="DI122" s="341"/>
      <c r="DJ122" s="169"/>
      <c r="DK122" s="339"/>
      <c r="DL122" s="339"/>
      <c r="DM122" s="339"/>
      <c r="DN122" s="30"/>
      <c r="DO122" s="340"/>
      <c r="DP122" s="341"/>
      <c r="DQ122" s="169"/>
      <c r="DR122" s="339"/>
      <c r="DS122" s="339"/>
      <c r="DT122" s="339"/>
      <c r="DU122" s="30"/>
      <c r="DV122" s="340"/>
      <c r="DW122" s="341"/>
      <c r="DX122" s="192"/>
      <c r="DY122" s="339"/>
      <c r="DZ122" s="339"/>
      <c r="EA122" s="339"/>
      <c r="EB122" s="30"/>
      <c r="EC122" s="340"/>
      <c r="ED122" s="341"/>
      <c r="EE122" s="169"/>
      <c r="EF122" s="339"/>
      <c r="EG122" s="339"/>
      <c r="EH122" s="339"/>
      <c r="EI122" s="30"/>
      <c r="EJ122" s="340"/>
      <c r="EK122" s="360"/>
      <c r="EL122" s="192"/>
      <c r="EM122" s="339"/>
      <c r="EN122" s="339"/>
      <c r="EO122" s="339"/>
      <c r="EP122" s="30"/>
      <c r="EQ122" s="340"/>
      <c r="ER122" s="360"/>
      <c r="ES122" s="192"/>
      <c r="ET122" s="339"/>
      <c r="EU122" s="339"/>
      <c r="EV122" s="339"/>
      <c r="EW122" s="30"/>
      <c r="EX122" s="340"/>
      <c r="EY122" s="341"/>
      <c r="EZ122" s="169"/>
      <c r="FA122" s="339"/>
      <c r="FB122" s="339"/>
      <c r="FC122" s="339"/>
      <c r="FD122" s="30"/>
      <c r="FE122" s="340"/>
      <c r="FF122" s="340"/>
      <c r="FG122" s="169"/>
      <c r="FH122" s="339"/>
      <c r="FI122" s="339"/>
      <c r="FJ122" s="339"/>
      <c r="FK122" s="30"/>
      <c r="FL122" s="340"/>
      <c r="FM122" s="341"/>
      <c r="FN122" s="169"/>
      <c r="FO122" s="339"/>
      <c r="FP122" s="339"/>
      <c r="FQ122" s="339"/>
      <c r="FR122" s="30"/>
      <c r="FS122" s="340"/>
      <c r="FT122" s="340"/>
      <c r="FU122" s="215"/>
      <c r="FV122" s="339"/>
      <c r="FW122" s="339"/>
      <c r="FX122" s="339"/>
      <c r="FY122" s="30"/>
      <c r="FZ122" s="340"/>
      <c r="GA122" s="340"/>
      <c r="GB122" s="169"/>
      <c r="GC122" s="339"/>
      <c r="GD122" s="339"/>
      <c r="GE122" s="339"/>
      <c r="GF122" s="30"/>
      <c r="GG122" s="340"/>
      <c r="GH122" s="341"/>
      <c r="GI122" s="169"/>
      <c r="GJ122" s="339"/>
      <c r="GK122" s="339"/>
      <c r="GL122" s="339"/>
      <c r="GM122" s="30"/>
      <c r="GN122" s="340"/>
      <c r="GO122" s="341"/>
      <c r="GP122" s="192"/>
      <c r="GQ122" s="339"/>
      <c r="GR122" s="339"/>
      <c r="GS122" s="339"/>
      <c r="GT122" s="30"/>
      <c r="GU122" s="340"/>
      <c r="GV122" s="341"/>
      <c r="GW122" s="169"/>
      <c r="GX122" s="339"/>
      <c r="GY122" s="339"/>
      <c r="GZ122" s="339"/>
      <c r="HA122" s="30"/>
      <c r="HB122" s="340"/>
      <c r="HC122" s="341"/>
      <c r="HD122" s="169"/>
      <c r="HE122" s="339"/>
      <c r="HF122" s="339"/>
      <c r="HG122" s="339"/>
      <c r="HH122" s="30"/>
      <c r="HI122" s="340"/>
      <c r="HJ122" s="360"/>
      <c r="HK122" s="192"/>
      <c r="HL122" s="339"/>
      <c r="HM122" s="339"/>
      <c r="HN122" s="339"/>
      <c r="HO122" s="30"/>
      <c r="HP122" s="340"/>
      <c r="HQ122" s="360"/>
      <c r="HR122" s="192"/>
      <c r="HS122" s="339"/>
      <c r="HT122" s="339"/>
      <c r="HU122" s="339"/>
      <c r="HV122" s="258"/>
      <c r="HW122" s="340"/>
      <c r="HX122" s="341"/>
    </row>
    <row r="123" spans="2:232" ht="15" customHeight="1" outlineLevel="1" x14ac:dyDescent="0.25">
      <c r="B123" s="147"/>
      <c r="C123" s="147"/>
      <c r="D123" s="148"/>
      <c r="E123" s="147"/>
      <c r="F123" s="149"/>
      <c r="G123" s="148"/>
      <c r="H123" s="149"/>
      <c r="I123" s="174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V123" s="150" t="s">
        <v>170</v>
      </c>
      <c r="W123" s="151"/>
      <c r="X123" s="151"/>
      <c r="Y123" s="151"/>
      <c r="Z123" s="151"/>
      <c r="AA123" s="151"/>
      <c r="AB123" s="369"/>
      <c r="AC123" s="370"/>
      <c r="AD123" s="342" t="s">
        <v>217</v>
      </c>
      <c r="AE123" s="343"/>
      <c r="AF123" s="343"/>
      <c r="AG123" s="343"/>
      <c r="AH123" s="343"/>
      <c r="AI123" s="152"/>
      <c r="AJ123" s="194">
        <f>COUNTA(AD128:AD129)</f>
        <v>1</v>
      </c>
      <c r="AK123" s="366" t="s">
        <v>217</v>
      </c>
      <c r="AL123" s="343"/>
      <c r="AM123" s="343"/>
      <c r="AN123" s="343"/>
      <c r="AO123" s="343"/>
      <c r="AP123" s="152"/>
      <c r="AQ123" s="155">
        <f>COUNTA(AK128:AK129)</f>
        <v>1</v>
      </c>
      <c r="AR123" s="342" t="s">
        <v>217</v>
      </c>
      <c r="AS123" s="343"/>
      <c r="AT123" s="343"/>
      <c r="AU123" s="343"/>
      <c r="AV123" s="343"/>
      <c r="AW123" s="152"/>
      <c r="AX123" s="155">
        <f>COUNTA(AR128:AR129)</f>
        <v>1</v>
      </c>
      <c r="AY123" s="342" t="s">
        <v>217</v>
      </c>
      <c r="AZ123" s="343"/>
      <c r="BA123" s="343"/>
      <c r="BB123" s="343"/>
      <c r="BC123" s="343"/>
      <c r="BD123" s="152"/>
      <c r="BE123" s="194">
        <f>COUNTA(AY128:AY129)</f>
        <v>1</v>
      </c>
      <c r="BF123" s="342" t="s">
        <v>217</v>
      </c>
      <c r="BG123" s="343"/>
      <c r="BH123" s="343"/>
      <c r="BI123" s="343"/>
      <c r="BJ123" s="343"/>
      <c r="BK123" s="152"/>
      <c r="BL123" s="155">
        <f>COUNTA(BF128:BF129)</f>
        <v>1</v>
      </c>
      <c r="BM123" s="156"/>
      <c r="BN123" s="152"/>
      <c r="BO123" s="153"/>
      <c r="BP123" s="152"/>
      <c r="BQ123" s="154"/>
      <c r="BR123" s="152"/>
      <c r="BS123" s="194">
        <f>COUNTA(BM128:BM129)</f>
        <v>1</v>
      </c>
      <c r="BT123" s="366" t="s">
        <v>217</v>
      </c>
      <c r="BU123" s="343"/>
      <c r="BV123" s="343"/>
      <c r="BW123" s="343"/>
      <c r="BX123" s="343"/>
      <c r="BY123" s="152"/>
      <c r="BZ123" s="155">
        <f>COUNTA(BT128:BT129)</f>
        <v>1</v>
      </c>
      <c r="CA123" s="342" t="s">
        <v>217</v>
      </c>
      <c r="CB123" s="343"/>
      <c r="CC123" s="343"/>
      <c r="CD123" s="343"/>
      <c r="CE123" s="343"/>
      <c r="CF123" s="152"/>
      <c r="CG123" s="155">
        <f>COUNTA(CA128:CA129)</f>
        <v>1</v>
      </c>
      <c r="CH123" s="342" t="s">
        <v>217</v>
      </c>
      <c r="CI123" s="343"/>
      <c r="CJ123" s="343"/>
      <c r="CK123" s="343"/>
      <c r="CL123" s="343"/>
      <c r="CM123" s="152"/>
      <c r="CN123" s="155">
        <f>COUNTA(CH128:CH129)</f>
        <v>1</v>
      </c>
      <c r="CO123" s="342" t="s">
        <v>217</v>
      </c>
      <c r="CP123" s="343"/>
      <c r="CQ123" s="343"/>
      <c r="CR123" s="343"/>
      <c r="CS123" s="343"/>
      <c r="CT123" s="152"/>
      <c r="CU123" s="155">
        <f>COUNTA(CO128:CO129)</f>
        <v>1</v>
      </c>
      <c r="CV123" s="342" t="s">
        <v>217</v>
      </c>
      <c r="CW123" s="343"/>
      <c r="CX123" s="343"/>
      <c r="CY123" s="343"/>
      <c r="CZ123" s="343"/>
      <c r="DA123" s="152"/>
      <c r="DB123" s="155">
        <f>COUNTA(CV128:CV129)</f>
        <v>1</v>
      </c>
      <c r="DC123" s="343" t="s">
        <v>217</v>
      </c>
      <c r="DD123" s="343"/>
      <c r="DE123" s="343"/>
      <c r="DF123" s="343"/>
      <c r="DG123" s="343"/>
      <c r="DH123" s="152"/>
      <c r="DI123" s="155">
        <f>COUNTA(DC128:DC129)</f>
        <v>1</v>
      </c>
      <c r="DJ123" s="342" t="s">
        <v>217</v>
      </c>
      <c r="DK123" s="343"/>
      <c r="DL123" s="343"/>
      <c r="DM123" s="343"/>
      <c r="DN123" s="343"/>
      <c r="DO123" s="152"/>
      <c r="DP123" s="155">
        <f>COUNTA(DJ128:DJ129)</f>
        <v>1</v>
      </c>
      <c r="DQ123" s="342" t="s">
        <v>217</v>
      </c>
      <c r="DR123" s="343"/>
      <c r="DS123" s="343"/>
      <c r="DT123" s="343"/>
      <c r="DU123" s="343"/>
      <c r="DV123" s="152"/>
      <c r="DW123" s="155">
        <f>COUNTA(DQ128:DQ129)</f>
        <v>1</v>
      </c>
      <c r="DX123" s="343" t="s">
        <v>217</v>
      </c>
      <c r="DY123" s="343"/>
      <c r="DZ123" s="343"/>
      <c r="EA123" s="343"/>
      <c r="EB123" s="343"/>
      <c r="EC123" s="152"/>
      <c r="ED123" s="155">
        <f>COUNTA(DX128:DX129)</f>
        <v>1</v>
      </c>
      <c r="EE123" s="342" t="s">
        <v>217</v>
      </c>
      <c r="EF123" s="343"/>
      <c r="EG123" s="343"/>
      <c r="EH123" s="343"/>
      <c r="EI123" s="343"/>
      <c r="EJ123" s="152"/>
      <c r="EK123" s="218">
        <f>COUNTA(EE128:EE129)</f>
        <v>1</v>
      </c>
      <c r="EL123" s="343" t="s">
        <v>217</v>
      </c>
      <c r="EM123" s="343"/>
      <c r="EN123" s="343"/>
      <c r="EO123" s="343"/>
      <c r="EP123" s="343"/>
      <c r="EQ123" s="152"/>
      <c r="ER123" s="218">
        <f>COUNTA(EL128:EL129)</f>
        <v>1</v>
      </c>
      <c r="ES123" s="343" t="s">
        <v>217</v>
      </c>
      <c r="ET123" s="343"/>
      <c r="EU123" s="343"/>
      <c r="EV123" s="343"/>
      <c r="EW123" s="343"/>
      <c r="EX123" s="152"/>
      <c r="EY123" s="155">
        <f>COUNTA(ES128:ES129)</f>
        <v>1</v>
      </c>
      <c r="EZ123" s="342" t="s">
        <v>245</v>
      </c>
      <c r="FA123" s="343"/>
      <c r="FB123" s="343"/>
      <c r="FC123" s="343"/>
      <c r="FD123" s="343"/>
      <c r="FE123" s="152"/>
      <c r="FF123" s="194">
        <f>COUNTA(EZ128:EZ129)</f>
        <v>1</v>
      </c>
      <c r="FG123" s="342" t="s">
        <v>217</v>
      </c>
      <c r="FH123" s="343"/>
      <c r="FI123" s="343"/>
      <c r="FJ123" s="343"/>
      <c r="FK123" s="343"/>
      <c r="FL123" s="152"/>
      <c r="FM123" s="155">
        <f>COUNTA(FG128:FG129)</f>
        <v>1</v>
      </c>
      <c r="FN123" s="156"/>
      <c r="FO123" s="152"/>
      <c r="FP123" s="153"/>
      <c r="FQ123" s="152"/>
      <c r="FR123" s="154"/>
      <c r="FS123" s="152"/>
      <c r="FT123" s="194">
        <f>COUNTA(FN128:FN129)</f>
        <v>1</v>
      </c>
      <c r="FU123" s="366" t="s">
        <v>217</v>
      </c>
      <c r="FV123" s="343"/>
      <c r="FW123" s="343"/>
      <c r="FX123" s="343"/>
      <c r="FY123" s="343"/>
      <c r="FZ123" s="152"/>
      <c r="GA123" s="194">
        <f>COUNTA(FU128:FU129)</f>
        <v>1</v>
      </c>
      <c r="GB123" s="342" t="s">
        <v>217</v>
      </c>
      <c r="GC123" s="343"/>
      <c r="GD123" s="343"/>
      <c r="GE123" s="343"/>
      <c r="GF123" s="343"/>
      <c r="GG123" s="152"/>
      <c r="GH123" s="155">
        <f>COUNTA(GB128:GB129)</f>
        <v>1</v>
      </c>
      <c r="GI123" s="342" t="s">
        <v>217</v>
      </c>
      <c r="GJ123" s="343"/>
      <c r="GK123" s="343"/>
      <c r="GL123" s="343"/>
      <c r="GM123" s="343"/>
      <c r="GN123" s="152"/>
      <c r="GO123" s="155">
        <f>COUNTA(GI128:GI129)</f>
        <v>1</v>
      </c>
      <c r="GP123" s="343" t="s">
        <v>217</v>
      </c>
      <c r="GQ123" s="343"/>
      <c r="GR123" s="343"/>
      <c r="GS123" s="343"/>
      <c r="GT123" s="343"/>
      <c r="GU123" s="152"/>
      <c r="GV123" s="155">
        <f>COUNTA(GP128:GP129)</f>
        <v>1</v>
      </c>
      <c r="GW123" s="342" t="s">
        <v>217</v>
      </c>
      <c r="GX123" s="343"/>
      <c r="GY123" s="343"/>
      <c r="GZ123" s="343"/>
      <c r="HA123" s="343"/>
      <c r="HB123" s="152"/>
      <c r="HC123" s="155">
        <f>COUNTA(GW128:GW129)</f>
        <v>1</v>
      </c>
      <c r="HD123" s="342" t="s">
        <v>217</v>
      </c>
      <c r="HE123" s="343"/>
      <c r="HF123" s="343"/>
      <c r="HG123" s="343"/>
      <c r="HH123" s="343"/>
      <c r="HI123" s="152"/>
      <c r="HJ123" s="218">
        <f>COUNTA(HD128:HD129)</f>
        <v>1</v>
      </c>
      <c r="HK123" s="343" t="s">
        <v>217</v>
      </c>
      <c r="HL123" s="343"/>
      <c r="HM123" s="343"/>
      <c r="HN123" s="343"/>
      <c r="HO123" s="343"/>
      <c r="HP123" s="152"/>
      <c r="HQ123" s="218">
        <f>COUNTA(HK128:HK129)</f>
        <v>1</v>
      </c>
      <c r="HR123" s="152"/>
      <c r="HS123" s="152"/>
      <c r="HT123" s="153"/>
      <c r="HU123" s="152"/>
      <c r="HV123" s="255"/>
      <c r="HW123" s="152"/>
      <c r="HX123" s="155">
        <f>COUNTA(HR128:HR129)</f>
        <v>0</v>
      </c>
    </row>
    <row r="124" spans="2:232" ht="15" customHeight="1" outlineLevel="1" x14ac:dyDescent="0.25">
      <c r="B124" s="147"/>
      <c r="C124" s="147"/>
      <c r="D124" s="147"/>
      <c r="E124" s="147"/>
      <c r="F124" s="157"/>
      <c r="G124" s="147"/>
      <c r="H124" s="157"/>
      <c r="I124" s="175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V124" s="185" t="s">
        <v>224</v>
      </c>
      <c r="W124" s="186"/>
      <c r="X124" s="186"/>
      <c r="Y124" s="186"/>
      <c r="Z124" s="186"/>
      <c r="AA124" s="186"/>
      <c r="AB124" s="187"/>
      <c r="AC124" s="188"/>
      <c r="AD124" s="344" t="s">
        <v>225</v>
      </c>
      <c r="AE124" s="345"/>
      <c r="AF124" s="345"/>
      <c r="AG124" s="181" t="s">
        <v>75</v>
      </c>
      <c r="AH124" s="346" t="s">
        <v>299</v>
      </c>
      <c r="AI124" s="346"/>
      <c r="AJ124" s="346"/>
      <c r="AK124" s="363" t="s">
        <v>227</v>
      </c>
      <c r="AL124" s="345"/>
      <c r="AM124" s="345"/>
      <c r="AN124" s="181" t="s">
        <v>75</v>
      </c>
      <c r="AO124" s="346" t="s">
        <v>330</v>
      </c>
      <c r="AP124" s="346"/>
      <c r="AQ124" s="349"/>
      <c r="AR124" s="344" t="s">
        <v>227</v>
      </c>
      <c r="AS124" s="345"/>
      <c r="AT124" s="345"/>
      <c r="AU124" s="181" t="s">
        <v>75</v>
      </c>
      <c r="AV124" s="346" t="s">
        <v>330</v>
      </c>
      <c r="AW124" s="346"/>
      <c r="AX124" s="349"/>
      <c r="AY124" s="344" t="s">
        <v>227</v>
      </c>
      <c r="AZ124" s="345"/>
      <c r="BA124" s="345"/>
      <c r="BB124" s="181" t="s">
        <v>75</v>
      </c>
      <c r="BC124" s="346" t="s">
        <v>330</v>
      </c>
      <c r="BD124" s="346"/>
      <c r="BE124" s="349"/>
      <c r="BF124" s="344" t="s">
        <v>227</v>
      </c>
      <c r="BG124" s="345"/>
      <c r="BH124" s="345"/>
      <c r="BI124" s="181" t="s">
        <v>75</v>
      </c>
      <c r="BJ124" s="346" t="s">
        <v>330</v>
      </c>
      <c r="BK124" s="346"/>
      <c r="BL124" s="349"/>
      <c r="BM124" s="180"/>
      <c r="BN124" s="181"/>
      <c r="BO124" s="182"/>
      <c r="BP124" s="181"/>
      <c r="BQ124" s="183"/>
      <c r="BR124" s="181"/>
      <c r="BS124" s="210"/>
      <c r="BT124" s="363" t="s">
        <v>232</v>
      </c>
      <c r="BU124" s="345"/>
      <c r="BV124" s="345"/>
      <c r="BW124" s="181" t="s">
        <v>75</v>
      </c>
      <c r="BX124" s="346" t="s">
        <v>349</v>
      </c>
      <c r="BY124" s="346"/>
      <c r="BZ124" s="349"/>
      <c r="CA124" s="344" t="s">
        <v>232</v>
      </c>
      <c r="CB124" s="345"/>
      <c r="CC124" s="345"/>
      <c r="CD124" s="181" t="s">
        <v>75</v>
      </c>
      <c r="CE124" s="346" t="s">
        <v>349</v>
      </c>
      <c r="CF124" s="346"/>
      <c r="CG124" s="349"/>
      <c r="CH124" s="344" t="s">
        <v>232</v>
      </c>
      <c r="CI124" s="345"/>
      <c r="CJ124" s="345"/>
      <c r="CK124" s="181" t="s">
        <v>75</v>
      </c>
      <c r="CL124" s="346" t="s">
        <v>349</v>
      </c>
      <c r="CM124" s="346"/>
      <c r="CN124" s="349"/>
      <c r="CO124" s="344" t="s">
        <v>232</v>
      </c>
      <c r="CP124" s="345"/>
      <c r="CQ124" s="345"/>
      <c r="CR124" s="181" t="s">
        <v>75</v>
      </c>
      <c r="CS124" s="346" t="s">
        <v>349</v>
      </c>
      <c r="CT124" s="346"/>
      <c r="CU124" s="349"/>
      <c r="CV124" s="344" t="s">
        <v>232</v>
      </c>
      <c r="CW124" s="345"/>
      <c r="CX124" s="345"/>
      <c r="CY124" s="181" t="s">
        <v>75</v>
      </c>
      <c r="CZ124" s="346" t="s">
        <v>349</v>
      </c>
      <c r="DA124" s="346"/>
      <c r="DB124" s="349"/>
      <c r="DC124" s="344" t="s">
        <v>232</v>
      </c>
      <c r="DD124" s="345"/>
      <c r="DE124" s="345"/>
      <c r="DF124" s="181" t="s">
        <v>75</v>
      </c>
      <c r="DG124" s="346" t="s">
        <v>349</v>
      </c>
      <c r="DH124" s="346"/>
      <c r="DI124" s="349"/>
      <c r="DJ124" s="344" t="s">
        <v>232</v>
      </c>
      <c r="DK124" s="345"/>
      <c r="DL124" s="345"/>
      <c r="DM124" s="181" t="s">
        <v>75</v>
      </c>
      <c r="DN124" s="346" t="s">
        <v>349</v>
      </c>
      <c r="DO124" s="346"/>
      <c r="DP124" s="349"/>
      <c r="DQ124" s="345" t="s">
        <v>232</v>
      </c>
      <c r="DR124" s="345"/>
      <c r="DS124" s="345"/>
      <c r="DT124" s="181" t="s">
        <v>75</v>
      </c>
      <c r="DU124" s="346" t="s">
        <v>349</v>
      </c>
      <c r="DV124" s="346"/>
      <c r="DW124" s="349"/>
      <c r="DX124" s="345" t="s">
        <v>232</v>
      </c>
      <c r="DY124" s="345"/>
      <c r="DZ124" s="345"/>
      <c r="EA124" s="181" t="s">
        <v>75</v>
      </c>
      <c r="EB124" s="346" t="s">
        <v>349</v>
      </c>
      <c r="EC124" s="346"/>
      <c r="ED124" s="349"/>
      <c r="EE124" s="345" t="s">
        <v>232</v>
      </c>
      <c r="EF124" s="345"/>
      <c r="EG124" s="345"/>
      <c r="EH124" s="181" t="s">
        <v>75</v>
      </c>
      <c r="EI124" s="346" t="s">
        <v>349</v>
      </c>
      <c r="EJ124" s="346"/>
      <c r="EK124" s="347"/>
      <c r="EL124" s="345" t="s">
        <v>539</v>
      </c>
      <c r="EM124" s="345"/>
      <c r="EN124" s="345"/>
      <c r="EO124" s="181" t="s">
        <v>75</v>
      </c>
      <c r="EP124" s="346" t="s">
        <v>349</v>
      </c>
      <c r="EQ124" s="346"/>
      <c r="ER124" s="347"/>
      <c r="ES124" s="345" t="s">
        <v>243</v>
      </c>
      <c r="ET124" s="345"/>
      <c r="EU124" s="345"/>
      <c r="EV124" s="181" t="s">
        <v>75</v>
      </c>
      <c r="EW124" s="346" t="s">
        <v>376</v>
      </c>
      <c r="EX124" s="346"/>
      <c r="EY124" s="349"/>
      <c r="EZ124" s="344" t="s">
        <v>243</v>
      </c>
      <c r="FA124" s="345"/>
      <c r="FB124" s="345"/>
      <c r="FC124" s="181" t="s">
        <v>75</v>
      </c>
      <c r="FD124" s="346" t="s">
        <v>376</v>
      </c>
      <c r="FE124" s="346"/>
      <c r="FF124" s="349"/>
      <c r="FG124" s="344" t="s">
        <v>243</v>
      </c>
      <c r="FH124" s="345"/>
      <c r="FI124" s="345"/>
      <c r="FJ124" s="181" t="s">
        <v>75</v>
      </c>
      <c r="FK124" s="346" t="s">
        <v>376</v>
      </c>
      <c r="FL124" s="346"/>
      <c r="FM124" s="349"/>
      <c r="FN124" s="180"/>
      <c r="FO124" s="181"/>
      <c r="FP124" s="182"/>
      <c r="FQ124" s="181"/>
      <c r="FR124" s="183"/>
      <c r="FS124" s="181"/>
      <c r="FT124" s="210"/>
      <c r="FU124" s="363" t="s">
        <v>246</v>
      </c>
      <c r="FV124" s="345"/>
      <c r="FW124" s="345"/>
      <c r="FX124" s="181" t="s">
        <v>75</v>
      </c>
      <c r="FY124" s="346" t="s">
        <v>399</v>
      </c>
      <c r="FZ124" s="346"/>
      <c r="GA124" s="346"/>
      <c r="GB124" s="344" t="s">
        <v>246</v>
      </c>
      <c r="GC124" s="345"/>
      <c r="GD124" s="345"/>
      <c r="GE124" s="181" t="s">
        <v>75</v>
      </c>
      <c r="GF124" s="346" t="s">
        <v>399</v>
      </c>
      <c r="GG124" s="346"/>
      <c r="GH124" s="349"/>
      <c r="GI124" s="344" t="s">
        <v>246</v>
      </c>
      <c r="GJ124" s="345"/>
      <c r="GK124" s="345"/>
      <c r="GL124" s="181" t="s">
        <v>75</v>
      </c>
      <c r="GM124" s="346" t="s">
        <v>399</v>
      </c>
      <c r="GN124" s="346"/>
      <c r="GO124" s="349"/>
      <c r="GP124" s="345" t="s">
        <v>246</v>
      </c>
      <c r="GQ124" s="345"/>
      <c r="GR124" s="345"/>
      <c r="GS124" s="181" t="s">
        <v>75</v>
      </c>
      <c r="GT124" s="346" t="s">
        <v>399</v>
      </c>
      <c r="GU124" s="346"/>
      <c r="GV124" s="349"/>
      <c r="GW124" s="344" t="s">
        <v>246</v>
      </c>
      <c r="GX124" s="345"/>
      <c r="GY124" s="345"/>
      <c r="GZ124" s="181" t="s">
        <v>75</v>
      </c>
      <c r="HA124" s="346" t="s">
        <v>399</v>
      </c>
      <c r="HB124" s="346"/>
      <c r="HC124" s="349"/>
      <c r="HD124" s="344" t="s">
        <v>246</v>
      </c>
      <c r="HE124" s="345"/>
      <c r="HF124" s="345"/>
      <c r="HG124" s="181" t="s">
        <v>75</v>
      </c>
      <c r="HH124" s="346" t="s">
        <v>399</v>
      </c>
      <c r="HI124" s="346"/>
      <c r="HJ124" s="347"/>
      <c r="HK124" s="345" t="s">
        <v>541</v>
      </c>
      <c r="HL124" s="345"/>
      <c r="HM124" s="345"/>
      <c r="HN124" s="181" t="s">
        <v>75</v>
      </c>
      <c r="HO124" s="346" t="s">
        <v>399</v>
      </c>
      <c r="HP124" s="346"/>
      <c r="HQ124" s="347"/>
      <c r="HR124" s="181"/>
      <c r="HS124" s="181"/>
      <c r="HT124" s="182"/>
      <c r="HU124" s="181"/>
      <c r="HV124" s="256"/>
      <c r="HW124" s="181"/>
      <c r="HX124" s="184"/>
    </row>
    <row r="125" spans="2:232" ht="15" customHeight="1" outlineLevel="1" x14ac:dyDescent="0.25">
      <c r="B125" s="147"/>
      <c r="C125" s="147"/>
      <c r="D125" s="147"/>
      <c r="E125" s="147"/>
      <c r="F125" s="157"/>
      <c r="G125" s="147"/>
      <c r="H125" s="157"/>
      <c r="I125" s="175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V125" s="161" t="s">
        <v>199</v>
      </c>
      <c r="W125" s="12"/>
      <c r="X125" s="12"/>
      <c r="Y125" s="12"/>
      <c r="Z125" s="12"/>
      <c r="AA125" s="12"/>
      <c r="AB125" s="12"/>
      <c r="AC125" s="14"/>
      <c r="AD125" s="352" t="s">
        <v>201</v>
      </c>
      <c r="AE125" s="353"/>
      <c r="AF125" s="353"/>
      <c r="AG125" s="1" t="s">
        <v>57</v>
      </c>
      <c r="AH125" s="337" t="s">
        <v>221</v>
      </c>
      <c r="AI125" s="337"/>
      <c r="AJ125" s="337"/>
      <c r="AK125" s="364" t="s">
        <v>202</v>
      </c>
      <c r="AL125" s="337"/>
      <c r="AM125" s="337"/>
      <c r="AN125" s="1" t="s">
        <v>57</v>
      </c>
      <c r="AO125" s="337" t="s">
        <v>221</v>
      </c>
      <c r="AP125" s="337"/>
      <c r="AQ125" s="338"/>
      <c r="AR125" s="350" t="s">
        <v>221</v>
      </c>
      <c r="AS125" s="337"/>
      <c r="AT125" s="337"/>
      <c r="AU125" s="1" t="s">
        <v>57</v>
      </c>
      <c r="AV125" s="337" t="s">
        <v>228</v>
      </c>
      <c r="AW125" s="337"/>
      <c r="AX125" s="338"/>
      <c r="AY125" s="350" t="s">
        <v>228</v>
      </c>
      <c r="AZ125" s="337"/>
      <c r="BA125" s="337"/>
      <c r="BB125" s="1" t="s">
        <v>57</v>
      </c>
      <c r="BC125" s="337" t="s">
        <v>352</v>
      </c>
      <c r="BD125" s="337"/>
      <c r="BE125" s="337"/>
      <c r="BF125" s="350" t="s">
        <v>556</v>
      </c>
      <c r="BG125" s="337"/>
      <c r="BH125" s="337"/>
      <c r="BI125" s="191"/>
      <c r="BJ125" s="337"/>
      <c r="BK125" s="337"/>
      <c r="BL125" s="338"/>
      <c r="BM125" s="350"/>
      <c r="BN125" s="337"/>
      <c r="BO125" s="337"/>
      <c r="BQ125" s="337"/>
      <c r="BR125" s="337"/>
      <c r="BS125" s="337"/>
      <c r="BT125" s="364" t="s">
        <v>221</v>
      </c>
      <c r="BU125" s="337"/>
      <c r="BV125" s="337"/>
      <c r="BW125" s="1" t="s">
        <v>57</v>
      </c>
      <c r="BX125" s="337" t="s">
        <v>231</v>
      </c>
      <c r="BY125" s="337"/>
      <c r="BZ125" s="338"/>
      <c r="CA125" s="337" t="s">
        <v>231</v>
      </c>
      <c r="CB125" s="337"/>
      <c r="CC125" s="337"/>
      <c r="CD125" s="1" t="s">
        <v>57</v>
      </c>
      <c r="CE125" s="337" t="s">
        <v>221</v>
      </c>
      <c r="CF125" s="337"/>
      <c r="CG125" s="337"/>
      <c r="CH125" s="350" t="s">
        <v>221</v>
      </c>
      <c r="CI125" s="337"/>
      <c r="CJ125" s="337"/>
      <c r="CK125" s="1" t="s">
        <v>57</v>
      </c>
      <c r="CL125" s="337" t="s">
        <v>234</v>
      </c>
      <c r="CM125" s="337"/>
      <c r="CN125" s="338"/>
      <c r="CO125" s="350" t="s">
        <v>262</v>
      </c>
      <c r="CP125" s="337"/>
      <c r="CQ125" s="337"/>
      <c r="CR125" s="1" t="s">
        <v>57</v>
      </c>
      <c r="CS125" s="337" t="s">
        <v>233</v>
      </c>
      <c r="CT125" s="337"/>
      <c r="CU125" s="338"/>
      <c r="CV125" s="350" t="s">
        <v>228</v>
      </c>
      <c r="CW125" s="337"/>
      <c r="CX125" s="337"/>
      <c r="CY125" s="1" t="s">
        <v>57</v>
      </c>
      <c r="CZ125" s="337" t="s">
        <v>231</v>
      </c>
      <c r="DA125" s="337"/>
      <c r="DB125" s="338"/>
      <c r="DC125" s="350" t="s">
        <v>231</v>
      </c>
      <c r="DD125" s="337"/>
      <c r="DE125" s="337"/>
      <c r="DF125" s="1" t="s">
        <v>57</v>
      </c>
      <c r="DG125" s="337" t="s">
        <v>252</v>
      </c>
      <c r="DH125" s="337"/>
      <c r="DI125" s="338"/>
      <c r="DJ125" s="350" t="s">
        <v>252</v>
      </c>
      <c r="DK125" s="337"/>
      <c r="DL125" s="337"/>
      <c r="DM125" s="1" t="s">
        <v>57</v>
      </c>
      <c r="DN125" s="337" t="s">
        <v>234</v>
      </c>
      <c r="DO125" s="337"/>
      <c r="DP125" s="338"/>
      <c r="DQ125" s="350" t="s">
        <v>233</v>
      </c>
      <c r="DR125" s="337"/>
      <c r="DS125" s="337"/>
      <c r="DT125" s="191"/>
      <c r="DU125" s="337"/>
      <c r="DV125" s="337"/>
      <c r="DW125" s="338"/>
      <c r="DX125" s="350" t="s">
        <v>252</v>
      </c>
      <c r="DY125" s="337"/>
      <c r="DZ125" s="337"/>
      <c r="EA125" s="1" t="s">
        <v>57</v>
      </c>
      <c r="EB125" s="337" t="s">
        <v>221</v>
      </c>
      <c r="EC125" s="337"/>
      <c r="ED125" s="338"/>
      <c r="EE125" s="350" t="s">
        <v>231</v>
      </c>
      <c r="EF125" s="337"/>
      <c r="EG125" s="337"/>
      <c r="EH125" s="191"/>
      <c r="EI125" s="337"/>
      <c r="EJ125" s="337"/>
      <c r="EK125" s="351"/>
      <c r="EL125" s="337" t="s">
        <v>383</v>
      </c>
      <c r="EM125" s="337"/>
      <c r="EN125" s="337"/>
      <c r="EO125" s="191"/>
      <c r="EP125" s="337"/>
      <c r="EQ125" s="337"/>
      <c r="ER125" s="351"/>
      <c r="ES125" s="337" t="s">
        <v>383</v>
      </c>
      <c r="ET125" s="337"/>
      <c r="EU125" s="337"/>
      <c r="EV125" s="1" t="s">
        <v>57</v>
      </c>
      <c r="EW125" s="337" t="s">
        <v>228</v>
      </c>
      <c r="EX125" s="337"/>
      <c r="EY125" s="338"/>
      <c r="EZ125" s="350" t="s">
        <v>228</v>
      </c>
      <c r="FA125" s="337"/>
      <c r="FB125" s="337"/>
      <c r="FC125" s="1" t="s">
        <v>57</v>
      </c>
      <c r="FD125" s="337" t="s">
        <v>352</v>
      </c>
      <c r="FE125" s="337"/>
      <c r="FF125" s="337"/>
      <c r="FG125" s="350" t="s">
        <v>352</v>
      </c>
      <c r="FH125" s="337"/>
      <c r="FI125" s="337"/>
      <c r="FJ125" s="191"/>
      <c r="FK125" s="337"/>
      <c r="FL125" s="337"/>
      <c r="FM125" s="338"/>
      <c r="FN125" s="350"/>
      <c r="FO125" s="337"/>
      <c r="FP125" s="337"/>
      <c r="FR125" s="337"/>
      <c r="FS125" s="337"/>
      <c r="FT125" s="337"/>
      <c r="FU125" s="364" t="s">
        <v>252</v>
      </c>
      <c r="FV125" s="337"/>
      <c r="FW125" s="337"/>
      <c r="FX125" s="1" t="s">
        <v>57</v>
      </c>
      <c r="FY125" s="337" t="s">
        <v>231</v>
      </c>
      <c r="FZ125" s="337"/>
      <c r="GA125" s="337"/>
      <c r="GB125" s="350" t="s">
        <v>231</v>
      </c>
      <c r="GC125" s="337"/>
      <c r="GD125" s="337"/>
      <c r="GE125" s="1" t="s">
        <v>57</v>
      </c>
      <c r="GF125" s="337" t="s">
        <v>252</v>
      </c>
      <c r="GG125" s="337"/>
      <c r="GH125" s="338"/>
      <c r="GI125" s="350" t="s">
        <v>252</v>
      </c>
      <c r="GJ125" s="337"/>
      <c r="GK125" s="337"/>
      <c r="GL125" s="1" t="s">
        <v>57</v>
      </c>
      <c r="GM125" s="337" t="s">
        <v>234</v>
      </c>
      <c r="GN125" s="337"/>
      <c r="GO125" s="338"/>
      <c r="GP125" s="337" t="s">
        <v>233</v>
      </c>
      <c r="GQ125" s="337"/>
      <c r="GR125" s="337"/>
      <c r="GS125" s="191"/>
      <c r="GT125" s="337"/>
      <c r="GU125" s="337"/>
      <c r="GV125" s="338"/>
      <c r="GW125" s="350" t="s">
        <v>382</v>
      </c>
      <c r="GX125" s="337"/>
      <c r="GY125" s="337"/>
      <c r="GZ125" s="1" t="s">
        <v>57</v>
      </c>
      <c r="HA125" s="337" t="s">
        <v>426</v>
      </c>
      <c r="HB125" s="337"/>
      <c r="HC125" s="338"/>
      <c r="HD125" s="350" t="s">
        <v>231</v>
      </c>
      <c r="HE125" s="337"/>
      <c r="HF125" s="337"/>
      <c r="HG125" s="191"/>
      <c r="HH125" s="337"/>
      <c r="HI125" s="337"/>
      <c r="HJ125" s="351"/>
      <c r="HK125" s="337" t="s">
        <v>383</v>
      </c>
      <c r="HL125" s="337"/>
      <c r="HM125" s="337"/>
      <c r="HO125" s="337"/>
      <c r="HP125" s="337"/>
      <c r="HQ125" s="351"/>
      <c r="HR125" s="337"/>
      <c r="HS125" s="337"/>
      <c r="HT125" s="337"/>
      <c r="HV125" s="337"/>
      <c r="HW125" s="337"/>
      <c r="HX125" s="338"/>
    </row>
    <row r="126" spans="2:232" ht="15" customHeight="1" outlineLevel="1" x14ac:dyDescent="0.25">
      <c r="B126" s="147"/>
      <c r="C126" s="147"/>
      <c r="D126" s="147"/>
      <c r="E126" s="147"/>
      <c r="F126" s="157"/>
      <c r="G126" s="147"/>
      <c r="H126" s="157"/>
      <c r="I126" s="175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V126" s="161" t="s">
        <v>200</v>
      </c>
      <c r="W126" s="12"/>
      <c r="X126" s="12"/>
      <c r="Y126" s="12"/>
      <c r="Z126" s="12"/>
      <c r="AA126" s="12"/>
      <c r="AB126" s="12"/>
      <c r="AC126" s="14"/>
      <c r="AD126" s="352" t="s">
        <v>201</v>
      </c>
      <c r="AE126" s="353"/>
      <c r="AF126" s="353"/>
      <c r="AG126" s="1" t="s">
        <v>57</v>
      </c>
      <c r="AH126" s="353" t="s">
        <v>220</v>
      </c>
      <c r="AI126" s="353"/>
      <c r="AJ126" s="353"/>
      <c r="AK126" s="367" t="s">
        <v>220</v>
      </c>
      <c r="AL126" s="353"/>
      <c r="AM126" s="353"/>
      <c r="AO126" s="353"/>
      <c r="AP126" s="353"/>
      <c r="AQ126" s="355"/>
      <c r="AR126" s="352" t="s">
        <v>220</v>
      </c>
      <c r="AS126" s="353"/>
      <c r="AT126" s="353"/>
      <c r="AV126" s="353"/>
      <c r="AW126" s="353"/>
      <c r="AX126" s="355"/>
      <c r="AY126" s="352" t="s">
        <v>220</v>
      </c>
      <c r="AZ126" s="353"/>
      <c r="BA126" s="353"/>
      <c r="BC126" s="353"/>
      <c r="BD126" s="353"/>
      <c r="BE126" s="353"/>
      <c r="BF126" s="352" t="s">
        <v>220</v>
      </c>
      <c r="BG126" s="353"/>
      <c r="BH126" s="353"/>
      <c r="BJ126" s="353"/>
      <c r="BK126" s="353"/>
      <c r="BL126" s="355"/>
      <c r="BM126" s="352"/>
      <c r="BN126" s="353"/>
      <c r="BO126" s="353"/>
      <c r="BQ126" s="353"/>
      <c r="BR126" s="353"/>
      <c r="BS126" s="353"/>
      <c r="BT126" s="367" t="s">
        <v>220</v>
      </c>
      <c r="BU126" s="353"/>
      <c r="BV126" s="353"/>
      <c r="BX126" s="353"/>
      <c r="BY126" s="353"/>
      <c r="BZ126" s="355"/>
      <c r="CA126" s="352" t="s">
        <v>220</v>
      </c>
      <c r="CB126" s="353"/>
      <c r="CC126" s="353"/>
      <c r="CE126" s="353"/>
      <c r="CF126" s="353"/>
      <c r="CG126" s="353"/>
      <c r="CH126" s="352" t="s">
        <v>220</v>
      </c>
      <c r="CI126" s="353"/>
      <c r="CJ126" s="353"/>
      <c r="CL126" s="353"/>
      <c r="CM126" s="353"/>
      <c r="CN126" s="355"/>
      <c r="CO126" s="352" t="s">
        <v>220</v>
      </c>
      <c r="CP126" s="353"/>
      <c r="CQ126" s="353"/>
      <c r="CS126" s="353"/>
      <c r="CT126" s="353"/>
      <c r="CU126" s="355"/>
      <c r="CV126" s="352" t="s">
        <v>229</v>
      </c>
      <c r="CW126" s="353"/>
      <c r="CX126" s="353"/>
      <c r="CZ126" s="353"/>
      <c r="DA126" s="353"/>
      <c r="DB126" s="355"/>
      <c r="DC126" s="352" t="s">
        <v>229</v>
      </c>
      <c r="DD126" s="353"/>
      <c r="DE126" s="353"/>
      <c r="DG126" s="353"/>
      <c r="DH126" s="353"/>
      <c r="DI126" s="355"/>
      <c r="DJ126" s="352" t="s">
        <v>229</v>
      </c>
      <c r="DK126" s="353"/>
      <c r="DL126" s="353"/>
      <c r="DN126" s="353"/>
      <c r="DO126" s="353"/>
      <c r="DP126" s="355"/>
      <c r="DQ126" s="352" t="s">
        <v>220</v>
      </c>
      <c r="DR126" s="353"/>
      <c r="DS126" s="353"/>
      <c r="DU126" s="353"/>
      <c r="DV126" s="353"/>
      <c r="DW126" s="355"/>
      <c r="DX126" s="352" t="s">
        <v>229</v>
      </c>
      <c r="DY126" s="353"/>
      <c r="DZ126" s="353"/>
      <c r="EB126" s="353"/>
      <c r="EC126" s="353"/>
      <c r="ED126" s="355"/>
      <c r="EE126" s="352" t="s">
        <v>220</v>
      </c>
      <c r="EF126" s="353"/>
      <c r="EG126" s="353"/>
      <c r="EI126" s="353"/>
      <c r="EJ126" s="353"/>
      <c r="EK126" s="354"/>
      <c r="EL126" s="353" t="s">
        <v>220</v>
      </c>
      <c r="EM126" s="353"/>
      <c r="EN126" s="353"/>
      <c r="EP126" s="353"/>
      <c r="EQ126" s="353"/>
      <c r="ER126" s="354"/>
      <c r="ES126" s="353" t="s">
        <v>220</v>
      </c>
      <c r="ET126" s="353"/>
      <c r="EU126" s="353"/>
      <c r="EW126" s="353"/>
      <c r="EX126" s="353"/>
      <c r="EY126" s="355"/>
      <c r="EZ126" s="352" t="s">
        <v>220</v>
      </c>
      <c r="FA126" s="353"/>
      <c r="FB126" s="353"/>
      <c r="FD126" s="353"/>
      <c r="FE126" s="353"/>
      <c r="FF126" s="353"/>
      <c r="FG126" s="352" t="s">
        <v>229</v>
      </c>
      <c r="FH126" s="353"/>
      <c r="FI126" s="353"/>
      <c r="FK126" s="353"/>
      <c r="FL126" s="353"/>
      <c r="FM126" s="355"/>
      <c r="FN126" s="352"/>
      <c r="FO126" s="353"/>
      <c r="FP126" s="353"/>
      <c r="FR126" s="353"/>
      <c r="FS126" s="353"/>
      <c r="FT126" s="353"/>
      <c r="FU126" s="367" t="s">
        <v>229</v>
      </c>
      <c r="FV126" s="353"/>
      <c r="FW126" s="353"/>
      <c r="FY126" s="353"/>
      <c r="FZ126" s="353"/>
      <c r="GA126" s="353"/>
      <c r="GB126" s="352" t="s">
        <v>229</v>
      </c>
      <c r="GC126" s="353"/>
      <c r="GD126" s="353"/>
      <c r="GF126" s="353"/>
      <c r="GG126" s="353"/>
      <c r="GH126" s="355"/>
      <c r="GI126" s="352" t="s">
        <v>229</v>
      </c>
      <c r="GJ126" s="353"/>
      <c r="GK126" s="353"/>
      <c r="GM126" s="353"/>
      <c r="GN126" s="353"/>
      <c r="GO126" s="355"/>
      <c r="GP126" s="353" t="s">
        <v>229</v>
      </c>
      <c r="GQ126" s="353"/>
      <c r="GR126" s="353"/>
      <c r="GT126" s="353"/>
      <c r="GU126" s="353"/>
      <c r="GV126" s="355"/>
      <c r="GW126" s="352" t="s">
        <v>229</v>
      </c>
      <c r="GX126" s="353"/>
      <c r="GY126" s="353"/>
      <c r="HA126" s="353"/>
      <c r="HB126" s="353"/>
      <c r="HC126" s="355"/>
      <c r="HD126" s="352" t="s">
        <v>229</v>
      </c>
      <c r="HE126" s="353"/>
      <c r="HF126" s="353"/>
      <c r="HH126" s="353"/>
      <c r="HI126" s="353"/>
      <c r="HJ126" s="354"/>
      <c r="HK126" s="353" t="s">
        <v>229</v>
      </c>
      <c r="HL126" s="353"/>
      <c r="HM126" s="353"/>
      <c r="HO126" s="353"/>
      <c r="HP126" s="353"/>
      <c r="HQ126" s="354"/>
      <c r="HR126" s="353"/>
      <c r="HS126" s="353"/>
      <c r="HT126" s="353"/>
      <c r="HV126" s="353"/>
      <c r="HW126" s="353"/>
      <c r="HX126" s="355"/>
    </row>
    <row r="127" spans="2:232" ht="15" customHeight="1" outlineLevel="1" x14ac:dyDescent="0.25">
      <c r="B127" s="147"/>
      <c r="C127" s="147"/>
      <c r="D127" s="147"/>
      <c r="E127" s="147"/>
      <c r="F127" s="157"/>
      <c r="G127" s="147"/>
      <c r="H127" s="157"/>
      <c r="I127" s="175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V127" s="162"/>
      <c r="W127" s="159"/>
      <c r="X127" s="159"/>
      <c r="Y127" s="159"/>
      <c r="Z127" s="159"/>
      <c r="AA127" s="159"/>
      <c r="AB127" s="159"/>
      <c r="AC127" s="160"/>
      <c r="AD127" s="361"/>
      <c r="AE127" s="356"/>
      <c r="AF127" s="356"/>
      <c r="AG127" s="163"/>
      <c r="AH127" s="356"/>
      <c r="AI127" s="356"/>
      <c r="AJ127" s="356"/>
      <c r="AK127" s="368"/>
      <c r="AL127" s="356"/>
      <c r="AM127" s="356"/>
      <c r="AN127" s="163"/>
      <c r="AO127" s="356"/>
      <c r="AP127" s="356"/>
      <c r="AQ127" s="357"/>
      <c r="AR127" s="361"/>
      <c r="AS127" s="356"/>
      <c r="AT127" s="356"/>
      <c r="AU127" s="163"/>
      <c r="AV127" s="356"/>
      <c r="AW127" s="356"/>
      <c r="AX127" s="357"/>
      <c r="AY127" s="361"/>
      <c r="AZ127" s="356"/>
      <c r="BA127" s="356"/>
      <c r="BB127" s="163"/>
      <c r="BC127" s="356"/>
      <c r="BD127" s="356"/>
      <c r="BE127" s="356"/>
      <c r="BF127" s="361"/>
      <c r="BG127" s="356"/>
      <c r="BH127" s="356"/>
      <c r="BI127" s="163"/>
      <c r="BJ127" s="356"/>
      <c r="BK127" s="356"/>
      <c r="BL127" s="357"/>
      <c r="BM127" s="361"/>
      <c r="BN127" s="356"/>
      <c r="BO127" s="356"/>
      <c r="BP127" s="163"/>
      <c r="BQ127" s="356"/>
      <c r="BR127" s="356"/>
      <c r="BS127" s="356"/>
      <c r="BT127" s="368"/>
      <c r="BU127" s="356"/>
      <c r="BV127" s="356"/>
      <c r="BW127" s="163"/>
      <c r="BX127" s="356"/>
      <c r="BY127" s="356"/>
      <c r="BZ127" s="357"/>
      <c r="CA127" s="361"/>
      <c r="CB127" s="356"/>
      <c r="CC127" s="356"/>
      <c r="CD127" s="163"/>
      <c r="CE127" s="356"/>
      <c r="CF127" s="356"/>
      <c r="CG127" s="357"/>
      <c r="CH127" s="361"/>
      <c r="CI127" s="356"/>
      <c r="CJ127" s="356"/>
      <c r="CK127" s="163"/>
      <c r="CL127" s="356"/>
      <c r="CM127" s="356"/>
      <c r="CN127" s="357"/>
      <c r="CO127" s="361"/>
      <c r="CP127" s="356"/>
      <c r="CQ127" s="356"/>
      <c r="CR127" s="163"/>
      <c r="CS127" s="356"/>
      <c r="CT127" s="356"/>
      <c r="CU127" s="357"/>
      <c r="CV127" s="361"/>
      <c r="CW127" s="356"/>
      <c r="CX127" s="356"/>
      <c r="CY127" s="163"/>
      <c r="CZ127" s="356"/>
      <c r="DA127" s="356"/>
      <c r="DB127" s="357"/>
      <c r="DC127" s="356"/>
      <c r="DD127" s="356"/>
      <c r="DE127" s="356"/>
      <c r="DF127" s="163"/>
      <c r="DG127" s="356"/>
      <c r="DH127" s="356"/>
      <c r="DI127" s="357"/>
      <c r="DJ127" s="361"/>
      <c r="DK127" s="356"/>
      <c r="DL127" s="356"/>
      <c r="DM127" s="163"/>
      <c r="DN127" s="356"/>
      <c r="DO127" s="356"/>
      <c r="DP127" s="357"/>
      <c r="DQ127" s="361"/>
      <c r="DR127" s="356"/>
      <c r="DS127" s="356"/>
      <c r="DT127" s="163"/>
      <c r="DU127" s="356"/>
      <c r="DV127" s="356"/>
      <c r="DW127" s="357"/>
      <c r="DX127" s="356"/>
      <c r="DY127" s="356"/>
      <c r="DZ127" s="356"/>
      <c r="EA127" s="163"/>
      <c r="EB127" s="356"/>
      <c r="EC127" s="356"/>
      <c r="ED127" s="357"/>
      <c r="EE127" s="361"/>
      <c r="EF127" s="356"/>
      <c r="EG127" s="356"/>
      <c r="EH127" s="163"/>
      <c r="EI127" s="356"/>
      <c r="EJ127" s="356"/>
      <c r="EK127" s="359"/>
      <c r="EL127" s="356"/>
      <c r="EM127" s="356"/>
      <c r="EN127" s="356"/>
      <c r="EO127" s="163"/>
      <c r="EP127" s="356"/>
      <c r="EQ127" s="356"/>
      <c r="ER127" s="359"/>
      <c r="ES127" s="356"/>
      <c r="ET127" s="356"/>
      <c r="EU127" s="356"/>
      <c r="EV127" s="163"/>
      <c r="EW127" s="356"/>
      <c r="EX127" s="356"/>
      <c r="EY127" s="357"/>
      <c r="EZ127" s="361"/>
      <c r="FA127" s="356"/>
      <c r="FB127" s="356"/>
      <c r="FC127" s="163"/>
      <c r="FD127" s="356"/>
      <c r="FE127" s="356"/>
      <c r="FF127" s="356"/>
      <c r="FG127" s="361"/>
      <c r="FH127" s="356"/>
      <c r="FI127" s="356"/>
      <c r="FJ127" s="163"/>
      <c r="FK127" s="356"/>
      <c r="FL127" s="356"/>
      <c r="FM127" s="357"/>
      <c r="FN127" s="361"/>
      <c r="FO127" s="356"/>
      <c r="FP127" s="356"/>
      <c r="FQ127" s="163"/>
      <c r="FR127" s="356"/>
      <c r="FS127" s="356"/>
      <c r="FT127" s="356"/>
      <c r="FU127" s="368"/>
      <c r="FV127" s="356"/>
      <c r="FW127" s="356"/>
      <c r="FX127" s="163"/>
      <c r="FY127" s="356"/>
      <c r="FZ127" s="356"/>
      <c r="GA127" s="356"/>
      <c r="GB127" s="361"/>
      <c r="GC127" s="356"/>
      <c r="GD127" s="356"/>
      <c r="GE127" s="163"/>
      <c r="GF127" s="356"/>
      <c r="GG127" s="356"/>
      <c r="GH127" s="357"/>
      <c r="GI127" s="361"/>
      <c r="GJ127" s="356"/>
      <c r="GK127" s="356"/>
      <c r="GL127" s="163"/>
      <c r="GM127" s="356"/>
      <c r="GN127" s="356"/>
      <c r="GO127" s="357"/>
      <c r="GP127" s="356"/>
      <c r="GQ127" s="356"/>
      <c r="GR127" s="356"/>
      <c r="GS127" s="163"/>
      <c r="GT127" s="356"/>
      <c r="GU127" s="356"/>
      <c r="GV127" s="357"/>
      <c r="GW127" s="361"/>
      <c r="GX127" s="356"/>
      <c r="GY127" s="356"/>
      <c r="GZ127" s="163"/>
      <c r="HA127" s="356"/>
      <c r="HB127" s="356"/>
      <c r="HC127" s="357"/>
      <c r="HD127" s="361"/>
      <c r="HE127" s="356"/>
      <c r="HF127" s="356"/>
      <c r="HG127" s="163"/>
      <c r="HH127" s="356"/>
      <c r="HI127" s="356"/>
      <c r="HJ127" s="359"/>
      <c r="HK127" s="356"/>
      <c r="HL127" s="356"/>
      <c r="HM127" s="356"/>
      <c r="HN127" s="163"/>
      <c r="HO127" s="356"/>
      <c r="HP127" s="356"/>
      <c r="HQ127" s="359"/>
      <c r="HR127" s="356"/>
      <c r="HS127" s="356"/>
      <c r="HT127" s="356"/>
      <c r="HU127" s="163"/>
      <c r="HV127" s="356"/>
      <c r="HW127" s="356"/>
      <c r="HX127" s="357"/>
    </row>
    <row r="128" spans="2:232" outlineLevel="1" x14ac:dyDescent="0.25">
      <c r="B128" s="32"/>
      <c r="C128" s="333">
        <f>MAX(C121:C122)+1</f>
        <v>16</v>
      </c>
      <c r="D128" s="164" t="s">
        <v>21</v>
      </c>
      <c r="E128" s="34"/>
      <c r="F128" s="165" t="s">
        <v>529</v>
      </c>
      <c r="G128" s="165" t="s">
        <v>529</v>
      </c>
      <c r="H128" s="259" t="s">
        <v>192</v>
      </c>
      <c r="I128" s="176" t="s">
        <v>189</v>
      </c>
      <c r="J128" s="165" t="s">
        <v>171</v>
      </c>
      <c r="K128" s="165">
        <v>2031</v>
      </c>
      <c r="L128" s="165">
        <v>4</v>
      </c>
      <c r="M128" s="165"/>
      <c r="N128" s="165"/>
      <c r="O128" s="165"/>
      <c r="P128" s="165"/>
      <c r="Q128" s="165"/>
      <c r="R128" s="165"/>
      <c r="S128" s="165"/>
      <c r="T128" s="165"/>
      <c r="V128" s="11" t="s">
        <v>283</v>
      </c>
      <c r="W128" s="12"/>
      <c r="X128" s="12"/>
      <c r="Y128" s="12"/>
      <c r="Z128" s="12"/>
      <c r="AA128" s="12"/>
      <c r="AB128" s="12"/>
      <c r="AC128" s="14"/>
      <c r="AD128" s="166">
        <f>$C128</f>
        <v>16</v>
      </c>
      <c r="AE128" s="358" t="s">
        <v>175</v>
      </c>
      <c r="AF128" s="358"/>
      <c r="AG128" s="358"/>
      <c r="AH128" s="158"/>
      <c r="AI128" s="337"/>
      <c r="AJ128" s="337"/>
      <c r="AK128" s="214">
        <f>$C128</f>
        <v>16</v>
      </c>
      <c r="AL128" s="358" t="s">
        <v>175</v>
      </c>
      <c r="AM128" s="358"/>
      <c r="AN128" s="358"/>
      <c r="AO128" s="32"/>
      <c r="AP128" s="353"/>
      <c r="AQ128" s="355"/>
      <c r="AR128" s="166">
        <f>$C128</f>
        <v>16</v>
      </c>
      <c r="AS128" s="358" t="s">
        <v>532</v>
      </c>
      <c r="AT128" s="358"/>
      <c r="AU128" s="358"/>
      <c r="AV128" s="32"/>
      <c r="AW128" s="353"/>
      <c r="AX128" s="355"/>
      <c r="AY128" s="166">
        <f>$C128</f>
        <v>16</v>
      </c>
      <c r="AZ128" s="358" t="s">
        <v>531</v>
      </c>
      <c r="BA128" s="358"/>
      <c r="BB128" s="358"/>
      <c r="BC128" s="32"/>
      <c r="BD128" s="353"/>
      <c r="BE128" s="353"/>
      <c r="BF128" s="166">
        <f>$C128</f>
        <v>16</v>
      </c>
      <c r="BG128" s="358" t="s">
        <v>531</v>
      </c>
      <c r="BH128" s="358"/>
      <c r="BI128" s="358"/>
      <c r="BJ128" s="158"/>
      <c r="BK128" s="337"/>
      <c r="BL128" s="338"/>
      <c r="BM128" s="166">
        <f>$C128</f>
        <v>16</v>
      </c>
      <c r="BN128" s="358" t="s">
        <v>531</v>
      </c>
      <c r="BO128" s="358"/>
      <c r="BP128" s="358"/>
      <c r="BQ128" s="158"/>
      <c r="BR128" s="337"/>
      <c r="BS128" s="337"/>
      <c r="BT128" s="214">
        <f>$C128</f>
        <v>16</v>
      </c>
      <c r="BU128" s="358" t="s">
        <v>538</v>
      </c>
      <c r="BV128" s="358"/>
      <c r="BW128" s="358"/>
      <c r="BX128" s="158"/>
      <c r="BY128" s="337"/>
      <c r="BZ128" s="338"/>
      <c r="CA128" s="166">
        <f>$C128</f>
        <v>16</v>
      </c>
      <c r="CB128" s="358" t="s">
        <v>532</v>
      </c>
      <c r="CC128" s="358"/>
      <c r="CD128" s="358"/>
      <c r="CE128" s="158"/>
      <c r="CF128" s="337"/>
      <c r="CG128" s="338"/>
      <c r="CH128" s="166">
        <f>$C128</f>
        <v>16</v>
      </c>
      <c r="CI128" s="358" t="s">
        <v>532</v>
      </c>
      <c r="CJ128" s="358"/>
      <c r="CK128" s="358"/>
      <c r="CL128" s="158"/>
      <c r="CM128" s="337"/>
      <c r="CN128" s="338"/>
      <c r="CO128" s="166">
        <f>$C128</f>
        <v>16</v>
      </c>
      <c r="CP128" s="358" t="s">
        <v>173</v>
      </c>
      <c r="CQ128" s="358"/>
      <c r="CR128" s="358"/>
      <c r="CS128" s="158"/>
      <c r="CT128" s="337"/>
      <c r="CU128" s="338"/>
      <c r="CV128" s="166">
        <f>$C128</f>
        <v>16</v>
      </c>
      <c r="CW128" s="358" t="s">
        <v>531</v>
      </c>
      <c r="CX128" s="358"/>
      <c r="CY128" s="358"/>
      <c r="CZ128" s="158"/>
      <c r="DA128" s="337"/>
      <c r="DB128" s="338"/>
      <c r="DC128" s="166">
        <f>$C128</f>
        <v>16</v>
      </c>
      <c r="DD128" s="358" t="s">
        <v>531</v>
      </c>
      <c r="DE128" s="358"/>
      <c r="DF128" s="358"/>
      <c r="DG128" s="158"/>
      <c r="DH128" s="337"/>
      <c r="DI128" s="338"/>
      <c r="DJ128" s="166">
        <f>$C128</f>
        <v>16</v>
      </c>
      <c r="DK128" s="358" t="s">
        <v>531</v>
      </c>
      <c r="DL128" s="358"/>
      <c r="DM128" s="358"/>
      <c r="DN128" s="158"/>
      <c r="DO128" s="337"/>
      <c r="DP128" s="338"/>
      <c r="DQ128" s="166">
        <f>$C128</f>
        <v>16</v>
      </c>
      <c r="DR128" s="358" t="s">
        <v>173</v>
      </c>
      <c r="DS128" s="358"/>
      <c r="DT128" s="358"/>
      <c r="DU128" s="158"/>
      <c r="DV128" s="337"/>
      <c r="DW128" s="338"/>
      <c r="DX128" s="166">
        <f>$C128</f>
        <v>16</v>
      </c>
      <c r="DY128" s="358" t="s">
        <v>532</v>
      </c>
      <c r="DZ128" s="358"/>
      <c r="EA128" s="358"/>
      <c r="EB128" s="158"/>
      <c r="EC128" s="337"/>
      <c r="ED128" s="338"/>
      <c r="EE128" s="166">
        <f>$C128</f>
        <v>16</v>
      </c>
      <c r="EF128" s="358" t="s">
        <v>531</v>
      </c>
      <c r="EG128" s="358"/>
      <c r="EH128" s="358"/>
      <c r="EI128" s="158"/>
      <c r="EJ128" s="337"/>
      <c r="EK128" s="351"/>
      <c r="EL128" s="193">
        <f>$C128</f>
        <v>16</v>
      </c>
      <c r="EM128" s="358" t="s">
        <v>645</v>
      </c>
      <c r="EN128" s="358"/>
      <c r="EO128" s="358"/>
      <c r="EP128" s="158"/>
      <c r="EQ128" s="337"/>
      <c r="ER128" s="351"/>
      <c r="ES128" s="193">
        <f>$C128</f>
        <v>16</v>
      </c>
      <c r="ET128" s="358" t="s">
        <v>175</v>
      </c>
      <c r="EU128" s="358"/>
      <c r="EV128" s="358"/>
      <c r="EW128" s="32"/>
      <c r="EX128" s="353"/>
      <c r="EY128" s="355"/>
      <c r="EZ128" s="166">
        <f>$C128</f>
        <v>16</v>
      </c>
      <c r="FA128" s="358" t="s">
        <v>532</v>
      </c>
      <c r="FB128" s="358"/>
      <c r="FC128" s="358"/>
      <c r="FD128" s="32"/>
      <c r="FE128" s="353"/>
      <c r="FF128" s="353"/>
      <c r="FG128" s="166">
        <f>$C128</f>
        <v>16</v>
      </c>
      <c r="FH128" s="358" t="s">
        <v>532</v>
      </c>
      <c r="FI128" s="358"/>
      <c r="FJ128" s="358"/>
      <c r="FK128" s="32"/>
      <c r="FL128" s="337"/>
      <c r="FM128" s="338"/>
      <c r="FN128" s="166">
        <f>$C128</f>
        <v>16</v>
      </c>
      <c r="FO128" s="358" t="s">
        <v>532</v>
      </c>
      <c r="FP128" s="358"/>
      <c r="FQ128" s="358"/>
      <c r="FR128" s="32"/>
      <c r="FS128" s="337"/>
      <c r="FT128" s="337"/>
      <c r="FU128" s="214">
        <f>$C128</f>
        <v>16</v>
      </c>
      <c r="FV128" s="358" t="s">
        <v>532</v>
      </c>
      <c r="FW128" s="358"/>
      <c r="FX128" s="358"/>
      <c r="FY128" s="32"/>
      <c r="FZ128" s="337"/>
      <c r="GA128" s="337"/>
      <c r="GB128" s="166">
        <f>$C128</f>
        <v>16</v>
      </c>
      <c r="GC128" s="358" t="s">
        <v>532</v>
      </c>
      <c r="GD128" s="358"/>
      <c r="GE128" s="358"/>
      <c r="GF128" s="32"/>
      <c r="GG128" s="337"/>
      <c r="GH128" s="338"/>
      <c r="GI128" s="166">
        <f>$C128</f>
        <v>16</v>
      </c>
      <c r="GJ128" s="358" t="s">
        <v>532</v>
      </c>
      <c r="GK128" s="358"/>
      <c r="GL128" s="358"/>
      <c r="GM128" s="32"/>
      <c r="GN128" s="337"/>
      <c r="GO128" s="338"/>
      <c r="GP128" s="193">
        <f>$C128</f>
        <v>16</v>
      </c>
      <c r="GQ128" s="358" t="s">
        <v>175</v>
      </c>
      <c r="GR128" s="358"/>
      <c r="GS128" s="358"/>
      <c r="GT128" s="32"/>
      <c r="GU128" s="337"/>
      <c r="GV128" s="338"/>
      <c r="GW128" s="166">
        <f>$C128</f>
        <v>16</v>
      </c>
      <c r="GX128" s="358" t="s">
        <v>175</v>
      </c>
      <c r="GY128" s="358"/>
      <c r="GZ128" s="358"/>
      <c r="HA128" s="32"/>
      <c r="HB128" s="337"/>
      <c r="HC128" s="338"/>
      <c r="HD128" s="166">
        <f>$C128</f>
        <v>16</v>
      </c>
      <c r="HE128" s="358" t="s">
        <v>532</v>
      </c>
      <c r="HF128" s="358"/>
      <c r="HG128" s="358"/>
      <c r="HH128" s="32"/>
      <c r="HI128" s="337"/>
      <c r="HJ128" s="351"/>
      <c r="HK128" s="193">
        <f>$C128</f>
        <v>16</v>
      </c>
      <c r="HL128" s="358" t="s">
        <v>645</v>
      </c>
      <c r="HM128" s="358"/>
      <c r="HN128" s="358"/>
      <c r="HO128" s="32"/>
      <c r="HP128" s="337"/>
      <c r="HQ128" s="351"/>
      <c r="HR128" s="193"/>
      <c r="HS128" s="362"/>
      <c r="HT128" s="362"/>
      <c r="HU128" s="362"/>
      <c r="HV128" s="257"/>
      <c r="HW128" s="337"/>
      <c r="HX128" s="338"/>
    </row>
    <row r="129" spans="2:232" outlineLevel="1" x14ac:dyDescent="0.25">
      <c r="B129" s="32"/>
      <c r="C129" s="167"/>
      <c r="D129" s="167"/>
      <c r="E129" s="34"/>
      <c r="F129" s="168"/>
      <c r="G129" s="167"/>
      <c r="H129" s="55"/>
      <c r="I129" s="177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V129" s="107"/>
      <c r="W129" s="108"/>
      <c r="X129" s="108"/>
      <c r="Y129" s="108"/>
      <c r="Z129" s="108"/>
      <c r="AA129" s="108"/>
      <c r="AB129" s="108"/>
      <c r="AC129" s="109"/>
      <c r="AD129" s="169"/>
      <c r="AE129" s="365"/>
      <c r="AF129" s="365"/>
      <c r="AG129" s="365"/>
      <c r="AH129" s="30"/>
      <c r="AI129" s="340"/>
      <c r="AJ129" s="340"/>
      <c r="AK129" s="215"/>
      <c r="AL129" s="339"/>
      <c r="AM129" s="339"/>
      <c r="AN129" s="339"/>
      <c r="AO129" s="30"/>
      <c r="AP129" s="340"/>
      <c r="AQ129" s="341"/>
      <c r="AR129" s="169"/>
      <c r="AS129" s="339"/>
      <c r="AT129" s="339"/>
      <c r="AU129" s="339"/>
      <c r="AV129" s="30"/>
      <c r="AW129" s="340"/>
      <c r="AX129" s="341"/>
      <c r="AY129" s="169"/>
      <c r="AZ129" s="339"/>
      <c r="BA129" s="339"/>
      <c r="BB129" s="339"/>
      <c r="BC129" s="30"/>
      <c r="BD129" s="340"/>
      <c r="BE129" s="340"/>
      <c r="BF129" s="169"/>
      <c r="BG129" s="339"/>
      <c r="BH129" s="339"/>
      <c r="BI129" s="339"/>
      <c r="BJ129" s="30"/>
      <c r="BK129" s="340"/>
      <c r="BL129" s="341"/>
      <c r="BM129" s="169"/>
      <c r="BN129" s="339"/>
      <c r="BO129" s="339"/>
      <c r="BP129" s="339"/>
      <c r="BQ129" s="30"/>
      <c r="BR129" s="340"/>
      <c r="BS129" s="340"/>
      <c r="BT129" s="215"/>
      <c r="BU129" s="339"/>
      <c r="BV129" s="339"/>
      <c r="BW129" s="339"/>
      <c r="BX129" s="30"/>
      <c r="BY129" s="340"/>
      <c r="BZ129" s="341"/>
      <c r="CA129" s="169"/>
      <c r="CB129" s="339"/>
      <c r="CC129" s="339"/>
      <c r="CD129" s="339"/>
      <c r="CE129" s="30"/>
      <c r="CF129" s="340"/>
      <c r="CG129" s="341"/>
      <c r="CH129" s="169"/>
      <c r="CI129" s="339"/>
      <c r="CJ129" s="339"/>
      <c r="CK129" s="339"/>
      <c r="CL129" s="30"/>
      <c r="CM129" s="340"/>
      <c r="CN129" s="341"/>
      <c r="CO129" s="169"/>
      <c r="CP129" s="339"/>
      <c r="CQ129" s="339"/>
      <c r="CR129" s="339"/>
      <c r="CS129" s="30"/>
      <c r="CT129" s="340"/>
      <c r="CU129" s="341"/>
      <c r="CV129" s="169"/>
      <c r="CW129" s="339"/>
      <c r="CX129" s="339"/>
      <c r="CY129" s="339"/>
      <c r="CZ129" s="30"/>
      <c r="DA129" s="340"/>
      <c r="DB129" s="341"/>
      <c r="DC129" s="192"/>
      <c r="DD129" s="339"/>
      <c r="DE129" s="339"/>
      <c r="DF129" s="339"/>
      <c r="DG129" s="30"/>
      <c r="DH129" s="340"/>
      <c r="DI129" s="341"/>
      <c r="DJ129" s="169"/>
      <c r="DK129" s="339"/>
      <c r="DL129" s="339"/>
      <c r="DM129" s="339"/>
      <c r="DN129" s="30"/>
      <c r="DO129" s="340"/>
      <c r="DP129" s="341"/>
      <c r="DQ129" s="169"/>
      <c r="DR129" s="339"/>
      <c r="DS129" s="339"/>
      <c r="DT129" s="339"/>
      <c r="DU129" s="30"/>
      <c r="DV129" s="340"/>
      <c r="DW129" s="341"/>
      <c r="DX129" s="192"/>
      <c r="DY129" s="339"/>
      <c r="DZ129" s="339"/>
      <c r="EA129" s="339"/>
      <c r="EB129" s="30"/>
      <c r="EC129" s="340"/>
      <c r="ED129" s="341"/>
      <c r="EE129" s="169"/>
      <c r="EF129" s="339"/>
      <c r="EG129" s="339"/>
      <c r="EH129" s="339"/>
      <c r="EI129" s="30"/>
      <c r="EJ129" s="340"/>
      <c r="EK129" s="360"/>
      <c r="EL129" s="192"/>
      <c r="EM129" s="339"/>
      <c r="EN129" s="339"/>
      <c r="EO129" s="339"/>
      <c r="EP129" s="30"/>
      <c r="EQ129" s="340"/>
      <c r="ER129" s="360"/>
      <c r="ES129" s="192"/>
      <c r="ET129" s="339"/>
      <c r="EU129" s="339"/>
      <c r="EV129" s="339"/>
      <c r="EW129" s="30"/>
      <c r="EX129" s="340"/>
      <c r="EY129" s="341"/>
      <c r="EZ129" s="169"/>
      <c r="FA129" s="339"/>
      <c r="FB129" s="339"/>
      <c r="FC129" s="339"/>
      <c r="FD129" s="30"/>
      <c r="FE129" s="340"/>
      <c r="FF129" s="340"/>
      <c r="FG129" s="169"/>
      <c r="FH129" s="339"/>
      <c r="FI129" s="339"/>
      <c r="FJ129" s="339"/>
      <c r="FK129" s="30"/>
      <c r="FL129" s="340"/>
      <c r="FM129" s="341"/>
      <c r="FN129" s="169"/>
      <c r="FO129" s="339"/>
      <c r="FP129" s="339"/>
      <c r="FQ129" s="339"/>
      <c r="FR129" s="30"/>
      <c r="FS129" s="340"/>
      <c r="FT129" s="340"/>
      <c r="FU129" s="215"/>
      <c r="FV129" s="339"/>
      <c r="FW129" s="339"/>
      <c r="FX129" s="339"/>
      <c r="FY129" s="30"/>
      <c r="FZ129" s="340"/>
      <c r="GA129" s="340"/>
      <c r="GB129" s="169"/>
      <c r="GC129" s="339"/>
      <c r="GD129" s="339"/>
      <c r="GE129" s="339"/>
      <c r="GF129" s="30"/>
      <c r="GG129" s="340"/>
      <c r="GH129" s="341"/>
      <c r="GI129" s="169"/>
      <c r="GJ129" s="339"/>
      <c r="GK129" s="339"/>
      <c r="GL129" s="339"/>
      <c r="GM129" s="30"/>
      <c r="GN129" s="340"/>
      <c r="GO129" s="341"/>
      <c r="GP129" s="192"/>
      <c r="GQ129" s="339"/>
      <c r="GR129" s="339"/>
      <c r="GS129" s="339"/>
      <c r="GT129" s="30"/>
      <c r="GU129" s="340"/>
      <c r="GV129" s="341"/>
      <c r="GW129" s="169"/>
      <c r="GX129" s="339"/>
      <c r="GY129" s="339"/>
      <c r="GZ129" s="339"/>
      <c r="HA129" s="30"/>
      <c r="HB129" s="340"/>
      <c r="HC129" s="341"/>
      <c r="HD129" s="169"/>
      <c r="HE129" s="339"/>
      <c r="HF129" s="339"/>
      <c r="HG129" s="339"/>
      <c r="HH129" s="30"/>
      <c r="HI129" s="340"/>
      <c r="HJ129" s="360"/>
      <c r="HK129" s="192"/>
      <c r="HL129" s="339"/>
      <c r="HM129" s="339"/>
      <c r="HN129" s="339"/>
      <c r="HO129" s="30"/>
      <c r="HP129" s="340"/>
      <c r="HQ129" s="360"/>
      <c r="HR129" s="192"/>
      <c r="HS129" s="339"/>
      <c r="HT129" s="339"/>
      <c r="HU129" s="339"/>
      <c r="HV129" s="258"/>
      <c r="HW129" s="340"/>
      <c r="HX129" s="341"/>
    </row>
    <row r="130" spans="2:232" ht="15" customHeight="1" outlineLevel="1" x14ac:dyDescent="0.25">
      <c r="B130" s="147"/>
      <c r="C130" s="147"/>
      <c r="D130" s="148"/>
      <c r="E130" s="147"/>
      <c r="F130" s="149"/>
      <c r="G130" s="148"/>
      <c r="H130" s="149"/>
      <c r="I130" s="174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V130" s="150" t="s">
        <v>170</v>
      </c>
      <c r="W130" s="151"/>
      <c r="X130" s="151"/>
      <c r="Y130" s="151"/>
      <c r="Z130" s="151"/>
      <c r="AA130" s="151"/>
      <c r="AB130" s="369"/>
      <c r="AC130" s="370"/>
      <c r="AD130" s="342" t="s">
        <v>217</v>
      </c>
      <c r="AE130" s="343"/>
      <c r="AF130" s="343"/>
      <c r="AG130" s="343"/>
      <c r="AH130" s="343"/>
      <c r="AI130" s="152"/>
      <c r="AJ130" s="194">
        <f>COUNTA(AD135:AD136)</f>
        <v>1</v>
      </c>
      <c r="AK130" s="366" t="s">
        <v>217</v>
      </c>
      <c r="AL130" s="343"/>
      <c r="AM130" s="343"/>
      <c r="AN130" s="343"/>
      <c r="AO130" s="343"/>
      <c r="AP130" s="152"/>
      <c r="AQ130" s="155">
        <f>COUNTA(AK135:AK136)</f>
        <v>1</v>
      </c>
      <c r="AR130" s="342" t="s">
        <v>217</v>
      </c>
      <c r="AS130" s="343"/>
      <c r="AT130" s="343"/>
      <c r="AU130" s="343"/>
      <c r="AV130" s="343"/>
      <c r="AW130" s="152"/>
      <c r="AX130" s="155">
        <f>COUNTA(AR135:AR136)</f>
        <v>1</v>
      </c>
      <c r="AY130" s="342" t="s">
        <v>217</v>
      </c>
      <c r="AZ130" s="343"/>
      <c r="BA130" s="343"/>
      <c r="BB130" s="343"/>
      <c r="BC130" s="343"/>
      <c r="BD130" s="152"/>
      <c r="BE130" s="194">
        <f>COUNTA(AY135:AY136)</f>
        <v>1</v>
      </c>
      <c r="BF130" s="342" t="s">
        <v>217</v>
      </c>
      <c r="BG130" s="343"/>
      <c r="BH130" s="343"/>
      <c r="BI130" s="343"/>
      <c r="BJ130" s="343"/>
      <c r="BK130" s="152"/>
      <c r="BL130" s="155">
        <f>COUNTA(BF135:BF136)</f>
        <v>1</v>
      </c>
      <c r="BM130" s="156"/>
      <c r="BN130" s="152"/>
      <c r="BO130" s="153"/>
      <c r="BP130" s="152"/>
      <c r="BQ130" s="154"/>
      <c r="BR130" s="152"/>
      <c r="BS130" s="194">
        <f>COUNTA(BM135:BM136)</f>
        <v>1</v>
      </c>
      <c r="BT130" s="366" t="s">
        <v>217</v>
      </c>
      <c r="BU130" s="343"/>
      <c r="BV130" s="343"/>
      <c r="BW130" s="343"/>
      <c r="BX130" s="343"/>
      <c r="BY130" s="152"/>
      <c r="BZ130" s="155">
        <f>COUNTA(BT135:BT136)</f>
        <v>1</v>
      </c>
      <c r="CA130" s="342" t="s">
        <v>217</v>
      </c>
      <c r="CB130" s="343"/>
      <c r="CC130" s="343"/>
      <c r="CD130" s="343"/>
      <c r="CE130" s="343"/>
      <c r="CF130" s="152"/>
      <c r="CG130" s="155">
        <f>COUNTA(CA135:CA136)</f>
        <v>1</v>
      </c>
      <c r="CH130" s="342" t="s">
        <v>217</v>
      </c>
      <c r="CI130" s="343"/>
      <c r="CJ130" s="343"/>
      <c r="CK130" s="343"/>
      <c r="CL130" s="343"/>
      <c r="CM130" s="152"/>
      <c r="CN130" s="155">
        <f>COUNTA(CH135:CH136)</f>
        <v>1</v>
      </c>
      <c r="CO130" s="342" t="s">
        <v>217</v>
      </c>
      <c r="CP130" s="343"/>
      <c r="CQ130" s="343"/>
      <c r="CR130" s="343"/>
      <c r="CS130" s="343"/>
      <c r="CT130" s="152"/>
      <c r="CU130" s="155">
        <f>COUNTA(CO135:CO136)</f>
        <v>1</v>
      </c>
      <c r="CV130" s="342" t="s">
        <v>217</v>
      </c>
      <c r="CW130" s="343"/>
      <c r="CX130" s="343"/>
      <c r="CY130" s="343"/>
      <c r="CZ130" s="343"/>
      <c r="DA130" s="152"/>
      <c r="DB130" s="155">
        <f>COUNTA(CV135:CV136)</f>
        <v>1</v>
      </c>
      <c r="DC130" s="343" t="s">
        <v>217</v>
      </c>
      <c r="DD130" s="343"/>
      <c r="DE130" s="343"/>
      <c r="DF130" s="343"/>
      <c r="DG130" s="343"/>
      <c r="DH130" s="152"/>
      <c r="DI130" s="155">
        <f>COUNTA(DC135:DC136)</f>
        <v>1</v>
      </c>
      <c r="DJ130" s="342" t="s">
        <v>217</v>
      </c>
      <c r="DK130" s="343"/>
      <c r="DL130" s="343"/>
      <c r="DM130" s="343"/>
      <c r="DN130" s="343"/>
      <c r="DO130" s="152"/>
      <c r="DP130" s="155">
        <f>COUNTA(DJ135:DJ136)</f>
        <v>1</v>
      </c>
      <c r="DQ130" s="342" t="s">
        <v>217</v>
      </c>
      <c r="DR130" s="343"/>
      <c r="DS130" s="343"/>
      <c r="DT130" s="343"/>
      <c r="DU130" s="343"/>
      <c r="DV130" s="152"/>
      <c r="DW130" s="155">
        <f>COUNTA(DQ135:DQ136)</f>
        <v>1</v>
      </c>
      <c r="DX130" s="343" t="s">
        <v>217</v>
      </c>
      <c r="DY130" s="343"/>
      <c r="DZ130" s="343"/>
      <c r="EA130" s="343"/>
      <c r="EB130" s="343"/>
      <c r="EC130" s="152"/>
      <c r="ED130" s="155">
        <f>COUNTA(DX135:DX136)</f>
        <v>1</v>
      </c>
      <c r="EE130" s="342" t="s">
        <v>217</v>
      </c>
      <c r="EF130" s="343"/>
      <c r="EG130" s="343"/>
      <c r="EH130" s="343"/>
      <c r="EI130" s="343"/>
      <c r="EJ130" s="152"/>
      <c r="EK130" s="218">
        <f>COUNTA(EE135:EE136)</f>
        <v>1</v>
      </c>
      <c r="EL130" s="343" t="s">
        <v>217</v>
      </c>
      <c r="EM130" s="343"/>
      <c r="EN130" s="343"/>
      <c r="EO130" s="343"/>
      <c r="EP130" s="343"/>
      <c r="EQ130" s="152"/>
      <c r="ER130" s="218">
        <f>COUNTA(EL135:EL136)</f>
        <v>1</v>
      </c>
      <c r="ES130" s="343" t="s">
        <v>217</v>
      </c>
      <c r="ET130" s="343"/>
      <c r="EU130" s="343"/>
      <c r="EV130" s="343"/>
      <c r="EW130" s="343"/>
      <c r="EX130" s="152"/>
      <c r="EY130" s="155">
        <f>COUNTA(ES135:ES136)</f>
        <v>1</v>
      </c>
      <c r="EZ130" s="342" t="s">
        <v>245</v>
      </c>
      <c r="FA130" s="343"/>
      <c r="FB130" s="343"/>
      <c r="FC130" s="343"/>
      <c r="FD130" s="343"/>
      <c r="FE130" s="152"/>
      <c r="FF130" s="194">
        <f>COUNTA(EZ135:EZ136)</f>
        <v>1</v>
      </c>
      <c r="FG130" s="342" t="s">
        <v>217</v>
      </c>
      <c r="FH130" s="343"/>
      <c r="FI130" s="343"/>
      <c r="FJ130" s="343"/>
      <c r="FK130" s="343"/>
      <c r="FL130" s="152"/>
      <c r="FM130" s="155">
        <f>COUNTA(FG135:FG136)</f>
        <v>1</v>
      </c>
      <c r="FN130" s="156"/>
      <c r="FO130" s="152"/>
      <c r="FP130" s="153"/>
      <c r="FQ130" s="152"/>
      <c r="FR130" s="154"/>
      <c r="FS130" s="152"/>
      <c r="FT130" s="194">
        <f>COUNTA(FN135:FN136)</f>
        <v>1</v>
      </c>
      <c r="FU130" s="366" t="s">
        <v>217</v>
      </c>
      <c r="FV130" s="343"/>
      <c r="FW130" s="343"/>
      <c r="FX130" s="343"/>
      <c r="FY130" s="343"/>
      <c r="FZ130" s="152"/>
      <c r="GA130" s="194">
        <f>COUNTA(FU135:FU136)</f>
        <v>1</v>
      </c>
      <c r="GB130" s="342" t="s">
        <v>217</v>
      </c>
      <c r="GC130" s="343"/>
      <c r="GD130" s="343"/>
      <c r="GE130" s="343"/>
      <c r="GF130" s="343"/>
      <c r="GG130" s="152"/>
      <c r="GH130" s="155">
        <f>COUNTA(GB135:GB136)</f>
        <v>1</v>
      </c>
      <c r="GI130" s="342" t="s">
        <v>217</v>
      </c>
      <c r="GJ130" s="343"/>
      <c r="GK130" s="343"/>
      <c r="GL130" s="343"/>
      <c r="GM130" s="343"/>
      <c r="GN130" s="152"/>
      <c r="GO130" s="155">
        <f>COUNTA(GI135:GI136)</f>
        <v>1</v>
      </c>
      <c r="GP130" s="343" t="s">
        <v>217</v>
      </c>
      <c r="GQ130" s="343"/>
      <c r="GR130" s="343"/>
      <c r="GS130" s="343"/>
      <c r="GT130" s="343"/>
      <c r="GU130" s="152"/>
      <c r="GV130" s="155">
        <f>COUNTA(GP135:GP136)</f>
        <v>1</v>
      </c>
      <c r="GW130" s="342" t="s">
        <v>217</v>
      </c>
      <c r="GX130" s="343"/>
      <c r="GY130" s="343"/>
      <c r="GZ130" s="343"/>
      <c r="HA130" s="343"/>
      <c r="HB130" s="152"/>
      <c r="HC130" s="155">
        <f>COUNTA(GW135:GW136)</f>
        <v>1</v>
      </c>
      <c r="HD130" s="342" t="s">
        <v>217</v>
      </c>
      <c r="HE130" s="343"/>
      <c r="HF130" s="343"/>
      <c r="HG130" s="343"/>
      <c r="HH130" s="343"/>
      <c r="HI130" s="152"/>
      <c r="HJ130" s="218">
        <f>COUNTA(HD135:HD136)</f>
        <v>1</v>
      </c>
      <c r="HK130" s="343" t="s">
        <v>217</v>
      </c>
      <c r="HL130" s="343"/>
      <c r="HM130" s="343"/>
      <c r="HN130" s="343"/>
      <c r="HO130" s="343"/>
      <c r="HP130" s="152"/>
      <c r="HQ130" s="218">
        <f>COUNTA(HK135:HK136)</f>
        <v>1</v>
      </c>
      <c r="HR130" s="152"/>
      <c r="HS130" s="152"/>
      <c r="HT130" s="153"/>
      <c r="HU130" s="152"/>
      <c r="HV130" s="255"/>
      <c r="HW130" s="152"/>
      <c r="HX130" s="155">
        <f>COUNTA(HR135:HR136)</f>
        <v>0</v>
      </c>
    </row>
    <row r="131" spans="2:232" ht="15" customHeight="1" outlineLevel="1" x14ac:dyDescent="0.25">
      <c r="B131" s="147"/>
      <c r="C131" s="147"/>
      <c r="D131" s="147"/>
      <c r="E131" s="147"/>
      <c r="F131" s="157"/>
      <c r="G131" s="147"/>
      <c r="H131" s="157"/>
      <c r="I131" s="175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V131" s="185" t="s">
        <v>224</v>
      </c>
      <c r="W131" s="186"/>
      <c r="X131" s="186"/>
      <c r="Y131" s="186"/>
      <c r="Z131" s="186"/>
      <c r="AA131" s="186"/>
      <c r="AB131" s="187"/>
      <c r="AC131" s="188"/>
      <c r="AD131" s="344" t="s">
        <v>225</v>
      </c>
      <c r="AE131" s="345"/>
      <c r="AF131" s="345"/>
      <c r="AG131" s="181" t="s">
        <v>75</v>
      </c>
      <c r="AH131" s="346" t="s">
        <v>300</v>
      </c>
      <c r="AI131" s="346"/>
      <c r="AJ131" s="346"/>
      <c r="AK131" s="363" t="s">
        <v>227</v>
      </c>
      <c r="AL131" s="345"/>
      <c r="AM131" s="345"/>
      <c r="AN131" s="181" t="s">
        <v>75</v>
      </c>
      <c r="AO131" s="346" t="s">
        <v>331</v>
      </c>
      <c r="AP131" s="346"/>
      <c r="AQ131" s="349"/>
      <c r="AR131" s="344" t="s">
        <v>227</v>
      </c>
      <c r="AS131" s="345"/>
      <c r="AT131" s="345"/>
      <c r="AU131" s="181" t="s">
        <v>75</v>
      </c>
      <c r="AV131" s="346" t="s">
        <v>331</v>
      </c>
      <c r="AW131" s="346"/>
      <c r="AX131" s="349"/>
      <c r="AY131" s="344" t="s">
        <v>227</v>
      </c>
      <c r="AZ131" s="345"/>
      <c r="BA131" s="345"/>
      <c r="BB131" s="181" t="s">
        <v>75</v>
      </c>
      <c r="BC131" s="346" t="s">
        <v>331</v>
      </c>
      <c r="BD131" s="346"/>
      <c r="BE131" s="349"/>
      <c r="BF131" s="344" t="s">
        <v>227</v>
      </c>
      <c r="BG131" s="345"/>
      <c r="BH131" s="345"/>
      <c r="BI131" s="181" t="s">
        <v>75</v>
      </c>
      <c r="BJ131" s="346" t="s">
        <v>331</v>
      </c>
      <c r="BK131" s="346"/>
      <c r="BL131" s="349"/>
      <c r="BM131" s="180"/>
      <c r="BN131" s="181"/>
      <c r="BO131" s="182"/>
      <c r="BP131" s="181"/>
      <c r="BQ131" s="183"/>
      <c r="BR131" s="181"/>
      <c r="BS131" s="210"/>
      <c r="BT131" s="363" t="s">
        <v>232</v>
      </c>
      <c r="BU131" s="345"/>
      <c r="BV131" s="345"/>
      <c r="BW131" s="181" t="s">
        <v>75</v>
      </c>
      <c r="BX131" s="346" t="s">
        <v>350</v>
      </c>
      <c r="BY131" s="346"/>
      <c r="BZ131" s="349"/>
      <c r="CA131" s="344" t="s">
        <v>232</v>
      </c>
      <c r="CB131" s="345"/>
      <c r="CC131" s="345"/>
      <c r="CD131" s="181" t="s">
        <v>75</v>
      </c>
      <c r="CE131" s="346" t="s">
        <v>350</v>
      </c>
      <c r="CF131" s="346"/>
      <c r="CG131" s="349"/>
      <c r="CH131" s="344" t="s">
        <v>232</v>
      </c>
      <c r="CI131" s="345"/>
      <c r="CJ131" s="345"/>
      <c r="CK131" s="181" t="s">
        <v>75</v>
      </c>
      <c r="CL131" s="346" t="s">
        <v>350</v>
      </c>
      <c r="CM131" s="346"/>
      <c r="CN131" s="349"/>
      <c r="CO131" s="344" t="s">
        <v>232</v>
      </c>
      <c r="CP131" s="345"/>
      <c r="CQ131" s="345"/>
      <c r="CR131" s="181" t="s">
        <v>75</v>
      </c>
      <c r="CS131" s="346" t="s">
        <v>350</v>
      </c>
      <c r="CT131" s="346"/>
      <c r="CU131" s="349"/>
      <c r="CV131" s="344" t="s">
        <v>232</v>
      </c>
      <c r="CW131" s="345"/>
      <c r="CX131" s="345"/>
      <c r="CY131" s="181" t="s">
        <v>75</v>
      </c>
      <c r="CZ131" s="346" t="s">
        <v>350</v>
      </c>
      <c r="DA131" s="346"/>
      <c r="DB131" s="349"/>
      <c r="DC131" s="344" t="s">
        <v>232</v>
      </c>
      <c r="DD131" s="345"/>
      <c r="DE131" s="345"/>
      <c r="DF131" s="181" t="s">
        <v>75</v>
      </c>
      <c r="DG131" s="346" t="s">
        <v>350</v>
      </c>
      <c r="DH131" s="346"/>
      <c r="DI131" s="349"/>
      <c r="DJ131" s="344" t="s">
        <v>232</v>
      </c>
      <c r="DK131" s="345"/>
      <c r="DL131" s="345"/>
      <c r="DM131" s="181" t="s">
        <v>75</v>
      </c>
      <c r="DN131" s="346" t="s">
        <v>350</v>
      </c>
      <c r="DO131" s="346"/>
      <c r="DP131" s="349"/>
      <c r="DQ131" s="344" t="s">
        <v>232</v>
      </c>
      <c r="DR131" s="345"/>
      <c r="DS131" s="345"/>
      <c r="DT131" s="181" t="s">
        <v>75</v>
      </c>
      <c r="DU131" s="346" t="s">
        <v>350</v>
      </c>
      <c r="DV131" s="346"/>
      <c r="DW131" s="349"/>
      <c r="DX131" s="345" t="s">
        <v>232</v>
      </c>
      <c r="DY131" s="345"/>
      <c r="DZ131" s="345"/>
      <c r="EA131" s="181" t="s">
        <v>75</v>
      </c>
      <c r="EB131" s="346" t="s">
        <v>350</v>
      </c>
      <c r="EC131" s="346"/>
      <c r="ED131" s="349"/>
      <c r="EE131" s="344" t="s">
        <v>232</v>
      </c>
      <c r="EF131" s="345"/>
      <c r="EG131" s="345"/>
      <c r="EH131" s="181" t="s">
        <v>75</v>
      </c>
      <c r="EI131" s="346" t="s">
        <v>350</v>
      </c>
      <c r="EJ131" s="346"/>
      <c r="EK131" s="347"/>
      <c r="EL131" s="345" t="s">
        <v>539</v>
      </c>
      <c r="EM131" s="345"/>
      <c r="EN131" s="345"/>
      <c r="EO131" s="181" t="s">
        <v>75</v>
      </c>
      <c r="EP131" s="346" t="s">
        <v>350</v>
      </c>
      <c r="EQ131" s="346"/>
      <c r="ER131" s="347"/>
      <c r="ES131" s="345" t="s">
        <v>243</v>
      </c>
      <c r="ET131" s="345"/>
      <c r="EU131" s="345"/>
      <c r="EV131" s="181" t="s">
        <v>75</v>
      </c>
      <c r="EW131" s="346" t="s">
        <v>377</v>
      </c>
      <c r="EX131" s="346"/>
      <c r="EY131" s="349"/>
      <c r="EZ131" s="344" t="s">
        <v>243</v>
      </c>
      <c r="FA131" s="345"/>
      <c r="FB131" s="345"/>
      <c r="FC131" s="181" t="s">
        <v>75</v>
      </c>
      <c r="FD131" s="346" t="s">
        <v>377</v>
      </c>
      <c r="FE131" s="346"/>
      <c r="FF131" s="349"/>
      <c r="FG131" s="344" t="s">
        <v>243</v>
      </c>
      <c r="FH131" s="345"/>
      <c r="FI131" s="345"/>
      <c r="FJ131" s="181" t="s">
        <v>75</v>
      </c>
      <c r="FK131" s="346" t="s">
        <v>377</v>
      </c>
      <c r="FL131" s="346"/>
      <c r="FM131" s="349"/>
      <c r="FN131" s="180"/>
      <c r="FO131" s="181"/>
      <c r="FP131" s="182"/>
      <c r="FQ131" s="181"/>
      <c r="FR131" s="183"/>
      <c r="FS131" s="181"/>
      <c r="FT131" s="210"/>
      <c r="FU131" s="363" t="s">
        <v>246</v>
      </c>
      <c r="FV131" s="345"/>
      <c r="FW131" s="345"/>
      <c r="FX131" s="181" t="s">
        <v>75</v>
      </c>
      <c r="FY131" s="346" t="s">
        <v>400</v>
      </c>
      <c r="FZ131" s="346"/>
      <c r="GA131" s="346"/>
      <c r="GB131" s="344" t="s">
        <v>246</v>
      </c>
      <c r="GC131" s="345"/>
      <c r="GD131" s="345"/>
      <c r="GE131" s="181" t="s">
        <v>75</v>
      </c>
      <c r="GF131" s="346" t="s">
        <v>400</v>
      </c>
      <c r="GG131" s="346"/>
      <c r="GH131" s="349"/>
      <c r="GI131" s="344" t="s">
        <v>246</v>
      </c>
      <c r="GJ131" s="345"/>
      <c r="GK131" s="345"/>
      <c r="GL131" s="181" t="s">
        <v>75</v>
      </c>
      <c r="GM131" s="346" t="s">
        <v>400</v>
      </c>
      <c r="GN131" s="346"/>
      <c r="GO131" s="349"/>
      <c r="GP131" s="345" t="s">
        <v>246</v>
      </c>
      <c r="GQ131" s="345"/>
      <c r="GR131" s="345"/>
      <c r="GS131" s="181" t="s">
        <v>75</v>
      </c>
      <c r="GT131" s="346" t="s">
        <v>400</v>
      </c>
      <c r="GU131" s="346"/>
      <c r="GV131" s="349"/>
      <c r="GW131" s="344" t="s">
        <v>246</v>
      </c>
      <c r="GX131" s="345"/>
      <c r="GY131" s="345"/>
      <c r="GZ131" s="181" t="s">
        <v>75</v>
      </c>
      <c r="HA131" s="346" t="s">
        <v>400</v>
      </c>
      <c r="HB131" s="346"/>
      <c r="HC131" s="349"/>
      <c r="HD131" s="344" t="s">
        <v>246</v>
      </c>
      <c r="HE131" s="345"/>
      <c r="HF131" s="345"/>
      <c r="HG131" s="181" t="s">
        <v>75</v>
      </c>
      <c r="HH131" s="346" t="s">
        <v>400</v>
      </c>
      <c r="HI131" s="346"/>
      <c r="HJ131" s="347"/>
      <c r="HK131" s="345" t="s">
        <v>541</v>
      </c>
      <c r="HL131" s="345"/>
      <c r="HM131" s="345"/>
      <c r="HN131" s="181" t="s">
        <v>75</v>
      </c>
      <c r="HO131" s="346" t="s">
        <v>400</v>
      </c>
      <c r="HP131" s="346"/>
      <c r="HQ131" s="347"/>
      <c r="HR131" s="181"/>
      <c r="HS131" s="181"/>
      <c r="HT131" s="182"/>
      <c r="HU131" s="181"/>
      <c r="HV131" s="256"/>
      <c r="HW131" s="181"/>
      <c r="HX131" s="184"/>
    </row>
    <row r="132" spans="2:232" ht="15" customHeight="1" outlineLevel="1" x14ac:dyDescent="0.25">
      <c r="B132" s="147"/>
      <c r="C132" s="147"/>
      <c r="D132" s="147"/>
      <c r="E132" s="147"/>
      <c r="F132" s="157"/>
      <c r="G132" s="147"/>
      <c r="H132" s="157"/>
      <c r="I132" s="175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V132" s="161" t="s">
        <v>199</v>
      </c>
      <c r="W132" s="12"/>
      <c r="X132" s="12"/>
      <c r="Y132" s="12"/>
      <c r="Z132" s="12"/>
      <c r="AA132" s="12"/>
      <c r="AB132" s="12"/>
      <c r="AC132" s="14"/>
      <c r="AD132" s="352" t="s">
        <v>201</v>
      </c>
      <c r="AE132" s="353"/>
      <c r="AF132" s="353"/>
      <c r="AG132" s="1" t="s">
        <v>57</v>
      </c>
      <c r="AH132" s="337" t="s">
        <v>221</v>
      </c>
      <c r="AI132" s="337"/>
      <c r="AJ132" s="337"/>
      <c r="AK132" s="364" t="s">
        <v>202</v>
      </c>
      <c r="AL132" s="337"/>
      <c r="AM132" s="337"/>
      <c r="AN132" s="1" t="s">
        <v>57</v>
      </c>
      <c r="AO132" s="337" t="s">
        <v>221</v>
      </c>
      <c r="AP132" s="337"/>
      <c r="AQ132" s="338"/>
      <c r="AR132" s="350" t="s">
        <v>221</v>
      </c>
      <c r="AS132" s="337"/>
      <c r="AT132" s="337"/>
      <c r="AU132" s="1" t="s">
        <v>57</v>
      </c>
      <c r="AV132" s="337" t="s">
        <v>228</v>
      </c>
      <c r="AW132" s="337"/>
      <c r="AX132" s="338"/>
      <c r="AY132" s="350" t="s">
        <v>228</v>
      </c>
      <c r="AZ132" s="337"/>
      <c r="BA132" s="337"/>
      <c r="BB132" s="1" t="s">
        <v>57</v>
      </c>
      <c r="BC132" s="337" t="s">
        <v>352</v>
      </c>
      <c r="BD132" s="337"/>
      <c r="BE132" s="337"/>
      <c r="BF132" s="350" t="s">
        <v>556</v>
      </c>
      <c r="BG132" s="337"/>
      <c r="BH132" s="337"/>
      <c r="BI132" s="191"/>
      <c r="BJ132" s="337"/>
      <c r="BK132" s="337"/>
      <c r="BL132" s="338"/>
      <c r="BM132" s="350"/>
      <c r="BN132" s="337"/>
      <c r="BO132" s="337"/>
      <c r="BQ132" s="337"/>
      <c r="BR132" s="337"/>
      <c r="BS132" s="337"/>
      <c r="BT132" s="364" t="s">
        <v>221</v>
      </c>
      <c r="BU132" s="337"/>
      <c r="BV132" s="337"/>
      <c r="BW132" s="1" t="s">
        <v>57</v>
      </c>
      <c r="BX132" s="337" t="s">
        <v>231</v>
      </c>
      <c r="BY132" s="337"/>
      <c r="BZ132" s="338"/>
      <c r="CA132" s="337" t="s">
        <v>231</v>
      </c>
      <c r="CB132" s="337"/>
      <c r="CC132" s="337"/>
      <c r="CD132" s="1" t="s">
        <v>57</v>
      </c>
      <c r="CE132" s="337" t="s">
        <v>221</v>
      </c>
      <c r="CF132" s="337"/>
      <c r="CG132" s="337"/>
      <c r="CH132" s="350" t="s">
        <v>221</v>
      </c>
      <c r="CI132" s="337"/>
      <c r="CJ132" s="337"/>
      <c r="CK132" s="1" t="s">
        <v>57</v>
      </c>
      <c r="CL132" s="337" t="s">
        <v>234</v>
      </c>
      <c r="CM132" s="337"/>
      <c r="CN132" s="338"/>
      <c r="CO132" s="350" t="s">
        <v>262</v>
      </c>
      <c r="CP132" s="337"/>
      <c r="CQ132" s="337"/>
      <c r="CR132" s="1" t="s">
        <v>57</v>
      </c>
      <c r="CS132" s="337" t="s">
        <v>233</v>
      </c>
      <c r="CT132" s="337"/>
      <c r="CU132" s="338"/>
      <c r="CV132" s="350" t="s">
        <v>228</v>
      </c>
      <c r="CW132" s="337"/>
      <c r="CX132" s="337"/>
      <c r="CY132" s="1" t="s">
        <v>57</v>
      </c>
      <c r="CZ132" s="337" t="s">
        <v>231</v>
      </c>
      <c r="DA132" s="337"/>
      <c r="DB132" s="338"/>
      <c r="DC132" s="350" t="s">
        <v>231</v>
      </c>
      <c r="DD132" s="337"/>
      <c r="DE132" s="337"/>
      <c r="DF132" s="1" t="s">
        <v>57</v>
      </c>
      <c r="DG132" s="337" t="s">
        <v>252</v>
      </c>
      <c r="DH132" s="337"/>
      <c r="DI132" s="338"/>
      <c r="DJ132" s="350" t="s">
        <v>252</v>
      </c>
      <c r="DK132" s="337"/>
      <c r="DL132" s="337"/>
      <c r="DM132" s="1" t="s">
        <v>57</v>
      </c>
      <c r="DN132" s="337" t="s">
        <v>234</v>
      </c>
      <c r="DO132" s="337"/>
      <c r="DP132" s="338"/>
      <c r="DQ132" s="350" t="s">
        <v>233</v>
      </c>
      <c r="DR132" s="337"/>
      <c r="DS132" s="337"/>
      <c r="DT132" s="191"/>
      <c r="DU132" s="337"/>
      <c r="DV132" s="337"/>
      <c r="DW132" s="338"/>
      <c r="DX132" s="350" t="s">
        <v>252</v>
      </c>
      <c r="DY132" s="337"/>
      <c r="DZ132" s="337"/>
      <c r="EA132" s="1" t="s">
        <v>57</v>
      </c>
      <c r="EB132" s="337" t="s">
        <v>221</v>
      </c>
      <c r="EC132" s="337"/>
      <c r="ED132" s="338"/>
      <c r="EE132" s="350" t="s">
        <v>231</v>
      </c>
      <c r="EF132" s="337"/>
      <c r="EG132" s="337"/>
      <c r="EH132" s="191"/>
      <c r="EI132" s="337"/>
      <c r="EJ132" s="337"/>
      <c r="EK132" s="351"/>
      <c r="EL132" s="337" t="s">
        <v>383</v>
      </c>
      <c r="EM132" s="337"/>
      <c r="EN132" s="337"/>
      <c r="EO132" s="191"/>
      <c r="EP132" s="337"/>
      <c r="EQ132" s="337"/>
      <c r="ER132" s="351"/>
      <c r="ES132" s="337" t="s">
        <v>383</v>
      </c>
      <c r="ET132" s="337"/>
      <c r="EU132" s="337"/>
      <c r="EV132" s="1" t="s">
        <v>57</v>
      </c>
      <c r="EW132" s="337" t="s">
        <v>228</v>
      </c>
      <c r="EX132" s="337"/>
      <c r="EY132" s="338"/>
      <c r="EZ132" s="350" t="s">
        <v>228</v>
      </c>
      <c r="FA132" s="337"/>
      <c r="FB132" s="337"/>
      <c r="FC132" s="1" t="s">
        <v>57</v>
      </c>
      <c r="FD132" s="337" t="s">
        <v>352</v>
      </c>
      <c r="FE132" s="337"/>
      <c r="FF132" s="337"/>
      <c r="FG132" s="350" t="s">
        <v>352</v>
      </c>
      <c r="FH132" s="337"/>
      <c r="FI132" s="337"/>
      <c r="FJ132" s="191"/>
      <c r="FK132" s="337"/>
      <c r="FL132" s="337"/>
      <c r="FM132" s="338"/>
      <c r="FN132" s="350"/>
      <c r="FO132" s="337"/>
      <c r="FP132" s="337"/>
      <c r="FR132" s="337"/>
      <c r="FS132" s="337"/>
      <c r="FT132" s="337"/>
      <c r="FU132" s="364" t="s">
        <v>252</v>
      </c>
      <c r="FV132" s="337"/>
      <c r="FW132" s="337"/>
      <c r="FX132" s="1" t="s">
        <v>57</v>
      </c>
      <c r="FY132" s="337" t="s">
        <v>231</v>
      </c>
      <c r="FZ132" s="337"/>
      <c r="GA132" s="337"/>
      <c r="GB132" s="350" t="s">
        <v>231</v>
      </c>
      <c r="GC132" s="337"/>
      <c r="GD132" s="337"/>
      <c r="GE132" s="1" t="s">
        <v>57</v>
      </c>
      <c r="GF132" s="337" t="s">
        <v>252</v>
      </c>
      <c r="GG132" s="337"/>
      <c r="GH132" s="338"/>
      <c r="GI132" s="350" t="s">
        <v>252</v>
      </c>
      <c r="GJ132" s="337"/>
      <c r="GK132" s="337"/>
      <c r="GL132" s="1" t="s">
        <v>57</v>
      </c>
      <c r="GM132" s="337" t="s">
        <v>234</v>
      </c>
      <c r="GN132" s="337"/>
      <c r="GO132" s="338"/>
      <c r="GP132" s="337" t="s">
        <v>233</v>
      </c>
      <c r="GQ132" s="337"/>
      <c r="GR132" s="337"/>
      <c r="GS132" s="191"/>
      <c r="GT132" s="337"/>
      <c r="GU132" s="337"/>
      <c r="GV132" s="338"/>
      <c r="GW132" s="350" t="s">
        <v>382</v>
      </c>
      <c r="GX132" s="337"/>
      <c r="GY132" s="337"/>
      <c r="GZ132" s="1" t="s">
        <v>57</v>
      </c>
      <c r="HA132" s="337" t="s">
        <v>426</v>
      </c>
      <c r="HB132" s="337"/>
      <c r="HC132" s="338"/>
      <c r="HD132" s="350" t="s">
        <v>231</v>
      </c>
      <c r="HE132" s="337"/>
      <c r="HF132" s="337"/>
      <c r="HG132" s="191"/>
      <c r="HH132" s="337"/>
      <c r="HI132" s="337"/>
      <c r="HJ132" s="351"/>
      <c r="HK132" s="337" t="s">
        <v>383</v>
      </c>
      <c r="HL132" s="337"/>
      <c r="HM132" s="337"/>
      <c r="HO132" s="337"/>
      <c r="HP132" s="337"/>
      <c r="HQ132" s="351"/>
      <c r="HR132" s="337"/>
      <c r="HS132" s="337"/>
      <c r="HT132" s="337"/>
      <c r="HV132" s="337"/>
      <c r="HW132" s="337"/>
      <c r="HX132" s="338"/>
    </row>
    <row r="133" spans="2:232" ht="15" customHeight="1" outlineLevel="1" x14ac:dyDescent="0.25">
      <c r="B133" s="147"/>
      <c r="C133" s="147"/>
      <c r="D133" s="147"/>
      <c r="E133" s="147"/>
      <c r="F133" s="157"/>
      <c r="G133" s="147"/>
      <c r="H133" s="157"/>
      <c r="I133" s="175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V133" s="161" t="s">
        <v>200</v>
      </c>
      <c r="W133" s="12"/>
      <c r="X133" s="12"/>
      <c r="Y133" s="12"/>
      <c r="Z133" s="12"/>
      <c r="AA133" s="12"/>
      <c r="AB133" s="12"/>
      <c r="AC133" s="14"/>
      <c r="AD133" s="352" t="s">
        <v>201</v>
      </c>
      <c r="AE133" s="353"/>
      <c r="AF133" s="353"/>
      <c r="AG133" s="1" t="s">
        <v>57</v>
      </c>
      <c r="AH133" s="353" t="s">
        <v>220</v>
      </c>
      <c r="AI133" s="353"/>
      <c r="AJ133" s="353"/>
      <c r="AK133" s="367" t="s">
        <v>220</v>
      </c>
      <c r="AL133" s="353"/>
      <c r="AM133" s="353"/>
      <c r="AO133" s="353"/>
      <c r="AP133" s="353"/>
      <c r="AQ133" s="355"/>
      <c r="AR133" s="352" t="s">
        <v>220</v>
      </c>
      <c r="AS133" s="353"/>
      <c r="AT133" s="353"/>
      <c r="AV133" s="353"/>
      <c r="AW133" s="353"/>
      <c r="AX133" s="355"/>
      <c r="AY133" s="352" t="s">
        <v>220</v>
      </c>
      <c r="AZ133" s="353"/>
      <c r="BA133" s="353"/>
      <c r="BC133" s="353"/>
      <c r="BD133" s="353"/>
      <c r="BE133" s="353"/>
      <c r="BF133" s="352" t="s">
        <v>220</v>
      </c>
      <c r="BG133" s="353"/>
      <c r="BH133" s="353"/>
      <c r="BJ133" s="353"/>
      <c r="BK133" s="353"/>
      <c r="BL133" s="355"/>
      <c r="BM133" s="352"/>
      <c r="BN133" s="353"/>
      <c r="BO133" s="353"/>
      <c r="BQ133" s="353"/>
      <c r="BR133" s="353"/>
      <c r="BS133" s="353"/>
      <c r="BT133" s="367" t="s">
        <v>220</v>
      </c>
      <c r="BU133" s="353"/>
      <c r="BV133" s="353"/>
      <c r="BX133" s="353"/>
      <c r="BY133" s="353"/>
      <c r="BZ133" s="355"/>
      <c r="CA133" s="352" t="s">
        <v>220</v>
      </c>
      <c r="CB133" s="353"/>
      <c r="CC133" s="353"/>
      <c r="CE133" s="353"/>
      <c r="CF133" s="353"/>
      <c r="CG133" s="353"/>
      <c r="CH133" s="352" t="s">
        <v>220</v>
      </c>
      <c r="CI133" s="353"/>
      <c r="CJ133" s="353"/>
      <c r="CL133" s="353"/>
      <c r="CM133" s="353"/>
      <c r="CN133" s="355"/>
      <c r="CO133" s="352" t="s">
        <v>220</v>
      </c>
      <c r="CP133" s="353"/>
      <c r="CQ133" s="353"/>
      <c r="CS133" s="353"/>
      <c r="CT133" s="353"/>
      <c r="CU133" s="355"/>
      <c r="CV133" s="352" t="s">
        <v>229</v>
      </c>
      <c r="CW133" s="353"/>
      <c r="CX133" s="353"/>
      <c r="CZ133" s="353"/>
      <c r="DA133" s="353"/>
      <c r="DB133" s="355"/>
      <c r="DC133" s="352" t="s">
        <v>229</v>
      </c>
      <c r="DD133" s="353"/>
      <c r="DE133" s="353"/>
      <c r="DG133" s="353"/>
      <c r="DH133" s="353"/>
      <c r="DI133" s="355"/>
      <c r="DJ133" s="352" t="s">
        <v>229</v>
      </c>
      <c r="DK133" s="353"/>
      <c r="DL133" s="353"/>
      <c r="DN133" s="353"/>
      <c r="DO133" s="353"/>
      <c r="DP133" s="355"/>
      <c r="DQ133" s="352" t="s">
        <v>220</v>
      </c>
      <c r="DR133" s="353"/>
      <c r="DS133" s="353"/>
      <c r="DU133" s="353"/>
      <c r="DV133" s="353"/>
      <c r="DW133" s="355"/>
      <c r="DX133" s="352" t="s">
        <v>229</v>
      </c>
      <c r="DY133" s="353"/>
      <c r="DZ133" s="353"/>
      <c r="EB133" s="353"/>
      <c r="EC133" s="353"/>
      <c r="ED133" s="355"/>
      <c r="EE133" s="352" t="s">
        <v>220</v>
      </c>
      <c r="EF133" s="353"/>
      <c r="EG133" s="353"/>
      <c r="EI133" s="353"/>
      <c r="EJ133" s="353"/>
      <c r="EK133" s="354"/>
      <c r="EL133" s="353" t="s">
        <v>220</v>
      </c>
      <c r="EM133" s="353"/>
      <c r="EN133" s="353"/>
      <c r="EP133" s="353"/>
      <c r="EQ133" s="353"/>
      <c r="ER133" s="354"/>
      <c r="ES133" s="353" t="s">
        <v>220</v>
      </c>
      <c r="ET133" s="353"/>
      <c r="EU133" s="353"/>
      <c r="EW133" s="353"/>
      <c r="EX133" s="353"/>
      <c r="EY133" s="355"/>
      <c r="EZ133" s="352" t="s">
        <v>220</v>
      </c>
      <c r="FA133" s="353"/>
      <c r="FB133" s="353"/>
      <c r="FD133" s="353"/>
      <c r="FE133" s="353"/>
      <c r="FF133" s="353"/>
      <c r="FG133" s="352" t="s">
        <v>229</v>
      </c>
      <c r="FH133" s="353"/>
      <c r="FI133" s="353"/>
      <c r="FK133" s="353"/>
      <c r="FL133" s="353"/>
      <c r="FM133" s="355"/>
      <c r="FN133" s="352"/>
      <c r="FO133" s="353"/>
      <c r="FP133" s="353"/>
      <c r="FR133" s="353"/>
      <c r="FS133" s="353"/>
      <c r="FT133" s="353"/>
      <c r="FU133" s="367" t="s">
        <v>229</v>
      </c>
      <c r="FV133" s="353"/>
      <c r="FW133" s="353"/>
      <c r="FY133" s="353"/>
      <c r="FZ133" s="353"/>
      <c r="GA133" s="353"/>
      <c r="GB133" s="352" t="s">
        <v>229</v>
      </c>
      <c r="GC133" s="353"/>
      <c r="GD133" s="353"/>
      <c r="GF133" s="353"/>
      <c r="GG133" s="353"/>
      <c r="GH133" s="355"/>
      <c r="GI133" s="352" t="s">
        <v>229</v>
      </c>
      <c r="GJ133" s="353"/>
      <c r="GK133" s="353"/>
      <c r="GM133" s="353"/>
      <c r="GN133" s="353"/>
      <c r="GO133" s="355"/>
      <c r="GP133" s="353" t="s">
        <v>229</v>
      </c>
      <c r="GQ133" s="353"/>
      <c r="GR133" s="353"/>
      <c r="GT133" s="353"/>
      <c r="GU133" s="353"/>
      <c r="GV133" s="355"/>
      <c r="GW133" s="352" t="s">
        <v>229</v>
      </c>
      <c r="GX133" s="353"/>
      <c r="GY133" s="353"/>
      <c r="HA133" s="353"/>
      <c r="HB133" s="353"/>
      <c r="HC133" s="355"/>
      <c r="HD133" s="352" t="s">
        <v>229</v>
      </c>
      <c r="HE133" s="353"/>
      <c r="HF133" s="353"/>
      <c r="HH133" s="353"/>
      <c r="HI133" s="353"/>
      <c r="HJ133" s="354"/>
      <c r="HK133" s="353" t="s">
        <v>229</v>
      </c>
      <c r="HL133" s="353"/>
      <c r="HM133" s="353"/>
      <c r="HO133" s="353"/>
      <c r="HP133" s="353"/>
      <c r="HQ133" s="354"/>
      <c r="HR133" s="353"/>
      <c r="HS133" s="353"/>
      <c r="HT133" s="353"/>
      <c r="HV133" s="353"/>
      <c r="HW133" s="353"/>
      <c r="HX133" s="355"/>
    </row>
    <row r="134" spans="2:232" ht="15" customHeight="1" outlineLevel="1" x14ac:dyDescent="0.25">
      <c r="B134" s="147"/>
      <c r="C134" s="147"/>
      <c r="D134" s="147"/>
      <c r="E134" s="147"/>
      <c r="F134" s="157"/>
      <c r="G134" s="147"/>
      <c r="H134" s="157"/>
      <c r="I134" s="175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V134" s="162"/>
      <c r="W134" s="159"/>
      <c r="X134" s="159"/>
      <c r="Y134" s="159"/>
      <c r="Z134" s="159"/>
      <c r="AA134" s="159"/>
      <c r="AB134" s="159"/>
      <c r="AC134" s="160"/>
      <c r="AD134" s="361"/>
      <c r="AE134" s="356"/>
      <c r="AF134" s="356"/>
      <c r="AG134" s="163"/>
      <c r="AH134" s="356"/>
      <c r="AI134" s="356"/>
      <c r="AJ134" s="356"/>
      <c r="AK134" s="368"/>
      <c r="AL134" s="356"/>
      <c r="AM134" s="356"/>
      <c r="AN134" s="163"/>
      <c r="AO134" s="356"/>
      <c r="AP134" s="356"/>
      <c r="AQ134" s="357"/>
      <c r="AR134" s="361"/>
      <c r="AS134" s="356"/>
      <c r="AT134" s="356"/>
      <c r="AU134" s="163"/>
      <c r="AV134" s="356"/>
      <c r="AW134" s="356"/>
      <c r="AX134" s="357"/>
      <c r="AY134" s="361"/>
      <c r="AZ134" s="356"/>
      <c r="BA134" s="356"/>
      <c r="BB134" s="163"/>
      <c r="BC134" s="356"/>
      <c r="BD134" s="356"/>
      <c r="BE134" s="356"/>
      <c r="BF134" s="361"/>
      <c r="BG134" s="356"/>
      <c r="BH134" s="356"/>
      <c r="BI134" s="163"/>
      <c r="BJ134" s="356"/>
      <c r="BK134" s="356"/>
      <c r="BL134" s="357"/>
      <c r="BM134" s="361"/>
      <c r="BN134" s="356"/>
      <c r="BO134" s="356"/>
      <c r="BP134" s="163"/>
      <c r="BQ134" s="356"/>
      <c r="BR134" s="356"/>
      <c r="BS134" s="356"/>
      <c r="BT134" s="368"/>
      <c r="BU134" s="356"/>
      <c r="BV134" s="356"/>
      <c r="BW134" s="163"/>
      <c r="BX134" s="356"/>
      <c r="BY134" s="356"/>
      <c r="BZ134" s="357"/>
      <c r="CA134" s="361"/>
      <c r="CB134" s="356"/>
      <c r="CC134" s="356"/>
      <c r="CD134" s="163"/>
      <c r="CE134" s="356"/>
      <c r="CF134" s="356"/>
      <c r="CG134" s="357"/>
      <c r="CH134" s="361"/>
      <c r="CI134" s="356"/>
      <c r="CJ134" s="356"/>
      <c r="CK134" s="163"/>
      <c r="CL134" s="356"/>
      <c r="CM134" s="356"/>
      <c r="CN134" s="357"/>
      <c r="CO134" s="361"/>
      <c r="CP134" s="356"/>
      <c r="CQ134" s="356"/>
      <c r="CR134" s="163"/>
      <c r="CS134" s="356"/>
      <c r="CT134" s="356"/>
      <c r="CU134" s="357"/>
      <c r="CV134" s="361"/>
      <c r="CW134" s="356"/>
      <c r="CX134" s="356"/>
      <c r="CY134" s="163"/>
      <c r="CZ134" s="356"/>
      <c r="DA134" s="356"/>
      <c r="DB134" s="357"/>
      <c r="DC134" s="356"/>
      <c r="DD134" s="356"/>
      <c r="DE134" s="356"/>
      <c r="DF134" s="163"/>
      <c r="DG134" s="356"/>
      <c r="DH134" s="356"/>
      <c r="DI134" s="357"/>
      <c r="DJ134" s="361"/>
      <c r="DK134" s="356"/>
      <c r="DL134" s="356"/>
      <c r="DM134" s="163"/>
      <c r="DN134" s="356"/>
      <c r="DO134" s="356"/>
      <c r="DP134" s="357"/>
      <c r="DQ134" s="361"/>
      <c r="DR134" s="356"/>
      <c r="DS134" s="356"/>
      <c r="DT134" s="163"/>
      <c r="DU134" s="356"/>
      <c r="DV134" s="356"/>
      <c r="DW134" s="357"/>
      <c r="DX134" s="361"/>
      <c r="DY134" s="356"/>
      <c r="DZ134" s="356"/>
      <c r="EA134" s="163"/>
      <c r="EB134" s="356"/>
      <c r="EC134" s="356"/>
      <c r="ED134" s="357"/>
      <c r="EE134" s="361"/>
      <c r="EF134" s="356"/>
      <c r="EG134" s="356"/>
      <c r="EH134" s="163"/>
      <c r="EI134" s="356"/>
      <c r="EJ134" s="356"/>
      <c r="EK134" s="359"/>
      <c r="EL134" s="356"/>
      <c r="EM134" s="356"/>
      <c r="EN134" s="356"/>
      <c r="EO134" s="163"/>
      <c r="EP134" s="356"/>
      <c r="EQ134" s="356"/>
      <c r="ER134" s="359"/>
      <c r="ES134" s="356"/>
      <c r="ET134" s="356"/>
      <c r="EU134" s="356"/>
      <c r="EV134" s="163"/>
      <c r="EW134" s="356"/>
      <c r="EX134" s="356"/>
      <c r="EY134" s="357"/>
      <c r="EZ134" s="361"/>
      <c r="FA134" s="356"/>
      <c r="FB134" s="356"/>
      <c r="FC134" s="163"/>
      <c r="FD134" s="356"/>
      <c r="FE134" s="356"/>
      <c r="FF134" s="356"/>
      <c r="FG134" s="361"/>
      <c r="FH134" s="356"/>
      <c r="FI134" s="356"/>
      <c r="FJ134" s="163"/>
      <c r="FK134" s="356"/>
      <c r="FL134" s="356"/>
      <c r="FM134" s="357"/>
      <c r="FN134" s="361"/>
      <c r="FO134" s="356"/>
      <c r="FP134" s="356"/>
      <c r="FQ134" s="163"/>
      <c r="FR134" s="356"/>
      <c r="FS134" s="356"/>
      <c r="FT134" s="356"/>
      <c r="FU134" s="368"/>
      <c r="FV134" s="356"/>
      <c r="FW134" s="356"/>
      <c r="FX134" s="163"/>
      <c r="FY134" s="356"/>
      <c r="FZ134" s="356"/>
      <c r="GA134" s="356"/>
      <c r="GB134" s="361"/>
      <c r="GC134" s="356"/>
      <c r="GD134" s="356"/>
      <c r="GE134" s="163"/>
      <c r="GF134" s="356"/>
      <c r="GG134" s="356"/>
      <c r="GH134" s="357"/>
      <c r="GI134" s="361"/>
      <c r="GJ134" s="356"/>
      <c r="GK134" s="356"/>
      <c r="GL134" s="163"/>
      <c r="GM134" s="356"/>
      <c r="GN134" s="356"/>
      <c r="GO134" s="357"/>
      <c r="GP134" s="356"/>
      <c r="GQ134" s="356"/>
      <c r="GR134" s="356"/>
      <c r="GS134" s="163"/>
      <c r="GT134" s="356"/>
      <c r="GU134" s="356"/>
      <c r="GV134" s="357"/>
      <c r="GW134" s="361"/>
      <c r="GX134" s="356"/>
      <c r="GY134" s="356"/>
      <c r="GZ134" s="163"/>
      <c r="HA134" s="356"/>
      <c r="HB134" s="356"/>
      <c r="HC134" s="357"/>
      <c r="HD134" s="361"/>
      <c r="HE134" s="356"/>
      <c r="HF134" s="356"/>
      <c r="HG134" s="163"/>
      <c r="HH134" s="356"/>
      <c r="HI134" s="356"/>
      <c r="HJ134" s="359"/>
      <c r="HK134" s="356"/>
      <c r="HL134" s="356"/>
      <c r="HM134" s="356"/>
      <c r="HN134" s="163"/>
      <c r="HO134" s="356"/>
      <c r="HP134" s="356"/>
      <c r="HQ134" s="359"/>
      <c r="HR134" s="356"/>
      <c r="HS134" s="356"/>
      <c r="HT134" s="356"/>
      <c r="HU134" s="163"/>
      <c r="HV134" s="356"/>
      <c r="HW134" s="356"/>
      <c r="HX134" s="357"/>
    </row>
    <row r="135" spans="2:232" outlineLevel="1" x14ac:dyDescent="0.25">
      <c r="B135" s="32"/>
      <c r="C135" s="333">
        <f>MAX(C128:C129)+1</f>
        <v>17</v>
      </c>
      <c r="D135" s="164" t="s">
        <v>21</v>
      </c>
      <c r="E135" s="34"/>
      <c r="F135" s="165" t="s">
        <v>529</v>
      </c>
      <c r="G135" s="165" t="s">
        <v>529</v>
      </c>
      <c r="H135" s="259" t="s">
        <v>193</v>
      </c>
      <c r="I135" s="176" t="s">
        <v>198</v>
      </c>
      <c r="J135" s="165" t="s">
        <v>171</v>
      </c>
      <c r="K135" s="165">
        <v>2031</v>
      </c>
      <c r="L135" s="165">
        <v>4</v>
      </c>
      <c r="M135" s="165"/>
      <c r="N135" s="165"/>
      <c r="O135" s="165"/>
      <c r="P135" s="165"/>
      <c r="Q135" s="165"/>
      <c r="R135" s="165"/>
      <c r="S135" s="165"/>
      <c r="T135" s="165"/>
      <c r="V135" s="11" t="s">
        <v>283</v>
      </c>
      <c r="W135" s="12"/>
      <c r="X135" s="12"/>
      <c r="Y135" s="12"/>
      <c r="Z135" s="12"/>
      <c r="AA135" s="12"/>
      <c r="AB135" s="12"/>
      <c r="AC135" s="14"/>
      <c r="AD135" s="166">
        <f>$C135</f>
        <v>17</v>
      </c>
      <c r="AE135" s="358" t="s">
        <v>175</v>
      </c>
      <c r="AF135" s="358"/>
      <c r="AG135" s="358"/>
      <c r="AH135" s="158"/>
      <c r="AI135" s="337"/>
      <c r="AJ135" s="337"/>
      <c r="AK135" s="214">
        <f>$C135</f>
        <v>17</v>
      </c>
      <c r="AL135" s="358" t="s">
        <v>175</v>
      </c>
      <c r="AM135" s="358"/>
      <c r="AN135" s="358"/>
      <c r="AO135" s="32"/>
      <c r="AP135" s="353"/>
      <c r="AQ135" s="355"/>
      <c r="AR135" s="166">
        <f>$C135</f>
        <v>17</v>
      </c>
      <c r="AS135" s="358" t="s">
        <v>532</v>
      </c>
      <c r="AT135" s="358"/>
      <c r="AU135" s="358"/>
      <c r="AV135" s="32"/>
      <c r="AW135" s="353"/>
      <c r="AX135" s="355"/>
      <c r="AY135" s="166">
        <f>$C135</f>
        <v>17</v>
      </c>
      <c r="AZ135" s="358" t="s">
        <v>531</v>
      </c>
      <c r="BA135" s="358"/>
      <c r="BB135" s="358"/>
      <c r="BC135" s="32"/>
      <c r="BD135" s="353"/>
      <c r="BE135" s="353"/>
      <c r="BF135" s="166">
        <f>$C135</f>
        <v>17</v>
      </c>
      <c r="BG135" s="358" t="s">
        <v>531</v>
      </c>
      <c r="BH135" s="358"/>
      <c r="BI135" s="358"/>
      <c r="BJ135" s="158"/>
      <c r="BK135" s="337"/>
      <c r="BL135" s="338"/>
      <c r="BM135" s="166">
        <f>$C135</f>
        <v>17</v>
      </c>
      <c r="BN135" s="358" t="s">
        <v>531</v>
      </c>
      <c r="BO135" s="358"/>
      <c r="BP135" s="358"/>
      <c r="BQ135" s="158"/>
      <c r="BR135" s="337"/>
      <c r="BS135" s="337"/>
      <c r="BT135" s="214">
        <f>$C135</f>
        <v>17</v>
      </c>
      <c r="BU135" s="358" t="s">
        <v>538</v>
      </c>
      <c r="BV135" s="358"/>
      <c r="BW135" s="358"/>
      <c r="BX135" s="158"/>
      <c r="BY135" s="337"/>
      <c r="BZ135" s="338"/>
      <c r="CA135" s="166">
        <f>$C135</f>
        <v>17</v>
      </c>
      <c r="CB135" s="358" t="s">
        <v>532</v>
      </c>
      <c r="CC135" s="358"/>
      <c r="CD135" s="358"/>
      <c r="CE135" s="158"/>
      <c r="CF135" s="337"/>
      <c r="CG135" s="338"/>
      <c r="CH135" s="166">
        <f>$C135</f>
        <v>17</v>
      </c>
      <c r="CI135" s="358" t="s">
        <v>532</v>
      </c>
      <c r="CJ135" s="358"/>
      <c r="CK135" s="358"/>
      <c r="CL135" s="158"/>
      <c r="CM135" s="337"/>
      <c r="CN135" s="338"/>
      <c r="CO135" s="166">
        <f>$C135</f>
        <v>17</v>
      </c>
      <c r="CP135" s="358" t="s">
        <v>173</v>
      </c>
      <c r="CQ135" s="358"/>
      <c r="CR135" s="358"/>
      <c r="CS135" s="158"/>
      <c r="CT135" s="337"/>
      <c r="CU135" s="338"/>
      <c r="CV135" s="166">
        <f>$C135</f>
        <v>17</v>
      </c>
      <c r="CW135" s="358" t="s">
        <v>531</v>
      </c>
      <c r="CX135" s="358"/>
      <c r="CY135" s="358"/>
      <c r="CZ135" s="158"/>
      <c r="DA135" s="337"/>
      <c r="DB135" s="338"/>
      <c r="DC135" s="166">
        <f>$C135</f>
        <v>17</v>
      </c>
      <c r="DD135" s="358" t="s">
        <v>531</v>
      </c>
      <c r="DE135" s="358"/>
      <c r="DF135" s="358"/>
      <c r="DG135" s="158"/>
      <c r="DH135" s="337"/>
      <c r="DI135" s="338"/>
      <c r="DJ135" s="166">
        <f>$C135</f>
        <v>17</v>
      </c>
      <c r="DK135" s="358" t="s">
        <v>531</v>
      </c>
      <c r="DL135" s="358"/>
      <c r="DM135" s="358"/>
      <c r="DN135" s="158"/>
      <c r="DO135" s="337"/>
      <c r="DP135" s="338"/>
      <c r="DQ135" s="166">
        <f>$C135</f>
        <v>17</v>
      </c>
      <c r="DR135" s="358" t="s">
        <v>173</v>
      </c>
      <c r="DS135" s="358"/>
      <c r="DT135" s="358"/>
      <c r="DU135" s="158"/>
      <c r="DV135" s="337"/>
      <c r="DW135" s="338"/>
      <c r="DX135" s="166">
        <f>$C135</f>
        <v>17</v>
      </c>
      <c r="DY135" s="358" t="s">
        <v>532</v>
      </c>
      <c r="DZ135" s="358"/>
      <c r="EA135" s="358"/>
      <c r="EB135" s="158"/>
      <c r="EC135" s="337"/>
      <c r="ED135" s="338"/>
      <c r="EE135" s="166">
        <f>$C135</f>
        <v>17</v>
      </c>
      <c r="EF135" s="358" t="s">
        <v>531</v>
      </c>
      <c r="EG135" s="358"/>
      <c r="EH135" s="358"/>
      <c r="EI135" s="158"/>
      <c r="EJ135" s="337"/>
      <c r="EK135" s="351"/>
      <c r="EL135" s="193">
        <f>$C135</f>
        <v>17</v>
      </c>
      <c r="EM135" s="358" t="s">
        <v>645</v>
      </c>
      <c r="EN135" s="358"/>
      <c r="EO135" s="358"/>
      <c r="EP135" s="158"/>
      <c r="EQ135" s="337"/>
      <c r="ER135" s="351"/>
      <c r="ES135" s="193">
        <f>$C135</f>
        <v>17</v>
      </c>
      <c r="ET135" s="358" t="s">
        <v>175</v>
      </c>
      <c r="EU135" s="358"/>
      <c r="EV135" s="358"/>
      <c r="EW135" s="32"/>
      <c r="EX135" s="353"/>
      <c r="EY135" s="355"/>
      <c r="EZ135" s="166">
        <f>$C135</f>
        <v>17</v>
      </c>
      <c r="FA135" s="358" t="s">
        <v>532</v>
      </c>
      <c r="FB135" s="358"/>
      <c r="FC135" s="358"/>
      <c r="FD135" s="32"/>
      <c r="FE135" s="353"/>
      <c r="FF135" s="353"/>
      <c r="FG135" s="166">
        <f>$C135</f>
        <v>17</v>
      </c>
      <c r="FH135" s="358" t="s">
        <v>532</v>
      </c>
      <c r="FI135" s="358"/>
      <c r="FJ135" s="358"/>
      <c r="FK135" s="32"/>
      <c r="FL135" s="337"/>
      <c r="FM135" s="338"/>
      <c r="FN135" s="166">
        <f>$C135</f>
        <v>17</v>
      </c>
      <c r="FO135" s="358" t="s">
        <v>532</v>
      </c>
      <c r="FP135" s="358"/>
      <c r="FQ135" s="358"/>
      <c r="FR135" s="32"/>
      <c r="FS135" s="337"/>
      <c r="FT135" s="337"/>
      <c r="FU135" s="214">
        <f>$C135</f>
        <v>17</v>
      </c>
      <c r="FV135" s="358" t="s">
        <v>532</v>
      </c>
      <c r="FW135" s="358"/>
      <c r="FX135" s="358"/>
      <c r="FY135" s="32"/>
      <c r="FZ135" s="337"/>
      <c r="GA135" s="337"/>
      <c r="GB135" s="166">
        <f>$C135</f>
        <v>17</v>
      </c>
      <c r="GC135" s="358" t="s">
        <v>532</v>
      </c>
      <c r="GD135" s="358"/>
      <c r="GE135" s="358"/>
      <c r="GF135" s="32"/>
      <c r="GG135" s="337"/>
      <c r="GH135" s="338"/>
      <c r="GI135" s="166">
        <f>$C135</f>
        <v>17</v>
      </c>
      <c r="GJ135" s="358" t="s">
        <v>532</v>
      </c>
      <c r="GK135" s="358"/>
      <c r="GL135" s="358"/>
      <c r="GM135" s="32"/>
      <c r="GN135" s="337"/>
      <c r="GO135" s="338"/>
      <c r="GP135" s="193">
        <f>$C135</f>
        <v>17</v>
      </c>
      <c r="GQ135" s="358" t="s">
        <v>175</v>
      </c>
      <c r="GR135" s="358"/>
      <c r="GS135" s="358"/>
      <c r="GT135" s="32"/>
      <c r="GU135" s="337"/>
      <c r="GV135" s="338"/>
      <c r="GW135" s="166">
        <f>$C135</f>
        <v>17</v>
      </c>
      <c r="GX135" s="358" t="s">
        <v>175</v>
      </c>
      <c r="GY135" s="358"/>
      <c r="GZ135" s="358"/>
      <c r="HA135" s="32"/>
      <c r="HB135" s="337"/>
      <c r="HC135" s="338"/>
      <c r="HD135" s="166">
        <f>$C135</f>
        <v>17</v>
      </c>
      <c r="HE135" s="358" t="s">
        <v>532</v>
      </c>
      <c r="HF135" s="358"/>
      <c r="HG135" s="358"/>
      <c r="HH135" s="32"/>
      <c r="HI135" s="337"/>
      <c r="HJ135" s="351"/>
      <c r="HK135" s="193">
        <f>$C135</f>
        <v>17</v>
      </c>
      <c r="HL135" s="358" t="s">
        <v>645</v>
      </c>
      <c r="HM135" s="358"/>
      <c r="HN135" s="358"/>
      <c r="HO135" s="32"/>
      <c r="HP135" s="337"/>
      <c r="HQ135" s="351"/>
      <c r="HR135" s="193"/>
      <c r="HS135" s="362"/>
      <c r="HT135" s="362"/>
      <c r="HU135" s="362"/>
      <c r="HV135" s="257"/>
      <c r="HW135" s="337"/>
      <c r="HX135" s="338"/>
    </row>
    <row r="136" spans="2:232" outlineLevel="1" x14ac:dyDescent="0.25">
      <c r="B136" s="32"/>
      <c r="C136" s="167"/>
      <c r="D136" s="167"/>
      <c r="E136" s="34"/>
      <c r="F136" s="168"/>
      <c r="G136" s="167"/>
      <c r="H136" s="55"/>
      <c r="I136" s="177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V136" s="107"/>
      <c r="W136" s="108"/>
      <c r="X136" s="108"/>
      <c r="Y136" s="108"/>
      <c r="Z136" s="108"/>
      <c r="AA136" s="108"/>
      <c r="AB136" s="108"/>
      <c r="AC136" s="109"/>
      <c r="AD136" s="169"/>
      <c r="AE136" s="365"/>
      <c r="AF136" s="365"/>
      <c r="AG136" s="365"/>
      <c r="AH136" s="30"/>
      <c r="AI136" s="340"/>
      <c r="AJ136" s="340"/>
      <c r="AK136" s="215"/>
      <c r="AL136" s="339"/>
      <c r="AM136" s="339"/>
      <c r="AN136" s="339"/>
      <c r="AO136" s="30"/>
      <c r="AP136" s="340"/>
      <c r="AQ136" s="341"/>
      <c r="AR136" s="169"/>
      <c r="AS136" s="339"/>
      <c r="AT136" s="339"/>
      <c r="AU136" s="339"/>
      <c r="AV136" s="30"/>
      <c r="AW136" s="340"/>
      <c r="AX136" s="341"/>
      <c r="AY136" s="169"/>
      <c r="AZ136" s="339"/>
      <c r="BA136" s="339"/>
      <c r="BB136" s="339"/>
      <c r="BC136" s="30"/>
      <c r="BD136" s="340"/>
      <c r="BE136" s="340"/>
      <c r="BF136" s="169"/>
      <c r="BG136" s="339"/>
      <c r="BH136" s="339"/>
      <c r="BI136" s="339"/>
      <c r="BJ136" s="30"/>
      <c r="BK136" s="340"/>
      <c r="BL136" s="341"/>
      <c r="BM136" s="169"/>
      <c r="BN136" s="339"/>
      <c r="BO136" s="339"/>
      <c r="BP136" s="339"/>
      <c r="BQ136" s="30"/>
      <c r="BR136" s="340"/>
      <c r="BS136" s="340"/>
      <c r="BT136" s="215"/>
      <c r="BU136" s="339"/>
      <c r="BV136" s="339"/>
      <c r="BW136" s="339"/>
      <c r="BX136" s="30"/>
      <c r="BY136" s="340"/>
      <c r="BZ136" s="341"/>
      <c r="CA136" s="169"/>
      <c r="CB136" s="339"/>
      <c r="CC136" s="339"/>
      <c r="CD136" s="339"/>
      <c r="CE136" s="30"/>
      <c r="CF136" s="340"/>
      <c r="CG136" s="341"/>
      <c r="CH136" s="169"/>
      <c r="CI136" s="339"/>
      <c r="CJ136" s="339"/>
      <c r="CK136" s="339"/>
      <c r="CL136" s="30"/>
      <c r="CM136" s="340"/>
      <c r="CN136" s="341"/>
      <c r="CO136" s="169"/>
      <c r="CP136" s="339"/>
      <c r="CQ136" s="339"/>
      <c r="CR136" s="339"/>
      <c r="CS136" s="30"/>
      <c r="CT136" s="340"/>
      <c r="CU136" s="341"/>
      <c r="CV136" s="169"/>
      <c r="CW136" s="339"/>
      <c r="CX136" s="339"/>
      <c r="CY136" s="339"/>
      <c r="CZ136" s="30"/>
      <c r="DA136" s="340"/>
      <c r="DB136" s="341"/>
      <c r="DC136" s="192"/>
      <c r="DD136" s="339"/>
      <c r="DE136" s="339"/>
      <c r="DF136" s="339"/>
      <c r="DG136" s="30"/>
      <c r="DH136" s="340"/>
      <c r="DI136" s="341"/>
      <c r="DJ136" s="169"/>
      <c r="DK136" s="339"/>
      <c r="DL136" s="339"/>
      <c r="DM136" s="339"/>
      <c r="DN136" s="30"/>
      <c r="DO136" s="340"/>
      <c r="DP136" s="341"/>
      <c r="DQ136" s="169"/>
      <c r="DR136" s="339"/>
      <c r="DS136" s="339"/>
      <c r="DT136" s="339"/>
      <c r="DU136" s="30"/>
      <c r="DV136" s="340"/>
      <c r="DW136" s="341"/>
      <c r="DX136" s="192"/>
      <c r="DY136" s="339"/>
      <c r="DZ136" s="339"/>
      <c r="EA136" s="339"/>
      <c r="EB136" s="30"/>
      <c r="EC136" s="340"/>
      <c r="ED136" s="341"/>
      <c r="EE136" s="169"/>
      <c r="EF136" s="339"/>
      <c r="EG136" s="339"/>
      <c r="EH136" s="339"/>
      <c r="EI136" s="30"/>
      <c r="EJ136" s="340"/>
      <c r="EK136" s="360"/>
      <c r="EL136" s="192"/>
      <c r="EM136" s="339"/>
      <c r="EN136" s="339"/>
      <c r="EO136" s="339"/>
      <c r="EP136" s="30"/>
      <c r="EQ136" s="340"/>
      <c r="ER136" s="360"/>
      <c r="ES136" s="192"/>
      <c r="ET136" s="339"/>
      <c r="EU136" s="339"/>
      <c r="EV136" s="339"/>
      <c r="EW136" s="30"/>
      <c r="EX136" s="340"/>
      <c r="EY136" s="341"/>
      <c r="EZ136" s="169"/>
      <c r="FA136" s="339"/>
      <c r="FB136" s="339"/>
      <c r="FC136" s="339"/>
      <c r="FD136" s="30"/>
      <c r="FE136" s="340"/>
      <c r="FF136" s="340"/>
      <c r="FG136" s="169"/>
      <c r="FH136" s="339"/>
      <c r="FI136" s="339"/>
      <c r="FJ136" s="339"/>
      <c r="FK136" s="30"/>
      <c r="FL136" s="340"/>
      <c r="FM136" s="341"/>
      <c r="FN136" s="169"/>
      <c r="FO136" s="339"/>
      <c r="FP136" s="339"/>
      <c r="FQ136" s="339"/>
      <c r="FR136" s="30"/>
      <c r="FS136" s="340"/>
      <c r="FT136" s="340"/>
      <c r="FU136" s="215"/>
      <c r="FV136" s="339"/>
      <c r="FW136" s="339"/>
      <c r="FX136" s="339"/>
      <c r="FY136" s="30"/>
      <c r="FZ136" s="340"/>
      <c r="GA136" s="340"/>
      <c r="GB136" s="169"/>
      <c r="GC136" s="339"/>
      <c r="GD136" s="339"/>
      <c r="GE136" s="339"/>
      <c r="GF136" s="30"/>
      <c r="GG136" s="340"/>
      <c r="GH136" s="341"/>
      <c r="GI136" s="169"/>
      <c r="GJ136" s="339"/>
      <c r="GK136" s="339"/>
      <c r="GL136" s="339"/>
      <c r="GM136" s="30"/>
      <c r="GN136" s="340"/>
      <c r="GO136" s="341"/>
      <c r="GP136" s="192"/>
      <c r="GQ136" s="339"/>
      <c r="GR136" s="339"/>
      <c r="GS136" s="339"/>
      <c r="GT136" s="30"/>
      <c r="GU136" s="340"/>
      <c r="GV136" s="341"/>
      <c r="GW136" s="169"/>
      <c r="GX136" s="339"/>
      <c r="GY136" s="339"/>
      <c r="GZ136" s="339"/>
      <c r="HA136" s="30"/>
      <c r="HB136" s="340"/>
      <c r="HC136" s="341"/>
      <c r="HD136" s="169"/>
      <c r="HE136" s="339"/>
      <c r="HF136" s="339"/>
      <c r="HG136" s="339"/>
      <c r="HH136" s="30"/>
      <c r="HI136" s="340"/>
      <c r="HJ136" s="360"/>
      <c r="HK136" s="192"/>
      <c r="HL136" s="339"/>
      <c r="HM136" s="339"/>
      <c r="HN136" s="339"/>
      <c r="HO136" s="30"/>
      <c r="HP136" s="340"/>
      <c r="HQ136" s="360"/>
      <c r="HR136" s="192"/>
      <c r="HS136" s="339"/>
      <c r="HT136" s="339"/>
      <c r="HU136" s="339"/>
      <c r="HV136" s="258"/>
      <c r="HW136" s="340"/>
      <c r="HX136" s="341"/>
    </row>
    <row r="137" spans="2:232" ht="15" customHeight="1" outlineLevel="1" x14ac:dyDescent="0.25">
      <c r="B137" s="147"/>
      <c r="C137" s="147"/>
      <c r="D137" s="148"/>
      <c r="E137" s="147"/>
      <c r="F137" s="149"/>
      <c r="G137" s="148"/>
      <c r="H137" s="149"/>
      <c r="I137" s="174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V137" s="150" t="s">
        <v>170</v>
      </c>
      <c r="W137" s="151"/>
      <c r="X137" s="151"/>
      <c r="Y137" s="151"/>
      <c r="Z137" s="151"/>
      <c r="AA137" s="151"/>
      <c r="AB137" s="369"/>
      <c r="AC137" s="370"/>
      <c r="AD137" s="342" t="s">
        <v>217</v>
      </c>
      <c r="AE137" s="343"/>
      <c r="AF137" s="343"/>
      <c r="AG137" s="343"/>
      <c r="AH137" s="343"/>
      <c r="AI137" s="152"/>
      <c r="AJ137" s="194">
        <f>COUNTA(AD142:AD143)</f>
        <v>1</v>
      </c>
      <c r="AK137" s="366" t="s">
        <v>217</v>
      </c>
      <c r="AL137" s="343"/>
      <c r="AM137" s="343"/>
      <c r="AN137" s="343"/>
      <c r="AO137" s="343"/>
      <c r="AP137" s="152"/>
      <c r="AQ137" s="155">
        <f>COUNTA(AK142:AK143)</f>
        <v>1</v>
      </c>
      <c r="AR137" s="342" t="s">
        <v>217</v>
      </c>
      <c r="AS137" s="343"/>
      <c r="AT137" s="343"/>
      <c r="AU137" s="343"/>
      <c r="AV137" s="343"/>
      <c r="AW137" s="152"/>
      <c r="AX137" s="155">
        <f>COUNTA(AR142:AR143)</f>
        <v>1</v>
      </c>
      <c r="AY137" s="342" t="s">
        <v>217</v>
      </c>
      <c r="AZ137" s="343"/>
      <c r="BA137" s="343"/>
      <c r="BB137" s="343"/>
      <c r="BC137" s="343"/>
      <c r="BD137" s="152"/>
      <c r="BE137" s="194">
        <f>COUNTA(AY142:AY143)</f>
        <v>1</v>
      </c>
      <c r="BF137" s="342" t="s">
        <v>217</v>
      </c>
      <c r="BG137" s="343"/>
      <c r="BH137" s="343"/>
      <c r="BI137" s="343"/>
      <c r="BJ137" s="343"/>
      <c r="BK137" s="152"/>
      <c r="BL137" s="155">
        <f>COUNTA(BF142:BF143)</f>
        <v>1</v>
      </c>
      <c r="BM137" s="156"/>
      <c r="BN137" s="152"/>
      <c r="BO137" s="153"/>
      <c r="BP137" s="152"/>
      <c r="BQ137" s="154"/>
      <c r="BR137" s="152"/>
      <c r="BS137" s="194">
        <f>COUNTA(BM142:BM143)</f>
        <v>1</v>
      </c>
      <c r="BT137" s="366" t="s">
        <v>217</v>
      </c>
      <c r="BU137" s="343"/>
      <c r="BV137" s="343"/>
      <c r="BW137" s="343"/>
      <c r="BX137" s="343"/>
      <c r="BY137" s="152"/>
      <c r="BZ137" s="155">
        <f>COUNTA(BT142:BT143)</f>
        <v>1</v>
      </c>
      <c r="CA137" s="342" t="s">
        <v>217</v>
      </c>
      <c r="CB137" s="343"/>
      <c r="CC137" s="343"/>
      <c r="CD137" s="343"/>
      <c r="CE137" s="343"/>
      <c r="CF137" s="152"/>
      <c r="CG137" s="155">
        <f>COUNTA(CA142:CA143)</f>
        <v>1</v>
      </c>
      <c r="CH137" s="342" t="s">
        <v>217</v>
      </c>
      <c r="CI137" s="343"/>
      <c r="CJ137" s="343"/>
      <c r="CK137" s="343"/>
      <c r="CL137" s="343"/>
      <c r="CM137" s="152"/>
      <c r="CN137" s="155">
        <f>COUNTA(CH142:CH143)</f>
        <v>1</v>
      </c>
      <c r="CO137" s="342" t="s">
        <v>217</v>
      </c>
      <c r="CP137" s="343"/>
      <c r="CQ137" s="343"/>
      <c r="CR137" s="343"/>
      <c r="CS137" s="343"/>
      <c r="CT137" s="152"/>
      <c r="CU137" s="155">
        <f>COUNTA(CO142:CO143)</f>
        <v>1</v>
      </c>
      <c r="CV137" s="342" t="s">
        <v>217</v>
      </c>
      <c r="CW137" s="343"/>
      <c r="CX137" s="343"/>
      <c r="CY137" s="343"/>
      <c r="CZ137" s="343"/>
      <c r="DA137" s="152"/>
      <c r="DB137" s="155">
        <f>COUNTA(CV142:CV143)</f>
        <v>1</v>
      </c>
      <c r="DC137" s="343" t="s">
        <v>217</v>
      </c>
      <c r="DD137" s="343"/>
      <c r="DE137" s="343"/>
      <c r="DF137" s="343"/>
      <c r="DG137" s="343"/>
      <c r="DH137" s="152"/>
      <c r="DI137" s="155">
        <f>COUNTA(DC142:DC143)</f>
        <v>1</v>
      </c>
      <c r="DJ137" s="342" t="s">
        <v>217</v>
      </c>
      <c r="DK137" s="343"/>
      <c r="DL137" s="343"/>
      <c r="DM137" s="343"/>
      <c r="DN137" s="343"/>
      <c r="DO137" s="152"/>
      <c r="DP137" s="155">
        <f>COUNTA(DJ142:DJ143)</f>
        <v>1</v>
      </c>
      <c r="DQ137" s="342" t="s">
        <v>217</v>
      </c>
      <c r="DR137" s="343"/>
      <c r="DS137" s="343"/>
      <c r="DT137" s="343"/>
      <c r="DU137" s="343"/>
      <c r="DV137" s="152"/>
      <c r="DW137" s="155">
        <f>COUNTA(DQ142:DQ143)</f>
        <v>1</v>
      </c>
      <c r="DX137" s="343" t="s">
        <v>217</v>
      </c>
      <c r="DY137" s="343"/>
      <c r="DZ137" s="343"/>
      <c r="EA137" s="343"/>
      <c r="EB137" s="343"/>
      <c r="EC137" s="152"/>
      <c r="ED137" s="155">
        <f>COUNTA(DX142:DX143)</f>
        <v>1</v>
      </c>
      <c r="EE137" s="342" t="s">
        <v>217</v>
      </c>
      <c r="EF137" s="343"/>
      <c r="EG137" s="343"/>
      <c r="EH137" s="343"/>
      <c r="EI137" s="343"/>
      <c r="EJ137" s="152"/>
      <c r="EK137" s="218">
        <f>COUNTA(EE142:EE143)</f>
        <v>1</v>
      </c>
      <c r="EL137" s="343" t="s">
        <v>217</v>
      </c>
      <c r="EM137" s="343"/>
      <c r="EN137" s="343"/>
      <c r="EO137" s="343"/>
      <c r="EP137" s="343"/>
      <c r="EQ137" s="152"/>
      <c r="ER137" s="218">
        <f>COUNTA(EL142:EL143)</f>
        <v>1</v>
      </c>
      <c r="ES137" s="343" t="s">
        <v>217</v>
      </c>
      <c r="ET137" s="343"/>
      <c r="EU137" s="343"/>
      <c r="EV137" s="343"/>
      <c r="EW137" s="343"/>
      <c r="EX137" s="152"/>
      <c r="EY137" s="155">
        <f>COUNTA(ES142:ES143)</f>
        <v>1</v>
      </c>
      <c r="EZ137" s="342" t="s">
        <v>245</v>
      </c>
      <c r="FA137" s="343"/>
      <c r="FB137" s="343"/>
      <c r="FC137" s="343"/>
      <c r="FD137" s="343"/>
      <c r="FE137" s="152"/>
      <c r="FF137" s="194">
        <f>COUNTA(EZ142:EZ143)</f>
        <v>1</v>
      </c>
      <c r="FG137" s="342" t="s">
        <v>217</v>
      </c>
      <c r="FH137" s="343"/>
      <c r="FI137" s="343"/>
      <c r="FJ137" s="343"/>
      <c r="FK137" s="343"/>
      <c r="FL137" s="152"/>
      <c r="FM137" s="155">
        <f>COUNTA(FG142:FG143)</f>
        <v>1</v>
      </c>
      <c r="FN137" s="156"/>
      <c r="FO137" s="152"/>
      <c r="FP137" s="153"/>
      <c r="FQ137" s="152"/>
      <c r="FR137" s="154"/>
      <c r="FS137" s="152"/>
      <c r="FT137" s="194">
        <f>COUNTA(FN142:FN143)</f>
        <v>1</v>
      </c>
      <c r="FU137" s="366" t="s">
        <v>217</v>
      </c>
      <c r="FV137" s="343"/>
      <c r="FW137" s="343"/>
      <c r="FX137" s="343"/>
      <c r="FY137" s="343"/>
      <c r="FZ137" s="152"/>
      <c r="GA137" s="194">
        <f>COUNTA(FU142:FU143)</f>
        <v>1</v>
      </c>
      <c r="GB137" s="342" t="s">
        <v>217</v>
      </c>
      <c r="GC137" s="343"/>
      <c r="GD137" s="343"/>
      <c r="GE137" s="343"/>
      <c r="GF137" s="343"/>
      <c r="GG137" s="152"/>
      <c r="GH137" s="155">
        <f>COUNTA(GB142:GB143)</f>
        <v>1</v>
      </c>
      <c r="GI137" s="342" t="s">
        <v>217</v>
      </c>
      <c r="GJ137" s="343"/>
      <c r="GK137" s="343"/>
      <c r="GL137" s="343"/>
      <c r="GM137" s="343"/>
      <c r="GN137" s="152"/>
      <c r="GO137" s="155">
        <f>COUNTA(GI142:GI143)</f>
        <v>1</v>
      </c>
      <c r="GP137" s="343" t="s">
        <v>217</v>
      </c>
      <c r="GQ137" s="343"/>
      <c r="GR137" s="343"/>
      <c r="GS137" s="343"/>
      <c r="GT137" s="343"/>
      <c r="GU137" s="152"/>
      <c r="GV137" s="155">
        <f>COUNTA(GP142:GP143)</f>
        <v>1</v>
      </c>
      <c r="GW137" s="342" t="s">
        <v>217</v>
      </c>
      <c r="GX137" s="343"/>
      <c r="GY137" s="343"/>
      <c r="GZ137" s="343"/>
      <c r="HA137" s="343"/>
      <c r="HB137" s="152"/>
      <c r="HC137" s="155">
        <f>COUNTA(GW142:GW143)</f>
        <v>1</v>
      </c>
      <c r="HD137" s="342" t="s">
        <v>217</v>
      </c>
      <c r="HE137" s="343"/>
      <c r="HF137" s="343"/>
      <c r="HG137" s="343"/>
      <c r="HH137" s="343"/>
      <c r="HI137" s="152"/>
      <c r="HJ137" s="218">
        <f>COUNTA(HD142:HD143)</f>
        <v>1</v>
      </c>
      <c r="HK137" s="343" t="s">
        <v>217</v>
      </c>
      <c r="HL137" s="343"/>
      <c r="HM137" s="343"/>
      <c r="HN137" s="343"/>
      <c r="HO137" s="343"/>
      <c r="HP137" s="152"/>
      <c r="HQ137" s="218">
        <f>COUNTA(HK142:HK143)</f>
        <v>1</v>
      </c>
      <c r="HR137" s="152"/>
      <c r="HS137" s="152"/>
      <c r="HT137" s="153"/>
      <c r="HU137" s="152"/>
      <c r="HV137" s="255"/>
      <c r="HW137" s="152"/>
      <c r="HX137" s="155">
        <f>COUNTA(HR142:HR143)</f>
        <v>0</v>
      </c>
    </row>
    <row r="138" spans="2:232" ht="15" customHeight="1" outlineLevel="1" x14ac:dyDescent="0.25">
      <c r="B138" s="147"/>
      <c r="C138" s="147"/>
      <c r="D138" s="147"/>
      <c r="E138" s="147"/>
      <c r="F138" s="157"/>
      <c r="G138" s="147"/>
      <c r="H138" s="157"/>
      <c r="I138" s="175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V138" s="185" t="s">
        <v>224</v>
      </c>
      <c r="W138" s="186"/>
      <c r="X138" s="186"/>
      <c r="Y138" s="186"/>
      <c r="Z138" s="186"/>
      <c r="AA138" s="186"/>
      <c r="AB138" s="187"/>
      <c r="AC138" s="188"/>
      <c r="AD138" s="344" t="s">
        <v>225</v>
      </c>
      <c r="AE138" s="345"/>
      <c r="AF138" s="345"/>
      <c r="AG138" s="181" t="s">
        <v>75</v>
      </c>
      <c r="AH138" s="346" t="s">
        <v>301</v>
      </c>
      <c r="AI138" s="346"/>
      <c r="AJ138" s="346"/>
      <c r="AK138" s="363" t="s">
        <v>227</v>
      </c>
      <c r="AL138" s="345"/>
      <c r="AM138" s="345"/>
      <c r="AN138" s="181" t="s">
        <v>75</v>
      </c>
      <c r="AO138" s="346" t="s">
        <v>332</v>
      </c>
      <c r="AP138" s="346"/>
      <c r="AQ138" s="349"/>
      <c r="AR138" s="344" t="s">
        <v>227</v>
      </c>
      <c r="AS138" s="345"/>
      <c r="AT138" s="345"/>
      <c r="AU138" s="181" t="s">
        <v>75</v>
      </c>
      <c r="AV138" s="346" t="s">
        <v>332</v>
      </c>
      <c r="AW138" s="346"/>
      <c r="AX138" s="349"/>
      <c r="AY138" s="344" t="s">
        <v>227</v>
      </c>
      <c r="AZ138" s="345"/>
      <c r="BA138" s="345"/>
      <c r="BB138" s="181" t="s">
        <v>75</v>
      </c>
      <c r="BC138" s="346" t="s">
        <v>332</v>
      </c>
      <c r="BD138" s="346"/>
      <c r="BE138" s="349"/>
      <c r="BF138" s="344" t="s">
        <v>227</v>
      </c>
      <c r="BG138" s="345"/>
      <c r="BH138" s="345"/>
      <c r="BI138" s="181" t="s">
        <v>75</v>
      </c>
      <c r="BJ138" s="346" t="s">
        <v>332</v>
      </c>
      <c r="BK138" s="346"/>
      <c r="BL138" s="349"/>
      <c r="BM138" s="180"/>
      <c r="BN138" s="181"/>
      <c r="BO138" s="182"/>
      <c r="BP138" s="181"/>
      <c r="BQ138" s="183"/>
      <c r="BR138" s="181"/>
      <c r="BS138" s="210"/>
      <c r="BT138" s="363" t="s">
        <v>232</v>
      </c>
      <c r="BU138" s="345"/>
      <c r="BV138" s="345"/>
      <c r="BW138" s="181" t="s">
        <v>75</v>
      </c>
      <c r="BX138" s="346" t="s">
        <v>351</v>
      </c>
      <c r="BY138" s="346"/>
      <c r="BZ138" s="349"/>
      <c r="CA138" s="344" t="s">
        <v>232</v>
      </c>
      <c r="CB138" s="345"/>
      <c r="CC138" s="345"/>
      <c r="CD138" s="181" t="s">
        <v>75</v>
      </c>
      <c r="CE138" s="346" t="s">
        <v>351</v>
      </c>
      <c r="CF138" s="346"/>
      <c r="CG138" s="349"/>
      <c r="CH138" s="344" t="s">
        <v>232</v>
      </c>
      <c r="CI138" s="345"/>
      <c r="CJ138" s="345"/>
      <c r="CK138" s="181" t="s">
        <v>75</v>
      </c>
      <c r="CL138" s="346" t="s">
        <v>351</v>
      </c>
      <c r="CM138" s="346"/>
      <c r="CN138" s="349"/>
      <c r="CO138" s="344" t="s">
        <v>232</v>
      </c>
      <c r="CP138" s="345"/>
      <c r="CQ138" s="345"/>
      <c r="CR138" s="181" t="s">
        <v>75</v>
      </c>
      <c r="CS138" s="346" t="s">
        <v>351</v>
      </c>
      <c r="CT138" s="346"/>
      <c r="CU138" s="349"/>
      <c r="CV138" s="344" t="s">
        <v>232</v>
      </c>
      <c r="CW138" s="345"/>
      <c r="CX138" s="345"/>
      <c r="CY138" s="181" t="s">
        <v>75</v>
      </c>
      <c r="CZ138" s="346" t="s">
        <v>351</v>
      </c>
      <c r="DA138" s="346"/>
      <c r="DB138" s="349"/>
      <c r="DC138" s="344" t="s">
        <v>232</v>
      </c>
      <c r="DD138" s="345"/>
      <c r="DE138" s="345"/>
      <c r="DF138" s="181" t="s">
        <v>75</v>
      </c>
      <c r="DG138" s="346" t="s">
        <v>351</v>
      </c>
      <c r="DH138" s="346"/>
      <c r="DI138" s="349"/>
      <c r="DJ138" s="344" t="s">
        <v>232</v>
      </c>
      <c r="DK138" s="345"/>
      <c r="DL138" s="345"/>
      <c r="DM138" s="181" t="s">
        <v>75</v>
      </c>
      <c r="DN138" s="346" t="s">
        <v>351</v>
      </c>
      <c r="DO138" s="346"/>
      <c r="DP138" s="349"/>
      <c r="DQ138" s="344" t="s">
        <v>232</v>
      </c>
      <c r="DR138" s="345"/>
      <c r="DS138" s="345"/>
      <c r="DT138" s="181" t="s">
        <v>75</v>
      </c>
      <c r="DU138" s="346" t="s">
        <v>351</v>
      </c>
      <c r="DV138" s="346"/>
      <c r="DW138" s="349"/>
      <c r="DX138" s="345" t="s">
        <v>232</v>
      </c>
      <c r="DY138" s="345"/>
      <c r="DZ138" s="345"/>
      <c r="EA138" s="181" t="s">
        <v>75</v>
      </c>
      <c r="EB138" s="346" t="s">
        <v>351</v>
      </c>
      <c r="EC138" s="346"/>
      <c r="ED138" s="349"/>
      <c r="EE138" s="344" t="s">
        <v>232</v>
      </c>
      <c r="EF138" s="345"/>
      <c r="EG138" s="345"/>
      <c r="EH138" s="181" t="s">
        <v>75</v>
      </c>
      <c r="EI138" s="346" t="s">
        <v>351</v>
      </c>
      <c r="EJ138" s="346"/>
      <c r="EK138" s="347"/>
      <c r="EL138" s="345" t="s">
        <v>539</v>
      </c>
      <c r="EM138" s="345"/>
      <c r="EN138" s="345"/>
      <c r="EO138" s="181" t="s">
        <v>75</v>
      </c>
      <c r="EP138" s="346" t="s">
        <v>351</v>
      </c>
      <c r="EQ138" s="346"/>
      <c r="ER138" s="347"/>
      <c r="ES138" s="345" t="s">
        <v>243</v>
      </c>
      <c r="ET138" s="345"/>
      <c r="EU138" s="345"/>
      <c r="EV138" s="181" t="s">
        <v>75</v>
      </c>
      <c r="EW138" s="346" t="s">
        <v>378</v>
      </c>
      <c r="EX138" s="346"/>
      <c r="EY138" s="349"/>
      <c r="EZ138" s="344" t="s">
        <v>243</v>
      </c>
      <c r="FA138" s="345"/>
      <c r="FB138" s="345"/>
      <c r="FC138" s="181" t="s">
        <v>75</v>
      </c>
      <c r="FD138" s="346" t="s">
        <v>378</v>
      </c>
      <c r="FE138" s="346"/>
      <c r="FF138" s="349"/>
      <c r="FG138" s="344" t="s">
        <v>243</v>
      </c>
      <c r="FH138" s="345"/>
      <c r="FI138" s="345"/>
      <c r="FJ138" s="181" t="s">
        <v>75</v>
      </c>
      <c r="FK138" s="346" t="s">
        <v>378</v>
      </c>
      <c r="FL138" s="346"/>
      <c r="FM138" s="349"/>
      <c r="FN138" s="180"/>
      <c r="FO138" s="181"/>
      <c r="FP138" s="182"/>
      <c r="FQ138" s="181"/>
      <c r="FR138" s="183"/>
      <c r="FS138" s="181"/>
      <c r="FT138" s="210"/>
      <c r="FU138" s="363" t="s">
        <v>246</v>
      </c>
      <c r="FV138" s="345"/>
      <c r="FW138" s="345"/>
      <c r="FX138" s="181" t="s">
        <v>75</v>
      </c>
      <c r="FY138" s="346" t="s">
        <v>401</v>
      </c>
      <c r="FZ138" s="346"/>
      <c r="GA138" s="346"/>
      <c r="GB138" s="344" t="s">
        <v>246</v>
      </c>
      <c r="GC138" s="345"/>
      <c r="GD138" s="345"/>
      <c r="GE138" s="181" t="s">
        <v>75</v>
      </c>
      <c r="GF138" s="346" t="s">
        <v>401</v>
      </c>
      <c r="GG138" s="346"/>
      <c r="GH138" s="349"/>
      <c r="GI138" s="344" t="s">
        <v>246</v>
      </c>
      <c r="GJ138" s="345"/>
      <c r="GK138" s="345"/>
      <c r="GL138" s="181" t="s">
        <v>75</v>
      </c>
      <c r="GM138" s="346" t="s">
        <v>401</v>
      </c>
      <c r="GN138" s="346"/>
      <c r="GO138" s="349"/>
      <c r="GP138" s="345" t="s">
        <v>246</v>
      </c>
      <c r="GQ138" s="345"/>
      <c r="GR138" s="345"/>
      <c r="GS138" s="181" t="s">
        <v>75</v>
      </c>
      <c r="GT138" s="346" t="s">
        <v>401</v>
      </c>
      <c r="GU138" s="346"/>
      <c r="GV138" s="349"/>
      <c r="GW138" s="344" t="s">
        <v>246</v>
      </c>
      <c r="GX138" s="345"/>
      <c r="GY138" s="345"/>
      <c r="GZ138" s="181" t="s">
        <v>75</v>
      </c>
      <c r="HA138" s="346" t="s">
        <v>401</v>
      </c>
      <c r="HB138" s="346"/>
      <c r="HC138" s="349"/>
      <c r="HD138" s="344" t="s">
        <v>246</v>
      </c>
      <c r="HE138" s="345"/>
      <c r="HF138" s="345"/>
      <c r="HG138" s="181" t="s">
        <v>75</v>
      </c>
      <c r="HH138" s="346" t="s">
        <v>401</v>
      </c>
      <c r="HI138" s="346"/>
      <c r="HJ138" s="347"/>
      <c r="HK138" s="345" t="s">
        <v>541</v>
      </c>
      <c r="HL138" s="345"/>
      <c r="HM138" s="345"/>
      <c r="HN138" s="181" t="s">
        <v>75</v>
      </c>
      <c r="HO138" s="346" t="s">
        <v>401</v>
      </c>
      <c r="HP138" s="346"/>
      <c r="HQ138" s="347"/>
      <c r="HR138" s="181"/>
      <c r="HS138" s="181"/>
      <c r="HT138" s="182"/>
      <c r="HU138" s="181"/>
      <c r="HV138" s="256"/>
      <c r="HW138" s="181"/>
      <c r="HX138" s="184"/>
    </row>
    <row r="139" spans="2:232" ht="15" customHeight="1" outlineLevel="1" x14ac:dyDescent="0.25">
      <c r="B139" s="147"/>
      <c r="C139" s="147"/>
      <c r="D139" s="147"/>
      <c r="E139" s="147"/>
      <c r="F139" s="157"/>
      <c r="G139" s="147"/>
      <c r="H139" s="157"/>
      <c r="I139" s="175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V139" s="161" t="s">
        <v>199</v>
      </c>
      <c r="W139" s="12"/>
      <c r="X139" s="12"/>
      <c r="Y139" s="12"/>
      <c r="Z139" s="12"/>
      <c r="AA139" s="12"/>
      <c r="AB139" s="12"/>
      <c r="AC139" s="14"/>
      <c r="AD139" s="352" t="s">
        <v>201</v>
      </c>
      <c r="AE139" s="353"/>
      <c r="AF139" s="353"/>
      <c r="AG139" s="1" t="s">
        <v>57</v>
      </c>
      <c r="AH139" s="337" t="s">
        <v>221</v>
      </c>
      <c r="AI139" s="337"/>
      <c r="AJ139" s="337"/>
      <c r="AK139" s="364" t="s">
        <v>202</v>
      </c>
      <c r="AL139" s="337"/>
      <c r="AM139" s="337"/>
      <c r="AN139" s="1" t="s">
        <v>57</v>
      </c>
      <c r="AO139" s="337" t="s">
        <v>221</v>
      </c>
      <c r="AP139" s="337"/>
      <c r="AQ139" s="338"/>
      <c r="AR139" s="350" t="s">
        <v>221</v>
      </c>
      <c r="AS139" s="337"/>
      <c r="AT139" s="337"/>
      <c r="AU139" s="1" t="s">
        <v>57</v>
      </c>
      <c r="AV139" s="337" t="s">
        <v>228</v>
      </c>
      <c r="AW139" s="337"/>
      <c r="AX139" s="338"/>
      <c r="AY139" s="350" t="s">
        <v>228</v>
      </c>
      <c r="AZ139" s="337"/>
      <c r="BA139" s="337"/>
      <c r="BB139" s="1" t="s">
        <v>57</v>
      </c>
      <c r="BC139" s="337" t="s">
        <v>352</v>
      </c>
      <c r="BD139" s="337"/>
      <c r="BE139" s="337"/>
      <c r="BF139" s="350" t="s">
        <v>556</v>
      </c>
      <c r="BG139" s="337"/>
      <c r="BH139" s="337"/>
      <c r="BI139" s="191"/>
      <c r="BJ139" s="337"/>
      <c r="BK139" s="337"/>
      <c r="BL139" s="338"/>
      <c r="BM139" s="350"/>
      <c r="BN139" s="337"/>
      <c r="BO139" s="337"/>
      <c r="BQ139" s="337"/>
      <c r="BR139" s="337"/>
      <c r="BS139" s="337"/>
      <c r="BT139" s="364" t="s">
        <v>221</v>
      </c>
      <c r="BU139" s="337"/>
      <c r="BV139" s="337"/>
      <c r="BW139" s="1" t="s">
        <v>57</v>
      </c>
      <c r="BX139" s="337" t="s">
        <v>231</v>
      </c>
      <c r="BY139" s="337"/>
      <c r="BZ139" s="338"/>
      <c r="CA139" s="337" t="s">
        <v>231</v>
      </c>
      <c r="CB139" s="337"/>
      <c r="CC139" s="337"/>
      <c r="CD139" s="1" t="s">
        <v>57</v>
      </c>
      <c r="CE139" s="337" t="s">
        <v>221</v>
      </c>
      <c r="CF139" s="337"/>
      <c r="CG139" s="337"/>
      <c r="CH139" s="350" t="s">
        <v>221</v>
      </c>
      <c r="CI139" s="337"/>
      <c r="CJ139" s="337"/>
      <c r="CK139" s="1" t="s">
        <v>57</v>
      </c>
      <c r="CL139" s="337" t="s">
        <v>234</v>
      </c>
      <c r="CM139" s="337"/>
      <c r="CN139" s="338"/>
      <c r="CO139" s="350" t="s">
        <v>262</v>
      </c>
      <c r="CP139" s="337"/>
      <c r="CQ139" s="337"/>
      <c r="CR139" s="1" t="s">
        <v>57</v>
      </c>
      <c r="CS139" s="337" t="s">
        <v>233</v>
      </c>
      <c r="CT139" s="337"/>
      <c r="CU139" s="338"/>
      <c r="CV139" s="350" t="s">
        <v>228</v>
      </c>
      <c r="CW139" s="337"/>
      <c r="CX139" s="337"/>
      <c r="CY139" s="1" t="s">
        <v>57</v>
      </c>
      <c r="CZ139" s="337" t="s">
        <v>231</v>
      </c>
      <c r="DA139" s="337"/>
      <c r="DB139" s="338"/>
      <c r="DC139" s="350" t="s">
        <v>231</v>
      </c>
      <c r="DD139" s="337"/>
      <c r="DE139" s="337"/>
      <c r="DF139" s="1" t="s">
        <v>57</v>
      </c>
      <c r="DG139" s="337" t="s">
        <v>252</v>
      </c>
      <c r="DH139" s="337"/>
      <c r="DI139" s="338"/>
      <c r="DJ139" s="350" t="s">
        <v>252</v>
      </c>
      <c r="DK139" s="337"/>
      <c r="DL139" s="337"/>
      <c r="DM139" s="1" t="s">
        <v>57</v>
      </c>
      <c r="DN139" s="337" t="s">
        <v>234</v>
      </c>
      <c r="DO139" s="337"/>
      <c r="DP139" s="338"/>
      <c r="DQ139" s="350" t="s">
        <v>233</v>
      </c>
      <c r="DR139" s="337"/>
      <c r="DS139" s="337"/>
      <c r="DT139" s="191"/>
      <c r="DU139" s="337"/>
      <c r="DV139" s="337"/>
      <c r="DW139" s="338"/>
      <c r="DX139" s="350" t="s">
        <v>252</v>
      </c>
      <c r="DY139" s="337"/>
      <c r="DZ139" s="337"/>
      <c r="EA139" s="1" t="s">
        <v>57</v>
      </c>
      <c r="EB139" s="337" t="s">
        <v>221</v>
      </c>
      <c r="EC139" s="337"/>
      <c r="ED139" s="338"/>
      <c r="EE139" s="350" t="s">
        <v>231</v>
      </c>
      <c r="EF139" s="337"/>
      <c r="EG139" s="337"/>
      <c r="EH139" s="191"/>
      <c r="EI139" s="337"/>
      <c r="EJ139" s="337"/>
      <c r="EK139" s="351"/>
      <c r="EL139" s="337" t="s">
        <v>383</v>
      </c>
      <c r="EM139" s="337"/>
      <c r="EN139" s="337"/>
      <c r="EO139" s="191"/>
      <c r="EP139" s="337"/>
      <c r="EQ139" s="337"/>
      <c r="ER139" s="351"/>
      <c r="ES139" s="337" t="s">
        <v>383</v>
      </c>
      <c r="ET139" s="337"/>
      <c r="EU139" s="337"/>
      <c r="EV139" s="1" t="s">
        <v>57</v>
      </c>
      <c r="EW139" s="337" t="s">
        <v>228</v>
      </c>
      <c r="EX139" s="337"/>
      <c r="EY139" s="338"/>
      <c r="EZ139" s="350" t="s">
        <v>228</v>
      </c>
      <c r="FA139" s="337"/>
      <c r="FB139" s="337"/>
      <c r="FC139" s="1" t="s">
        <v>57</v>
      </c>
      <c r="FD139" s="337" t="s">
        <v>352</v>
      </c>
      <c r="FE139" s="337"/>
      <c r="FF139" s="337"/>
      <c r="FG139" s="350" t="s">
        <v>352</v>
      </c>
      <c r="FH139" s="337"/>
      <c r="FI139" s="337"/>
      <c r="FJ139" s="191"/>
      <c r="FK139" s="337"/>
      <c r="FL139" s="337"/>
      <c r="FM139" s="338"/>
      <c r="FN139" s="350"/>
      <c r="FO139" s="337"/>
      <c r="FP139" s="337"/>
      <c r="FR139" s="337"/>
      <c r="FS139" s="337"/>
      <c r="FT139" s="337"/>
      <c r="FU139" s="364" t="s">
        <v>252</v>
      </c>
      <c r="FV139" s="337"/>
      <c r="FW139" s="337"/>
      <c r="FX139" s="1" t="s">
        <v>57</v>
      </c>
      <c r="FY139" s="337" t="s">
        <v>231</v>
      </c>
      <c r="FZ139" s="337"/>
      <c r="GA139" s="337"/>
      <c r="GB139" s="350" t="s">
        <v>231</v>
      </c>
      <c r="GC139" s="337"/>
      <c r="GD139" s="337"/>
      <c r="GE139" s="1" t="s">
        <v>57</v>
      </c>
      <c r="GF139" s="337" t="s">
        <v>252</v>
      </c>
      <c r="GG139" s="337"/>
      <c r="GH139" s="338"/>
      <c r="GI139" s="350" t="s">
        <v>252</v>
      </c>
      <c r="GJ139" s="337"/>
      <c r="GK139" s="337"/>
      <c r="GL139" s="1" t="s">
        <v>57</v>
      </c>
      <c r="GM139" s="337" t="s">
        <v>234</v>
      </c>
      <c r="GN139" s="337"/>
      <c r="GO139" s="338"/>
      <c r="GP139" s="337" t="s">
        <v>233</v>
      </c>
      <c r="GQ139" s="337"/>
      <c r="GR139" s="337"/>
      <c r="GS139" s="191"/>
      <c r="GT139" s="337"/>
      <c r="GU139" s="337"/>
      <c r="GV139" s="338"/>
      <c r="GW139" s="350" t="s">
        <v>382</v>
      </c>
      <c r="GX139" s="337"/>
      <c r="GY139" s="337"/>
      <c r="GZ139" s="1" t="s">
        <v>57</v>
      </c>
      <c r="HA139" s="337" t="s">
        <v>426</v>
      </c>
      <c r="HB139" s="337"/>
      <c r="HC139" s="338"/>
      <c r="HD139" s="350" t="s">
        <v>231</v>
      </c>
      <c r="HE139" s="337"/>
      <c r="HF139" s="337"/>
      <c r="HG139" s="191"/>
      <c r="HH139" s="337"/>
      <c r="HI139" s="337"/>
      <c r="HJ139" s="351"/>
      <c r="HK139" s="337" t="s">
        <v>383</v>
      </c>
      <c r="HL139" s="337"/>
      <c r="HM139" s="337"/>
      <c r="HO139" s="337"/>
      <c r="HP139" s="337"/>
      <c r="HQ139" s="351"/>
      <c r="HR139" s="337"/>
      <c r="HS139" s="337"/>
      <c r="HT139" s="337"/>
      <c r="HV139" s="337"/>
      <c r="HW139" s="337"/>
      <c r="HX139" s="338"/>
    </row>
    <row r="140" spans="2:232" ht="15" customHeight="1" outlineLevel="1" x14ac:dyDescent="0.25">
      <c r="B140" s="147"/>
      <c r="C140" s="147"/>
      <c r="D140" s="147"/>
      <c r="E140" s="147"/>
      <c r="F140" s="157"/>
      <c r="G140" s="147"/>
      <c r="H140" s="157"/>
      <c r="I140" s="175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V140" s="161" t="s">
        <v>200</v>
      </c>
      <c r="W140" s="12"/>
      <c r="X140" s="12"/>
      <c r="Y140" s="12"/>
      <c r="Z140" s="12"/>
      <c r="AA140" s="12"/>
      <c r="AB140" s="12"/>
      <c r="AC140" s="14"/>
      <c r="AD140" s="352" t="s">
        <v>201</v>
      </c>
      <c r="AE140" s="353"/>
      <c r="AF140" s="353"/>
      <c r="AG140" s="1" t="s">
        <v>57</v>
      </c>
      <c r="AH140" s="353" t="s">
        <v>220</v>
      </c>
      <c r="AI140" s="353"/>
      <c r="AJ140" s="353"/>
      <c r="AK140" s="367" t="s">
        <v>220</v>
      </c>
      <c r="AL140" s="353"/>
      <c r="AM140" s="353"/>
      <c r="AO140" s="353"/>
      <c r="AP140" s="353"/>
      <c r="AQ140" s="355"/>
      <c r="AR140" s="352" t="s">
        <v>220</v>
      </c>
      <c r="AS140" s="353"/>
      <c r="AT140" s="353"/>
      <c r="AV140" s="353"/>
      <c r="AW140" s="353"/>
      <c r="AX140" s="355"/>
      <c r="AY140" s="352" t="s">
        <v>220</v>
      </c>
      <c r="AZ140" s="353"/>
      <c r="BA140" s="353"/>
      <c r="BC140" s="353"/>
      <c r="BD140" s="353"/>
      <c r="BE140" s="353"/>
      <c r="BF140" s="352" t="s">
        <v>220</v>
      </c>
      <c r="BG140" s="353"/>
      <c r="BH140" s="353"/>
      <c r="BJ140" s="353"/>
      <c r="BK140" s="353"/>
      <c r="BL140" s="355"/>
      <c r="BM140" s="352"/>
      <c r="BN140" s="353"/>
      <c r="BO140" s="353"/>
      <c r="BQ140" s="353"/>
      <c r="BR140" s="353"/>
      <c r="BS140" s="353"/>
      <c r="BT140" s="367" t="s">
        <v>220</v>
      </c>
      <c r="BU140" s="353"/>
      <c r="BV140" s="353"/>
      <c r="BX140" s="353"/>
      <c r="BY140" s="353"/>
      <c r="BZ140" s="355"/>
      <c r="CA140" s="352" t="s">
        <v>220</v>
      </c>
      <c r="CB140" s="353"/>
      <c r="CC140" s="353"/>
      <c r="CE140" s="353"/>
      <c r="CF140" s="353"/>
      <c r="CG140" s="353"/>
      <c r="CH140" s="352" t="s">
        <v>220</v>
      </c>
      <c r="CI140" s="353"/>
      <c r="CJ140" s="353"/>
      <c r="CL140" s="353"/>
      <c r="CM140" s="353"/>
      <c r="CN140" s="355"/>
      <c r="CO140" s="352" t="s">
        <v>220</v>
      </c>
      <c r="CP140" s="353"/>
      <c r="CQ140" s="353"/>
      <c r="CS140" s="353"/>
      <c r="CT140" s="353"/>
      <c r="CU140" s="355"/>
      <c r="CV140" s="352" t="s">
        <v>229</v>
      </c>
      <c r="CW140" s="353"/>
      <c r="CX140" s="353"/>
      <c r="CZ140" s="353"/>
      <c r="DA140" s="353"/>
      <c r="DB140" s="355"/>
      <c r="DC140" s="352" t="s">
        <v>229</v>
      </c>
      <c r="DD140" s="353"/>
      <c r="DE140" s="353"/>
      <c r="DG140" s="353"/>
      <c r="DH140" s="353"/>
      <c r="DI140" s="355"/>
      <c r="DJ140" s="352" t="s">
        <v>229</v>
      </c>
      <c r="DK140" s="353"/>
      <c r="DL140" s="353"/>
      <c r="DN140" s="353"/>
      <c r="DO140" s="353"/>
      <c r="DP140" s="355"/>
      <c r="DQ140" s="352" t="s">
        <v>220</v>
      </c>
      <c r="DR140" s="353"/>
      <c r="DS140" s="353"/>
      <c r="DU140" s="353"/>
      <c r="DV140" s="353"/>
      <c r="DW140" s="355"/>
      <c r="DX140" s="352" t="s">
        <v>229</v>
      </c>
      <c r="DY140" s="353"/>
      <c r="DZ140" s="353"/>
      <c r="EB140" s="353"/>
      <c r="EC140" s="353"/>
      <c r="ED140" s="355"/>
      <c r="EE140" s="352" t="s">
        <v>220</v>
      </c>
      <c r="EF140" s="353"/>
      <c r="EG140" s="353"/>
      <c r="EI140" s="353"/>
      <c r="EJ140" s="353"/>
      <c r="EK140" s="354"/>
      <c r="EL140" s="353" t="s">
        <v>220</v>
      </c>
      <c r="EM140" s="353"/>
      <c r="EN140" s="353"/>
      <c r="EP140" s="353"/>
      <c r="EQ140" s="353"/>
      <c r="ER140" s="354"/>
      <c r="ES140" s="353" t="s">
        <v>220</v>
      </c>
      <c r="ET140" s="353"/>
      <c r="EU140" s="353"/>
      <c r="EW140" s="353"/>
      <c r="EX140" s="353"/>
      <c r="EY140" s="355"/>
      <c r="EZ140" s="352" t="s">
        <v>220</v>
      </c>
      <c r="FA140" s="353"/>
      <c r="FB140" s="353"/>
      <c r="FD140" s="353"/>
      <c r="FE140" s="353"/>
      <c r="FF140" s="353"/>
      <c r="FG140" s="352" t="s">
        <v>229</v>
      </c>
      <c r="FH140" s="353"/>
      <c r="FI140" s="353"/>
      <c r="FK140" s="353"/>
      <c r="FL140" s="353"/>
      <c r="FM140" s="355"/>
      <c r="FN140" s="352"/>
      <c r="FO140" s="353"/>
      <c r="FP140" s="353"/>
      <c r="FR140" s="353"/>
      <c r="FS140" s="353"/>
      <c r="FT140" s="353"/>
      <c r="FU140" s="367" t="s">
        <v>229</v>
      </c>
      <c r="FV140" s="353"/>
      <c r="FW140" s="353"/>
      <c r="FY140" s="353"/>
      <c r="FZ140" s="353"/>
      <c r="GA140" s="353"/>
      <c r="GB140" s="352" t="s">
        <v>229</v>
      </c>
      <c r="GC140" s="353"/>
      <c r="GD140" s="353"/>
      <c r="GF140" s="353"/>
      <c r="GG140" s="353"/>
      <c r="GH140" s="355"/>
      <c r="GI140" s="352" t="s">
        <v>229</v>
      </c>
      <c r="GJ140" s="353"/>
      <c r="GK140" s="353"/>
      <c r="GM140" s="353"/>
      <c r="GN140" s="353"/>
      <c r="GO140" s="355"/>
      <c r="GP140" s="353" t="s">
        <v>229</v>
      </c>
      <c r="GQ140" s="353"/>
      <c r="GR140" s="353"/>
      <c r="GT140" s="353"/>
      <c r="GU140" s="353"/>
      <c r="GV140" s="355"/>
      <c r="GW140" s="352" t="s">
        <v>229</v>
      </c>
      <c r="GX140" s="353"/>
      <c r="GY140" s="353"/>
      <c r="HA140" s="353"/>
      <c r="HB140" s="353"/>
      <c r="HC140" s="355"/>
      <c r="HD140" s="352" t="s">
        <v>229</v>
      </c>
      <c r="HE140" s="353"/>
      <c r="HF140" s="353"/>
      <c r="HH140" s="353"/>
      <c r="HI140" s="353"/>
      <c r="HJ140" s="354"/>
      <c r="HK140" s="353" t="s">
        <v>229</v>
      </c>
      <c r="HL140" s="353"/>
      <c r="HM140" s="353"/>
      <c r="HO140" s="353"/>
      <c r="HP140" s="353"/>
      <c r="HQ140" s="354"/>
      <c r="HR140" s="353"/>
      <c r="HS140" s="353"/>
      <c r="HT140" s="353"/>
      <c r="HV140" s="353"/>
      <c r="HW140" s="353"/>
      <c r="HX140" s="355"/>
    </row>
    <row r="141" spans="2:232" ht="15" customHeight="1" outlineLevel="1" x14ac:dyDescent="0.25">
      <c r="B141" s="147"/>
      <c r="C141" s="147"/>
      <c r="D141" s="147"/>
      <c r="E141" s="147"/>
      <c r="F141" s="157"/>
      <c r="G141" s="147"/>
      <c r="H141" s="157"/>
      <c r="I141" s="175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V141" s="162"/>
      <c r="W141" s="159"/>
      <c r="X141" s="159"/>
      <c r="Y141" s="159"/>
      <c r="Z141" s="159"/>
      <c r="AA141" s="159"/>
      <c r="AB141" s="159"/>
      <c r="AC141" s="160"/>
      <c r="AD141" s="361"/>
      <c r="AE141" s="356"/>
      <c r="AF141" s="356"/>
      <c r="AG141" s="163"/>
      <c r="AH141" s="356"/>
      <c r="AI141" s="356"/>
      <c r="AJ141" s="356"/>
      <c r="AK141" s="368"/>
      <c r="AL141" s="356"/>
      <c r="AM141" s="356"/>
      <c r="AN141" s="163"/>
      <c r="AO141" s="356"/>
      <c r="AP141" s="356"/>
      <c r="AQ141" s="357"/>
      <c r="AR141" s="361"/>
      <c r="AS141" s="356"/>
      <c r="AT141" s="356"/>
      <c r="AU141" s="163"/>
      <c r="AV141" s="356"/>
      <c r="AW141" s="356"/>
      <c r="AX141" s="357"/>
      <c r="AY141" s="361"/>
      <c r="AZ141" s="356"/>
      <c r="BA141" s="356"/>
      <c r="BB141" s="163"/>
      <c r="BC141" s="356"/>
      <c r="BD141" s="356"/>
      <c r="BE141" s="356"/>
      <c r="BF141" s="361"/>
      <c r="BG141" s="356"/>
      <c r="BH141" s="356"/>
      <c r="BI141" s="163"/>
      <c r="BJ141" s="356"/>
      <c r="BK141" s="356"/>
      <c r="BL141" s="357"/>
      <c r="BM141" s="361"/>
      <c r="BN141" s="356"/>
      <c r="BO141" s="356"/>
      <c r="BP141" s="163"/>
      <c r="BQ141" s="356"/>
      <c r="BR141" s="356"/>
      <c r="BS141" s="356"/>
      <c r="BT141" s="368"/>
      <c r="BU141" s="356"/>
      <c r="BV141" s="356"/>
      <c r="BW141" s="163"/>
      <c r="BX141" s="356"/>
      <c r="BY141" s="356"/>
      <c r="BZ141" s="357"/>
      <c r="CA141" s="361"/>
      <c r="CB141" s="356"/>
      <c r="CC141" s="356"/>
      <c r="CD141" s="163"/>
      <c r="CE141" s="356"/>
      <c r="CF141" s="356"/>
      <c r="CG141" s="357"/>
      <c r="CH141" s="361"/>
      <c r="CI141" s="356"/>
      <c r="CJ141" s="356"/>
      <c r="CK141" s="163"/>
      <c r="CL141" s="356"/>
      <c r="CM141" s="356"/>
      <c r="CN141" s="357"/>
      <c r="CO141" s="361"/>
      <c r="CP141" s="356"/>
      <c r="CQ141" s="356"/>
      <c r="CR141" s="163"/>
      <c r="CS141" s="356"/>
      <c r="CT141" s="356"/>
      <c r="CU141" s="357"/>
      <c r="CV141" s="361"/>
      <c r="CW141" s="356"/>
      <c r="CX141" s="356"/>
      <c r="CY141" s="163"/>
      <c r="CZ141" s="356"/>
      <c r="DA141" s="356"/>
      <c r="DB141" s="357"/>
      <c r="DC141" s="356"/>
      <c r="DD141" s="356"/>
      <c r="DE141" s="356"/>
      <c r="DF141" s="163"/>
      <c r="DG141" s="356"/>
      <c r="DH141" s="356"/>
      <c r="DI141" s="357"/>
      <c r="DJ141" s="361"/>
      <c r="DK141" s="356"/>
      <c r="DL141" s="356"/>
      <c r="DM141" s="163"/>
      <c r="DN141" s="356"/>
      <c r="DO141" s="356"/>
      <c r="DP141" s="357"/>
      <c r="DQ141" s="361"/>
      <c r="DR141" s="356"/>
      <c r="DS141" s="356"/>
      <c r="DT141" s="163"/>
      <c r="DU141" s="356"/>
      <c r="DV141" s="356"/>
      <c r="DW141" s="357"/>
      <c r="DX141" s="356"/>
      <c r="DY141" s="356"/>
      <c r="DZ141" s="356"/>
      <c r="EA141" s="163"/>
      <c r="EB141" s="356"/>
      <c r="EC141" s="356"/>
      <c r="ED141" s="357"/>
      <c r="EE141" s="361"/>
      <c r="EF141" s="356"/>
      <c r="EG141" s="356"/>
      <c r="EH141" s="163"/>
      <c r="EI141" s="356"/>
      <c r="EJ141" s="356"/>
      <c r="EK141" s="359"/>
      <c r="EL141" s="356"/>
      <c r="EM141" s="356"/>
      <c r="EN141" s="356"/>
      <c r="EO141" s="163"/>
      <c r="EP141" s="356"/>
      <c r="EQ141" s="356"/>
      <c r="ER141" s="359"/>
      <c r="ES141" s="356"/>
      <c r="ET141" s="356"/>
      <c r="EU141" s="356"/>
      <c r="EV141" s="163"/>
      <c r="EW141" s="356"/>
      <c r="EX141" s="356"/>
      <c r="EY141" s="357"/>
      <c r="EZ141" s="361"/>
      <c r="FA141" s="356"/>
      <c r="FB141" s="356"/>
      <c r="FC141" s="163"/>
      <c r="FD141" s="356"/>
      <c r="FE141" s="356"/>
      <c r="FF141" s="356"/>
      <c r="FG141" s="361"/>
      <c r="FH141" s="356"/>
      <c r="FI141" s="356"/>
      <c r="FJ141" s="163"/>
      <c r="FK141" s="356"/>
      <c r="FL141" s="356"/>
      <c r="FM141" s="357"/>
      <c r="FN141" s="361"/>
      <c r="FO141" s="356"/>
      <c r="FP141" s="356"/>
      <c r="FQ141" s="163"/>
      <c r="FR141" s="356"/>
      <c r="FS141" s="356"/>
      <c r="FT141" s="356"/>
      <c r="FU141" s="368"/>
      <c r="FV141" s="356"/>
      <c r="FW141" s="356"/>
      <c r="FX141" s="163"/>
      <c r="FY141" s="356"/>
      <c r="FZ141" s="356"/>
      <c r="GA141" s="356"/>
      <c r="GB141" s="361"/>
      <c r="GC141" s="356"/>
      <c r="GD141" s="356"/>
      <c r="GE141" s="163"/>
      <c r="GF141" s="356"/>
      <c r="GG141" s="356"/>
      <c r="GH141" s="357"/>
      <c r="GI141" s="361"/>
      <c r="GJ141" s="356"/>
      <c r="GK141" s="356"/>
      <c r="GL141" s="163"/>
      <c r="GM141" s="356"/>
      <c r="GN141" s="356"/>
      <c r="GO141" s="357"/>
      <c r="GP141" s="356"/>
      <c r="GQ141" s="356"/>
      <c r="GR141" s="356"/>
      <c r="GS141" s="163"/>
      <c r="GT141" s="356"/>
      <c r="GU141" s="356"/>
      <c r="GV141" s="357"/>
      <c r="GW141" s="361"/>
      <c r="GX141" s="356"/>
      <c r="GY141" s="356"/>
      <c r="GZ141" s="163"/>
      <c r="HA141" s="356"/>
      <c r="HB141" s="356"/>
      <c r="HC141" s="357"/>
      <c r="HD141" s="361"/>
      <c r="HE141" s="356"/>
      <c r="HF141" s="356"/>
      <c r="HG141" s="163"/>
      <c r="HH141" s="356"/>
      <c r="HI141" s="356"/>
      <c r="HJ141" s="359"/>
      <c r="HK141" s="356"/>
      <c r="HL141" s="356"/>
      <c r="HM141" s="356"/>
      <c r="HN141" s="163"/>
      <c r="HO141" s="356"/>
      <c r="HP141" s="356"/>
      <c r="HQ141" s="359"/>
      <c r="HR141" s="356"/>
      <c r="HS141" s="356"/>
      <c r="HT141" s="356"/>
      <c r="HU141" s="163"/>
      <c r="HV141" s="356"/>
      <c r="HW141" s="356"/>
      <c r="HX141" s="357"/>
    </row>
    <row r="142" spans="2:232" outlineLevel="1" x14ac:dyDescent="0.25">
      <c r="B142" s="32"/>
      <c r="C142" s="333">
        <f>MAX(C135:C136)+1</f>
        <v>18</v>
      </c>
      <c r="D142" s="164" t="s">
        <v>21</v>
      </c>
      <c r="E142" s="34"/>
      <c r="F142" s="165" t="s">
        <v>529</v>
      </c>
      <c r="G142" s="165" t="s">
        <v>529</v>
      </c>
      <c r="H142" s="165" t="s">
        <v>99</v>
      </c>
      <c r="I142" s="176" t="s">
        <v>205</v>
      </c>
      <c r="J142" s="165" t="s">
        <v>171</v>
      </c>
      <c r="K142" s="165">
        <v>2031</v>
      </c>
      <c r="L142" s="165">
        <v>4</v>
      </c>
      <c r="M142" s="165"/>
      <c r="N142" s="165"/>
      <c r="O142" s="165"/>
      <c r="P142" s="165"/>
      <c r="Q142" s="165"/>
      <c r="R142" s="165"/>
      <c r="S142" s="165"/>
      <c r="T142" s="165"/>
      <c r="V142" s="11" t="s">
        <v>283</v>
      </c>
      <c r="W142" s="12"/>
      <c r="X142" s="12"/>
      <c r="Y142" s="12"/>
      <c r="Z142" s="12"/>
      <c r="AA142" s="12"/>
      <c r="AB142" s="12"/>
      <c r="AC142" s="14"/>
      <c r="AD142" s="166">
        <f>$C142</f>
        <v>18</v>
      </c>
      <c r="AE142" s="358" t="s">
        <v>175</v>
      </c>
      <c r="AF142" s="358"/>
      <c r="AG142" s="358"/>
      <c r="AH142" s="158"/>
      <c r="AI142" s="337"/>
      <c r="AJ142" s="337"/>
      <c r="AK142" s="214">
        <f>$C142</f>
        <v>18</v>
      </c>
      <c r="AL142" s="358" t="s">
        <v>175</v>
      </c>
      <c r="AM142" s="358"/>
      <c r="AN142" s="358"/>
      <c r="AO142" s="32"/>
      <c r="AP142" s="353"/>
      <c r="AQ142" s="355"/>
      <c r="AR142" s="166">
        <f>$C142</f>
        <v>18</v>
      </c>
      <c r="AS142" s="358" t="s">
        <v>532</v>
      </c>
      <c r="AT142" s="358"/>
      <c r="AU142" s="358"/>
      <c r="AV142" s="32"/>
      <c r="AW142" s="353"/>
      <c r="AX142" s="355"/>
      <c r="AY142" s="166">
        <f>$C142</f>
        <v>18</v>
      </c>
      <c r="AZ142" s="358" t="s">
        <v>531</v>
      </c>
      <c r="BA142" s="358"/>
      <c r="BB142" s="358"/>
      <c r="BC142" s="32"/>
      <c r="BD142" s="353"/>
      <c r="BE142" s="353"/>
      <c r="BF142" s="166">
        <f>$C142</f>
        <v>18</v>
      </c>
      <c r="BG142" s="358" t="s">
        <v>531</v>
      </c>
      <c r="BH142" s="358"/>
      <c r="BI142" s="358"/>
      <c r="BJ142" s="158"/>
      <c r="BK142" s="337"/>
      <c r="BL142" s="338"/>
      <c r="BM142" s="166">
        <f>$C142</f>
        <v>18</v>
      </c>
      <c r="BN142" s="358" t="s">
        <v>531</v>
      </c>
      <c r="BO142" s="358"/>
      <c r="BP142" s="358"/>
      <c r="BQ142" s="158"/>
      <c r="BR142" s="337"/>
      <c r="BS142" s="337"/>
      <c r="BT142" s="214">
        <f>$C142</f>
        <v>18</v>
      </c>
      <c r="BU142" s="358" t="s">
        <v>538</v>
      </c>
      <c r="BV142" s="358"/>
      <c r="BW142" s="358"/>
      <c r="BX142" s="158"/>
      <c r="BY142" s="337"/>
      <c r="BZ142" s="338"/>
      <c r="CA142" s="166">
        <f>$C142</f>
        <v>18</v>
      </c>
      <c r="CB142" s="358" t="s">
        <v>532</v>
      </c>
      <c r="CC142" s="358"/>
      <c r="CD142" s="358"/>
      <c r="CE142" s="158"/>
      <c r="CF142" s="337"/>
      <c r="CG142" s="338"/>
      <c r="CH142" s="166">
        <f>$C142</f>
        <v>18</v>
      </c>
      <c r="CI142" s="358" t="s">
        <v>532</v>
      </c>
      <c r="CJ142" s="358"/>
      <c r="CK142" s="358"/>
      <c r="CL142" s="158"/>
      <c r="CM142" s="337"/>
      <c r="CN142" s="338"/>
      <c r="CO142" s="166">
        <f>$C142</f>
        <v>18</v>
      </c>
      <c r="CP142" s="358" t="s">
        <v>173</v>
      </c>
      <c r="CQ142" s="358"/>
      <c r="CR142" s="358"/>
      <c r="CS142" s="158"/>
      <c r="CT142" s="337"/>
      <c r="CU142" s="338"/>
      <c r="CV142" s="166">
        <f>$C142</f>
        <v>18</v>
      </c>
      <c r="CW142" s="358" t="s">
        <v>531</v>
      </c>
      <c r="CX142" s="358"/>
      <c r="CY142" s="358"/>
      <c r="CZ142" s="158"/>
      <c r="DA142" s="337"/>
      <c r="DB142" s="338"/>
      <c r="DC142" s="166">
        <f>$C142</f>
        <v>18</v>
      </c>
      <c r="DD142" s="358" t="s">
        <v>531</v>
      </c>
      <c r="DE142" s="358"/>
      <c r="DF142" s="358"/>
      <c r="DG142" s="158"/>
      <c r="DH142" s="337"/>
      <c r="DI142" s="338"/>
      <c r="DJ142" s="166">
        <f>$C142</f>
        <v>18</v>
      </c>
      <c r="DK142" s="358" t="s">
        <v>531</v>
      </c>
      <c r="DL142" s="358"/>
      <c r="DM142" s="358"/>
      <c r="DN142" s="158"/>
      <c r="DO142" s="337"/>
      <c r="DP142" s="338"/>
      <c r="DQ142" s="166">
        <f>$C142</f>
        <v>18</v>
      </c>
      <c r="DR142" s="358" t="s">
        <v>173</v>
      </c>
      <c r="DS142" s="358"/>
      <c r="DT142" s="358"/>
      <c r="DU142" s="158"/>
      <c r="DV142" s="337"/>
      <c r="DW142" s="338"/>
      <c r="DX142" s="166">
        <f>$C142</f>
        <v>18</v>
      </c>
      <c r="DY142" s="358" t="s">
        <v>532</v>
      </c>
      <c r="DZ142" s="358"/>
      <c r="EA142" s="358"/>
      <c r="EB142" s="158"/>
      <c r="EC142" s="337"/>
      <c r="ED142" s="338"/>
      <c r="EE142" s="166">
        <f>$C142</f>
        <v>18</v>
      </c>
      <c r="EF142" s="358" t="s">
        <v>531</v>
      </c>
      <c r="EG142" s="358"/>
      <c r="EH142" s="358"/>
      <c r="EI142" s="158"/>
      <c r="EJ142" s="337"/>
      <c r="EK142" s="351"/>
      <c r="EL142" s="193">
        <f>$C142</f>
        <v>18</v>
      </c>
      <c r="EM142" s="358" t="s">
        <v>645</v>
      </c>
      <c r="EN142" s="358"/>
      <c r="EO142" s="358"/>
      <c r="EP142" s="158"/>
      <c r="EQ142" s="337"/>
      <c r="ER142" s="351"/>
      <c r="ES142" s="193">
        <f>$C142</f>
        <v>18</v>
      </c>
      <c r="ET142" s="358" t="s">
        <v>175</v>
      </c>
      <c r="EU142" s="358"/>
      <c r="EV142" s="358"/>
      <c r="EW142" s="32"/>
      <c r="EX142" s="353"/>
      <c r="EY142" s="355"/>
      <c r="EZ142" s="166">
        <f>$C142</f>
        <v>18</v>
      </c>
      <c r="FA142" s="358" t="s">
        <v>532</v>
      </c>
      <c r="FB142" s="358"/>
      <c r="FC142" s="358"/>
      <c r="FD142" s="32"/>
      <c r="FE142" s="353"/>
      <c r="FF142" s="353"/>
      <c r="FG142" s="166">
        <f>$C142</f>
        <v>18</v>
      </c>
      <c r="FH142" s="358" t="s">
        <v>532</v>
      </c>
      <c r="FI142" s="358"/>
      <c r="FJ142" s="358"/>
      <c r="FK142" s="32"/>
      <c r="FL142" s="337"/>
      <c r="FM142" s="338"/>
      <c r="FN142" s="166">
        <f>$C142</f>
        <v>18</v>
      </c>
      <c r="FO142" s="358" t="s">
        <v>532</v>
      </c>
      <c r="FP142" s="358"/>
      <c r="FQ142" s="358"/>
      <c r="FR142" s="32"/>
      <c r="FS142" s="337"/>
      <c r="FT142" s="337"/>
      <c r="FU142" s="214">
        <f>$C142</f>
        <v>18</v>
      </c>
      <c r="FV142" s="358" t="s">
        <v>532</v>
      </c>
      <c r="FW142" s="358"/>
      <c r="FX142" s="358"/>
      <c r="FY142" s="32"/>
      <c r="FZ142" s="337"/>
      <c r="GA142" s="337"/>
      <c r="GB142" s="166">
        <f>$C142</f>
        <v>18</v>
      </c>
      <c r="GC142" s="358" t="s">
        <v>532</v>
      </c>
      <c r="GD142" s="358"/>
      <c r="GE142" s="358"/>
      <c r="GF142" s="32"/>
      <c r="GG142" s="337"/>
      <c r="GH142" s="338"/>
      <c r="GI142" s="166">
        <f>$C142</f>
        <v>18</v>
      </c>
      <c r="GJ142" s="358" t="s">
        <v>532</v>
      </c>
      <c r="GK142" s="358"/>
      <c r="GL142" s="358"/>
      <c r="GM142" s="32"/>
      <c r="GN142" s="337"/>
      <c r="GO142" s="338"/>
      <c r="GP142" s="193">
        <f>$C142</f>
        <v>18</v>
      </c>
      <c r="GQ142" s="358" t="s">
        <v>175</v>
      </c>
      <c r="GR142" s="358"/>
      <c r="GS142" s="358"/>
      <c r="GT142" s="32"/>
      <c r="GU142" s="337"/>
      <c r="GV142" s="338"/>
      <c r="GW142" s="166">
        <f>$C142</f>
        <v>18</v>
      </c>
      <c r="GX142" s="358" t="s">
        <v>175</v>
      </c>
      <c r="GY142" s="358"/>
      <c r="GZ142" s="358"/>
      <c r="HA142" s="32"/>
      <c r="HB142" s="337"/>
      <c r="HC142" s="338"/>
      <c r="HD142" s="166">
        <f>$C142</f>
        <v>18</v>
      </c>
      <c r="HE142" s="358" t="s">
        <v>532</v>
      </c>
      <c r="HF142" s="358"/>
      <c r="HG142" s="358"/>
      <c r="HH142" s="32"/>
      <c r="HI142" s="337"/>
      <c r="HJ142" s="351"/>
      <c r="HK142" s="193">
        <f>$C142</f>
        <v>18</v>
      </c>
      <c r="HL142" s="358" t="s">
        <v>645</v>
      </c>
      <c r="HM142" s="358"/>
      <c r="HN142" s="358"/>
      <c r="HO142" s="32"/>
      <c r="HP142" s="337"/>
      <c r="HQ142" s="351"/>
      <c r="HR142" s="193"/>
      <c r="HS142" s="362"/>
      <c r="HT142" s="362"/>
      <c r="HU142" s="362"/>
      <c r="HV142" s="257"/>
      <c r="HW142" s="337"/>
      <c r="HX142" s="338"/>
    </row>
    <row r="143" spans="2:232" outlineLevel="1" x14ac:dyDescent="0.25">
      <c r="B143" s="32"/>
      <c r="C143" s="167"/>
      <c r="D143" s="167"/>
      <c r="E143" s="34"/>
      <c r="F143" s="168"/>
      <c r="G143" s="167"/>
      <c r="H143" s="168"/>
      <c r="I143" s="177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V143" s="107"/>
      <c r="W143" s="108"/>
      <c r="X143" s="108"/>
      <c r="Y143" s="108"/>
      <c r="Z143" s="108"/>
      <c r="AA143" s="108"/>
      <c r="AB143" s="108"/>
      <c r="AC143" s="109"/>
      <c r="AD143" s="169"/>
      <c r="AE143" s="365"/>
      <c r="AF143" s="365"/>
      <c r="AG143" s="365"/>
      <c r="AH143" s="30"/>
      <c r="AI143" s="340"/>
      <c r="AJ143" s="340"/>
      <c r="AK143" s="215"/>
      <c r="AL143" s="339"/>
      <c r="AM143" s="339"/>
      <c r="AN143" s="339"/>
      <c r="AO143" s="30"/>
      <c r="AP143" s="340"/>
      <c r="AQ143" s="341"/>
      <c r="AR143" s="169"/>
      <c r="AS143" s="339"/>
      <c r="AT143" s="339"/>
      <c r="AU143" s="339"/>
      <c r="AV143" s="30"/>
      <c r="AW143" s="340"/>
      <c r="AX143" s="341"/>
      <c r="AY143" s="169"/>
      <c r="AZ143" s="339"/>
      <c r="BA143" s="339"/>
      <c r="BB143" s="339"/>
      <c r="BC143" s="30"/>
      <c r="BD143" s="340"/>
      <c r="BE143" s="341"/>
      <c r="BF143" s="169"/>
      <c r="BG143" s="339"/>
      <c r="BH143" s="339"/>
      <c r="BI143" s="339"/>
      <c r="BJ143" s="30"/>
      <c r="BK143" s="340"/>
      <c r="BL143" s="341"/>
      <c r="BM143" s="169"/>
      <c r="BN143" s="339"/>
      <c r="BO143" s="339"/>
      <c r="BP143" s="339"/>
      <c r="BQ143" s="30"/>
      <c r="BR143" s="340"/>
      <c r="BS143" s="340"/>
      <c r="BT143" s="215"/>
      <c r="BU143" s="339"/>
      <c r="BV143" s="339"/>
      <c r="BW143" s="339"/>
      <c r="BX143" s="30"/>
      <c r="BY143" s="340"/>
      <c r="BZ143" s="341"/>
      <c r="CA143" s="169"/>
      <c r="CB143" s="339"/>
      <c r="CC143" s="339"/>
      <c r="CD143" s="339"/>
      <c r="CE143" s="30"/>
      <c r="CF143" s="340"/>
      <c r="CG143" s="341"/>
      <c r="CH143" s="169"/>
      <c r="CI143" s="339"/>
      <c r="CJ143" s="339"/>
      <c r="CK143" s="339"/>
      <c r="CL143" s="30"/>
      <c r="CM143" s="340"/>
      <c r="CN143" s="341"/>
      <c r="CO143" s="169"/>
      <c r="CP143" s="339"/>
      <c r="CQ143" s="339"/>
      <c r="CR143" s="339"/>
      <c r="CS143" s="30"/>
      <c r="CT143" s="340"/>
      <c r="CU143" s="341"/>
      <c r="CV143" s="169"/>
      <c r="CW143" s="339"/>
      <c r="CX143" s="339"/>
      <c r="CY143" s="339"/>
      <c r="CZ143" s="30"/>
      <c r="DA143" s="340"/>
      <c r="DB143" s="341"/>
      <c r="DC143" s="192"/>
      <c r="DD143" s="339"/>
      <c r="DE143" s="339"/>
      <c r="DF143" s="339"/>
      <c r="DG143" s="30"/>
      <c r="DH143" s="340"/>
      <c r="DI143" s="341"/>
      <c r="DJ143" s="169"/>
      <c r="DK143" s="339"/>
      <c r="DL143" s="339"/>
      <c r="DM143" s="339"/>
      <c r="DN143" s="30"/>
      <c r="DO143" s="340"/>
      <c r="DP143" s="341"/>
      <c r="DQ143" s="169"/>
      <c r="DR143" s="339"/>
      <c r="DS143" s="339"/>
      <c r="DT143" s="339"/>
      <c r="DU143" s="30"/>
      <c r="DV143" s="340"/>
      <c r="DW143" s="341"/>
      <c r="DX143" s="192"/>
      <c r="DY143" s="339"/>
      <c r="DZ143" s="339"/>
      <c r="EA143" s="339"/>
      <c r="EB143" s="30"/>
      <c r="EC143" s="340"/>
      <c r="ED143" s="341"/>
      <c r="EE143" s="169"/>
      <c r="EF143" s="339"/>
      <c r="EG143" s="339"/>
      <c r="EH143" s="339"/>
      <c r="EI143" s="30"/>
      <c r="EJ143" s="340"/>
      <c r="EK143" s="360"/>
      <c r="EL143" s="192"/>
      <c r="EM143" s="339"/>
      <c r="EN143" s="339"/>
      <c r="EO143" s="339"/>
      <c r="EP143" s="30"/>
      <c r="EQ143" s="340"/>
      <c r="ER143" s="360"/>
      <c r="ES143" s="192"/>
      <c r="ET143" s="339"/>
      <c r="EU143" s="339"/>
      <c r="EV143" s="339"/>
      <c r="EW143" s="30"/>
      <c r="EX143" s="340"/>
      <c r="EY143" s="341"/>
      <c r="EZ143" s="169"/>
      <c r="FA143" s="339"/>
      <c r="FB143" s="339"/>
      <c r="FC143" s="339"/>
      <c r="FD143" s="30"/>
      <c r="FE143" s="340"/>
      <c r="FF143" s="340"/>
      <c r="FG143" s="169"/>
      <c r="FH143" s="339"/>
      <c r="FI143" s="339"/>
      <c r="FJ143" s="339"/>
      <c r="FK143" s="30"/>
      <c r="FL143" s="340"/>
      <c r="FM143" s="341"/>
      <c r="FN143" s="169"/>
      <c r="FO143" s="339"/>
      <c r="FP143" s="339"/>
      <c r="FQ143" s="339"/>
      <c r="FR143" s="30"/>
      <c r="FS143" s="340"/>
      <c r="FT143" s="340"/>
      <c r="FU143" s="215"/>
      <c r="FV143" s="339"/>
      <c r="FW143" s="339"/>
      <c r="FX143" s="339"/>
      <c r="FY143" s="30"/>
      <c r="FZ143" s="340"/>
      <c r="GA143" s="341"/>
      <c r="GB143" s="169"/>
      <c r="GC143" s="339"/>
      <c r="GD143" s="339"/>
      <c r="GE143" s="339"/>
      <c r="GF143" s="30"/>
      <c r="GG143" s="340"/>
      <c r="GH143" s="341"/>
      <c r="GI143" s="169"/>
      <c r="GJ143" s="339"/>
      <c r="GK143" s="339"/>
      <c r="GL143" s="339"/>
      <c r="GM143" s="30"/>
      <c r="GN143" s="340"/>
      <c r="GO143" s="341"/>
      <c r="GP143" s="192"/>
      <c r="GQ143" s="339"/>
      <c r="GR143" s="339"/>
      <c r="GS143" s="339"/>
      <c r="GT143" s="30"/>
      <c r="GU143" s="340"/>
      <c r="GV143" s="341"/>
      <c r="GW143" s="169"/>
      <c r="GX143" s="339"/>
      <c r="GY143" s="339"/>
      <c r="GZ143" s="339"/>
      <c r="HA143" s="30"/>
      <c r="HB143" s="340"/>
      <c r="HC143" s="341"/>
      <c r="HD143" s="169"/>
      <c r="HE143" s="339"/>
      <c r="HF143" s="339"/>
      <c r="HG143" s="339"/>
      <c r="HH143" s="30"/>
      <c r="HI143" s="340"/>
      <c r="HJ143" s="360"/>
      <c r="HK143" s="192"/>
      <c r="HL143" s="339"/>
      <c r="HM143" s="339"/>
      <c r="HN143" s="339"/>
      <c r="HO143" s="30"/>
      <c r="HP143" s="340"/>
      <c r="HQ143" s="360"/>
      <c r="HR143" s="192"/>
      <c r="HS143" s="339"/>
      <c r="HT143" s="339"/>
      <c r="HU143" s="339"/>
      <c r="HV143" s="258"/>
      <c r="HW143" s="340"/>
      <c r="HX143" s="341"/>
    </row>
    <row r="144" spans="2:232" s="178" customFormat="1" x14ac:dyDescent="0.25">
      <c r="G144" s="251"/>
      <c r="I144" s="179"/>
      <c r="HV144" s="179"/>
    </row>
    <row r="145" spans="2:232" outlineLevel="1" x14ac:dyDescent="0.25">
      <c r="B145" s="147"/>
      <c r="C145" s="147"/>
      <c r="D145" s="147"/>
      <c r="E145" s="147"/>
      <c r="F145" s="157"/>
      <c r="G145" s="147"/>
      <c r="H145" s="157"/>
      <c r="I145" s="175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V145" s="150" t="s">
        <v>170</v>
      </c>
      <c r="W145" s="151"/>
      <c r="X145" s="151"/>
      <c r="Y145" s="151"/>
      <c r="Z145" s="151"/>
      <c r="AA145" s="151"/>
      <c r="AB145" s="369"/>
      <c r="AC145" s="370"/>
      <c r="AD145" s="152" t="s">
        <v>178</v>
      </c>
      <c r="AE145" s="152" t="s">
        <v>22</v>
      </c>
      <c r="AF145" s="153">
        <v>110</v>
      </c>
      <c r="AG145" s="152" t="s">
        <v>22</v>
      </c>
      <c r="AH145" s="154">
        <v>2</v>
      </c>
      <c r="AI145" s="152"/>
      <c r="AJ145" s="155">
        <f>COUNTA(AD150:AD151)</f>
        <v>1</v>
      </c>
      <c r="AK145" s="156"/>
      <c r="AL145" s="152"/>
      <c r="AM145" s="153"/>
      <c r="AN145" s="152"/>
      <c r="AO145" s="154"/>
      <c r="AP145" s="152"/>
      <c r="AQ145" s="155">
        <f>COUNTA(AK150:AK151)</f>
        <v>0</v>
      </c>
      <c r="AR145" s="156"/>
      <c r="AS145" s="152"/>
      <c r="AT145" s="153"/>
      <c r="AU145" s="152"/>
      <c r="AV145" s="154"/>
      <c r="AW145" s="152"/>
      <c r="AX145" s="155">
        <f>COUNTA(AR150:AR151)</f>
        <v>0</v>
      </c>
      <c r="AY145" s="156"/>
      <c r="AZ145" s="152"/>
      <c r="BA145" s="153"/>
      <c r="BB145" s="152"/>
      <c r="BC145" s="154"/>
      <c r="BD145" s="152"/>
      <c r="BE145" s="155">
        <f>COUNTA(AY150:AY151)</f>
        <v>0</v>
      </c>
      <c r="BF145" s="156"/>
      <c r="BG145" s="152"/>
      <c r="BH145" s="153"/>
      <c r="BI145" s="152"/>
      <c r="BJ145" s="154"/>
      <c r="BK145" s="152"/>
      <c r="BL145" s="155">
        <f>COUNTA(BF150:BF151)</f>
        <v>0</v>
      </c>
      <c r="BM145" s="156"/>
      <c r="BN145" s="152"/>
      <c r="BO145" s="153"/>
      <c r="BP145" s="152"/>
      <c r="BQ145" s="154"/>
      <c r="BR145" s="152"/>
      <c r="BS145" s="155">
        <f>COUNTA(BM150:BM151)</f>
        <v>0</v>
      </c>
      <c r="BT145" s="156"/>
      <c r="BU145" s="152"/>
      <c r="BV145" s="153"/>
      <c r="BW145" s="152"/>
      <c r="BX145" s="154"/>
      <c r="BY145" s="152"/>
      <c r="BZ145" s="155">
        <f>COUNTA(BT150:BT151)</f>
        <v>0</v>
      </c>
      <c r="CA145" s="156"/>
      <c r="CB145" s="152"/>
      <c r="CC145" s="153"/>
      <c r="CD145" s="152"/>
      <c r="CE145" s="154"/>
      <c r="CF145" s="152"/>
      <c r="CG145" s="155">
        <f>COUNTA(CA150:CA151)</f>
        <v>0</v>
      </c>
      <c r="CH145" s="156"/>
      <c r="CI145" s="152"/>
      <c r="CJ145" s="153"/>
      <c r="CK145" s="152"/>
      <c r="CL145" s="154"/>
      <c r="CM145" s="152"/>
      <c r="CN145" s="155">
        <f>COUNTA(CH150:CH151)</f>
        <v>0</v>
      </c>
      <c r="CO145" s="156"/>
      <c r="CP145" s="152"/>
      <c r="CQ145" s="153"/>
      <c r="CR145" s="152"/>
      <c r="CS145" s="154"/>
      <c r="CT145" s="152"/>
      <c r="CU145" s="155">
        <f>COUNTA(CO150:CO151)</f>
        <v>0</v>
      </c>
      <c r="CV145" s="156"/>
      <c r="CW145" s="152"/>
      <c r="CX145" s="153"/>
      <c r="CY145" s="152"/>
      <c r="CZ145" s="154"/>
      <c r="DA145" s="152"/>
      <c r="DB145" s="155">
        <f>COUNTA(CV150:CV151)</f>
        <v>0</v>
      </c>
      <c r="DC145" s="156"/>
      <c r="DD145" s="152"/>
      <c r="DE145" s="153"/>
      <c r="DF145" s="152"/>
      <c r="DG145" s="154"/>
      <c r="DH145" s="152"/>
      <c r="DI145" s="155">
        <f>COUNTA(DC150:DC151)</f>
        <v>0</v>
      </c>
      <c r="DJ145" s="156"/>
      <c r="DK145" s="152"/>
      <c r="DL145" s="153"/>
      <c r="DM145" s="152"/>
      <c r="DN145" s="154"/>
      <c r="DO145" s="152"/>
      <c r="DP145" s="155">
        <f>COUNTA(DJ150:DJ151)</f>
        <v>0</v>
      </c>
      <c r="DQ145" s="156"/>
      <c r="DR145" s="152"/>
      <c r="DS145" s="153"/>
      <c r="DT145" s="152"/>
      <c r="DU145" s="154"/>
      <c r="DV145" s="152"/>
      <c r="DW145" s="155">
        <f>COUNTA(DQ150:DQ151)</f>
        <v>0</v>
      </c>
      <c r="DX145" s="156"/>
      <c r="DY145" s="152"/>
      <c r="DZ145" s="153"/>
      <c r="EA145" s="152"/>
      <c r="EB145" s="154"/>
      <c r="EC145" s="152"/>
      <c r="ED145" s="155">
        <f>COUNTA(DX150:DX151)</f>
        <v>0</v>
      </c>
      <c r="EE145" s="156"/>
      <c r="EF145" s="152"/>
      <c r="EG145" s="153"/>
      <c r="EH145" s="152"/>
      <c r="EI145" s="154"/>
      <c r="EJ145" s="152"/>
      <c r="EK145" s="155">
        <f>COUNTA(EE150:EE151)</f>
        <v>0</v>
      </c>
      <c r="EL145" s="156"/>
      <c r="EM145" s="152"/>
      <c r="EN145" s="153"/>
      <c r="EO145" s="152"/>
      <c r="EP145" s="154"/>
      <c r="EQ145" s="152"/>
      <c r="ER145" s="155">
        <f>COUNTA(EL150:EL151)</f>
        <v>0</v>
      </c>
      <c r="ES145" s="156"/>
      <c r="ET145" s="152"/>
      <c r="EU145" s="153"/>
      <c r="EV145" s="152"/>
      <c r="EW145" s="154"/>
      <c r="EX145" s="152"/>
      <c r="EY145" s="155">
        <f>COUNTA(ES150:ES151)</f>
        <v>0</v>
      </c>
      <c r="EZ145" s="156"/>
      <c r="FA145" s="152"/>
      <c r="FB145" s="153"/>
      <c r="FC145" s="152"/>
      <c r="FD145" s="154"/>
      <c r="FE145" s="152"/>
      <c r="FF145" s="155">
        <f>COUNTA(EZ150:EZ151)</f>
        <v>0</v>
      </c>
      <c r="FG145" s="156"/>
      <c r="FH145" s="152"/>
      <c r="FI145" s="153"/>
      <c r="FJ145" s="152"/>
      <c r="FK145" s="154"/>
      <c r="FL145" s="152"/>
      <c r="FM145" s="155">
        <f>COUNTA(FG150:FG151)</f>
        <v>0</v>
      </c>
      <c r="FN145" s="156"/>
      <c r="FO145" s="152"/>
      <c r="FP145" s="153"/>
      <c r="FQ145" s="152"/>
      <c r="FR145" s="154"/>
      <c r="FS145" s="152"/>
      <c r="FT145" s="155">
        <f>COUNTA(FN150:FN151)</f>
        <v>0</v>
      </c>
      <c r="FU145" s="156"/>
      <c r="FV145" s="152"/>
      <c r="FW145" s="153"/>
      <c r="FX145" s="152"/>
      <c r="FY145" s="154"/>
      <c r="FZ145" s="152"/>
      <c r="GA145" s="155">
        <f>COUNTA(FU150:FU151)</f>
        <v>0</v>
      </c>
      <c r="GB145" s="156"/>
      <c r="GC145" s="152"/>
      <c r="GD145" s="153"/>
      <c r="GE145" s="152"/>
      <c r="GF145" s="154"/>
      <c r="GG145" s="152"/>
      <c r="GH145" s="155">
        <f>COUNTA(GB150:GB151)</f>
        <v>0</v>
      </c>
      <c r="GI145" s="156"/>
      <c r="GJ145" s="152"/>
      <c r="GK145" s="153"/>
      <c r="GL145" s="152"/>
      <c r="GM145" s="154"/>
      <c r="GN145" s="152"/>
      <c r="GO145" s="155">
        <f>COUNTA(GI150:GI151)</f>
        <v>0</v>
      </c>
      <c r="GP145" s="156"/>
      <c r="GQ145" s="152"/>
      <c r="GR145" s="153"/>
      <c r="GS145" s="152"/>
      <c r="GT145" s="154"/>
      <c r="GU145" s="152"/>
      <c r="GV145" s="155">
        <f>COUNTA(GP150:GP151)</f>
        <v>0</v>
      </c>
      <c r="GW145" s="156"/>
      <c r="GX145" s="152"/>
      <c r="GY145" s="153"/>
      <c r="GZ145" s="152"/>
      <c r="HA145" s="154"/>
      <c r="HB145" s="152"/>
      <c r="HC145" s="155">
        <f>COUNTA(GW150:GW151)</f>
        <v>0</v>
      </c>
      <c r="HD145" s="156"/>
      <c r="HE145" s="152"/>
      <c r="HF145" s="153"/>
      <c r="HG145" s="152"/>
      <c r="HH145" s="154"/>
      <c r="HI145" s="152"/>
      <c r="HJ145" s="155">
        <f>COUNTA(HD150:HD151)</f>
        <v>0</v>
      </c>
      <c r="HK145" s="156"/>
      <c r="HL145" s="152"/>
      <c r="HM145" s="153"/>
      <c r="HN145" s="152"/>
      <c r="HO145" s="154"/>
      <c r="HP145" s="152"/>
      <c r="HQ145" s="155">
        <f>COUNTA(HK150:HK151)</f>
        <v>0</v>
      </c>
      <c r="HR145" s="156" t="s">
        <v>178</v>
      </c>
      <c r="HS145" s="152" t="s">
        <v>22</v>
      </c>
      <c r="HT145" s="153">
        <v>122</v>
      </c>
      <c r="HU145" s="152" t="s">
        <v>22</v>
      </c>
      <c r="HV145" s="154">
        <v>1</v>
      </c>
      <c r="HW145" s="152"/>
      <c r="HX145" s="155">
        <f>COUNTA(HR150:HR151)</f>
        <v>1</v>
      </c>
    </row>
    <row r="146" spans="2:232" ht="15" customHeight="1" outlineLevel="1" x14ac:dyDescent="0.25">
      <c r="B146" s="147"/>
      <c r="C146" s="147"/>
      <c r="D146" s="147"/>
      <c r="E146" s="147"/>
      <c r="F146" s="157"/>
      <c r="G146" s="147"/>
      <c r="H146" s="157"/>
      <c r="I146" s="175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V146" s="185" t="s">
        <v>224</v>
      </c>
      <c r="W146" s="186"/>
      <c r="X146" s="186"/>
      <c r="Y146" s="186"/>
      <c r="Z146" s="186"/>
      <c r="AA146" s="186"/>
      <c r="AB146" s="187"/>
      <c r="AC146" s="188"/>
      <c r="AD146" s="344" t="s">
        <v>533</v>
      </c>
      <c r="AE146" s="345"/>
      <c r="AF146" s="345"/>
      <c r="AG146" s="181" t="s">
        <v>75</v>
      </c>
      <c r="AH146" s="346" t="s">
        <v>302</v>
      </c>
      <c r="AI146" s="346"/>
      <c r="AJ146" s="349"/>
      <c r="AK146" s="180"/>
      <c r="AL146" s="181"/>
      <c r="AM146" s="182"/>
      <c r="AN146" s="181"/>
      <c r="AO146" s="183"/>
      <c r="AP146" s="181"/>
      <c r="AQ146" s="184"/>
      <c r="AR146" s="180"/>
      <c r="AS146" s="181"/>
      <c r="AT146" s="182"/>
      <c r="AU146" s="181"/>
      <c r="AV146" s="183"/>
      <c r="AW146" s="181"/>
      <c r="AX146" s="184"/>
      <c r="AY146" s="180"/>
      <c r="AZ146" s="181"/>
      <c r="BA146" s="182"/>
      <c r="BB146" s="181"/>
      <c r="BC146" s="183"/>
      <c r="BD146" s="181"/>
      <c r="BE146" s="184"/>
      <c r="BF146" s="180"/>
      <c r="BG146" s="181"/>
      <c r="BH146" s="182"/>
      <c r="BI146" s="181"/>
      <c r="BJ146" s="183"/>
      <c r="BK146" s="181"/>
      <c r="BL146" s="184"/>
      <c r="BM146" s="180"/>
      <c r="BN146" s="181"/>
      <c r="BO146" s="182"/>
      <c r="BP146" s="181"/>
      <c r="BQ146" s="183"/>
      <c r="BR146" s="181"/>
      <c r="BS146" s="184"/>
      <c r="BT146" s="180"/>
      <c r="BU146" s="181"/>
      <c r="BV146" s="182"/>
      <c r="BW146" s="181"/>
      <c r="BX146" s="183"/>
      <c r="BY146" s="181"/>
      <c r="BZ146" s="184"/>
      <c r="CA146" s="180"/>
      <c r="CB146" s="181"/>
      <c r="CC146" s="182"/>
      <c r="CD146" s="181"/>
      <c r="CE146" s="183"/>
      <c r="CF146" s="181"/>
      <c r="CG146" s="184"/>
      <c r="CH146" s="180"/>
      <c r="CI146" s="181"/>
      <c r="CJ146" s="182"/>
      <c r="CK146" s="181"/>
      <c r="CL146" s="183"/>
      <c r="CM146" s="181"/>
      <c r="CN146" s="184"/>
      <c r="CO146" s="180"/>
      <c r="CP146" s="181"/>
      <c r="CQ146" s="182"/>
      <c r="CR146" s="181"/>
      <c r="CS146" s="183"/>
      <c r="CT146" s="181"/>
      <c r="CU146" s="184"/>
      <c r="CV146" s="180"/>
      <c r="CW146" s="181"/>
      <c r="CX146" s="182"/>
      <c r="CY146" s="181"/>
      <c r="CZ146" s="183"/>
      <c r="DA146" s="181"/>
      <c r="DB146" s="184"/>
      <c r="DC146" s="180"/>
      <c r="DD146" s="181"/>
      <c r="DE146" s="182"/>
      <c r="DF146" s="181"/>
      <c r="DG146" s="183"/>
      <c r="DH146" s="181"/>
      <c r="DI146" s="184"/>
      <c r="DJ146" s="180"/>
      <c r="DK146" s="181"/>
      <c r="DL146" s="182"/>
      <c r="DM146" s="181"/>
      <c r="DN146" s="183"/>
      <c r="DO146" s="181"/>
      <c r="DP146" s="184"/>
      <c r="DQ146" s="180"/>
      <c r="DR146" s="181"/>
      <c r="DS146" s="182"/>
      <c r="DT146" s="181"/>
      <c r="DU146" s="183"/>
      <c r="DV146" s="181"/>
      <c r="DW146" s="184"/>
      <c r="DX146" s="180"/>
      <c r="DY146" s="181"/>
      <c r="DZ146" s="182"/>
      <c r="EA146" s="181"/>
      <c r="EB146" s="183"/>
      <c r="EC146" s="181"/>
      <c r="ED146" s="184"/>
      <c r="EE146" s="180"/>
      <c r="EF146" s="181"/>
      <c r="EG146" s="182"/>
      <c r="EH146" s="181"/>
      <c r="EI146" s="183"/>
      <c r="EJ146" s="181"/>
      <c r="EK146" s="184"/>
      <c r="EL146" s="180"/>
      <c r="EM146" s="181"/>
      <c r="EN146" s="182"/>
      <c r="EO146" s="181"/>
      <c r="EP146" s="183"/>
      <c r="EQ146" s="181"/>
      <c r="ER146" s="184"/>
      <c r="ES146" s="180"/>
      <c r="ET146" s="181"/>
      <c r="EU146" s="182"/>
      <c r="EV146" s="181"/>
      <c r="EW146" s="183"/>
      <c r="EX146" s="181"/>
      <c r="EY146" s="184"/>
      <c r="EZ146" s="180"/>
      <c r="FA146" s="181"/>
      <c r="FB146" s="182"/>
      <c r="FC146" s="181"/>
      <c r="FD146" s="183"/>
      <c r="FE146" s="181"/>
      <c r="FF146" s="184"/>
      <c r="FG146" s="180"/>
      <c r="FH146" s="181"/>
      <c r="FI146" s="182"/>
      <c r="FJ146" s="181"/>
      <c r="FK146" s="183"/>
      <c r="FL146" s="181"/>
      <c r="FM146" s="184"/>
      <c r="FN146" s="180"/>
      <c r="FO146" s="181"/>
      <c r="FP146" s="182"/>
      <c r="FQ146" s="181"/>
      <c r="FR146" s="183"/>
      <c r="FS146" s="181"/>
      <c r="FT146" s="184"/>
      <c r="FU146" s="180"/>
      <c r="FV146" s="181"/>
      <c r="FW146" s="182"/>
      <c r="FX146" s="181"/>
      <c r="FY146" s="183"/>
      <c r="FZ146" s="181"/>
      <c r="GA146" s="184"/>
      <c r="GB146" s="180"/>
      <c r="GC146" s="181"/>
      <c r="GD146" s="182"/>
      <c r="GE146" s="181"/>
      <c r="GF146" s="183"/>
      <c r="GG146" s="181"/>
      <c r="GH146" s="184"/>
      <c r="GI146" s="180"/>
      <c r="GJ146" s="181"/>
      <c r="GK146" s="182"/>
      <c r="GL146" s="181"/>
      <c r="GM146" s="183"/>
      <c r="GN146" s="181"/>
      <c r="GO146" s="184"/>
      <c r="GP146" s="180"/>
      <c r="GQ146" s="181"/>
      <c r="GR146" s="182"/>
      <c r="GS146" s="181"/>
      <c r="GT146" s="183"/>
      <c r="GU146" s="181"/>
      <c r="GV146" s="184"/>
      <c r="GW146" s="180"/>
      <c r="GX146" s="181"/>
      <c r="GY146" s="182"/>
      <c r="GZ146" s="181"/>
      <c r="HA146" s="183"/>
      <c r="HB146" s="181"/>
      <c r="HC146" s="184"/>
      <c r="HD146" s="180"/>
      <c r="HE146" s="181"/>
      <c r="HF146" s="182"/>
      <c r="HG146" s="181"/>
      <c r="HH146" s="183"/>
      <c r="HI146" s="181"/>
      <c r="HJ146" s="184"/>
      <c r="HK146" s="180"/>
      <c r="HL146" s="181"/>
      <c r="HM146" s="182"/>
      <c r="HN146" s="181"/>
      <c r="HO146" s="183"/>
      <c r="HP146" s="181"/>
      <c r="HQ146" s="184"/>
      <c r="HR146" s="344" t="s">
        <v>533</v>
      </c>
      <c r="HS146" s="345"/>
      <c r="HT146" s="345"/>
      <c r="HU146" s="181" t="s">
        <v>75</v>
      </c>
      <c r="HV146" s="376" t="s">
        <v>302</v>
      </c>
      <c r="HW146" s="376"/>
      <c r="HX146" s="377"/>
    </row>
    <row r="147" spans="2:232" outlineLevel="1" x14ac:dyDescent="0.25">
      <c r="B147" s="147"/>
      <c r="C147" s="147"/>
      <c r="D147" s="147"/>
      <c r="E147" s="147"/>
      <c r="F147" s="157"/>
      <c r="G147" s="147"/>
      <c r="H147" s="157"/>
      <c r="I147" s="175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V147" s="161" t="s">
        <v>199</v>
      </c>
      <c r="W147" s="12"/>
      <c r="X147" s="12"/>
      <c r="Y147" s="12"/>
      <c r="Z147" s="12"/>
      <c r="AA147" s="12"/>
      <c r="AB147" s="12"/>
      <c r="AC147" s="14"/>
      <c r="AD147" s="350" t="s">
        <v>22</v>
      </c>
      <c r="AE147" s="337"/>
      <c r="AF147" s="337"/>
      <c r="AG147" s="1" t="s">
        <v>57</v>
      </c>
      <c r="AH147" s="337" t="s">
        <v>218</v>
      </c>
      <c r="AI147" s="337"/>
      <c r="AJ147" s="338"/>
      <c r="AK147" s="350"/>
      <c r="AL147" s="337"/>
      <c r="AM147" s="337"/>
      <c r="AO147" s="337"/>
      <c r="AP147" s="337"/>
      <c r="AQ147" s="338"/>
      <c r="AR147" s="350"/>
      <c r="AS147" s="337"/>
      <c r="AT147" s="337"/>
      <c r="AV147" s="337"/>
      <c r="AW147" s="337"/>
      <c r="AX147" s="338"/>
      <c r="AY147" s="350"/>
      <c r="AZ147" s="337"/>
      <c r="BA147" s="337"/>
      <c r="BC147" s="337"/>
      <c r="BD147" s="337"/>
      <c r="BE147" s="338"/>
      <c r="BF147" s="350"/>
      <c r="BG147" s="337"/>
      <c r="BH147" s="337"/>
      <c r="BJ147" s="337"/>
      <c r="BK147" s="337"/>
      <c r="BL147" s="338"/>
      <c r="BM147" s="350"/>
      <c r="BN147" s="337"/>
      <c r="BO147" s="337"/>
      <c r="BQ147" s="337"/>
      <c r="BR147" s="337"/>
      <c r="BS147" s="338"/>
      <c r="BT147" s="350"/>
      <c r="BU147" s="337"/>
      <c r="BV147" s="337"/>
      <c r="BX147" s="337"/>
      <c r="BY147" s="337"/>
      <c r="BZ147" s="338"/>
      <c r="CA147" s="350"/>
      <c r="CB147" s="337"/>
      <c r="CC147" s="337"/>
      <c r="CE147" s="337"/>
      <c r="CF147" s="337"/>
      <c r="CG147" s="338"/>
      <c r="CH147" s="350"/>
      <c r="CI147" s="337"/>
      <c r="CJ147" s="337"/>
      <c r="CL147" s="337"/>
      <c r="CM147" s="337"/>
      <c r="CN147" s="338"/>
      <c r="CO147" s="350"/>
      <c r="CP147" s="337"/>
      <c r="CQ147" s="337"/>
      <c r="CS147" s="337"/>
      <c r="CT147" s="337"/>
      <c r="CU147" s="338"/>
      <c r="CV147" s="350"/>
      <c r="CW147" s="337"/>
      <c r="CX147" s="337"/>
      <c r="CZ147" s="337"/>
      <c r="DA147" s="337"/>
      <c r="DB147" s="338"/>
      <c r="DC147" s="350"/>
      <c r="DD147" s="337"/>
      <c r="DE147" s="337"/>
      <c r="DG147" s="337"/>
      <c r="DH147" s="337"/>
      <c r="DI147" s="338"/>
      <c r="DJ147" s="350"/>
      <c r="DK147" s="337"/>
      <c r="DL147" s="337"/>
      <c r="DN147" s="337"/>
      <c r="DO147" s="337"/>
      <c r="DP147" s="338"/>
      <c r="DQ147" s="350"/>
      <c r="DR147" s="337"/>
      <c r="DS147" s="337"/>
      <c r="DU147" s="337"/>
      <c r="DV147" s="337"/>
      <c r="DW147" s="338"/>
      <c r="DX147" s="350"/>
      <c r="DY147" s="337"/>
      <c r="DZ147" s="337"/>
      <c r="EB147" s="337"/>
      <c r="EC147" s="337"/>
      <c r="ED147" s="338"/>
      <c r="EE147" s="350"/>
      <c r="EF147" s="337"/>
      <c r="EG147" s="337"/>
      <c r="EI147" s="337"/>
      <c r="EJ147" s="337"/>
      <c r="EK147" s="338"/>
      <c r="EL147" s="350"/>
      <c r="EM147" s="337"/>
      <c r="EN147" s="337"/>
      <c r="EP147" s="337"/>
      <c r="EQ147" s="337"/>
      <c r="ER147" s="338"/>
      <c r="ES147" s="350"/>
      <c r="ET147" s="337"/>
      <c r="EU147" s="337"/>
      <c r="EW147" s="337"/>
      <c r="EX147" s="337"/>
      <c r="EY147" s="338"/>
      <c r="EZ147" s="350"/>
      <c r="FA147" s="337"/>
      <c r="FB147" s="337"/>
      <c r="FD147" s="337"/>
      <c r="FE147" s="337"/>
      <c r="FF147" s="338"/>
      <c r="FG147" s="350"/>
      <c r="FH147" s="337"/>
      <c r="FI147" s="337"/>
      <c r="FK147" s="337"/>
      <c r="FL147" s="337"/>
      <c r="FM147" s="338"/>
      <c r="FN147" s="350"/>
      <c r="FO147" s="337"/>
      <c r="FP147" s="337"/>
      <c r="FR147" s="337"/>
      <c r="FS147" s="337"/>
      <c r="FT147" s="338"/>
      <c r="FU147" s="350"/>
      <c r="FV147" s="337"/>
      <c r="FW147" s="337"/>
      <c r="FY147" s="337"/>
      <c r="FZ147" s="337"/>
      <c r="GA147" s="338"/>
      <c r="GB147" s="350"/>
      <c r="GC147" s="337"/>
      <c r="GD147" s="337"/>
      <c r="GF147" s="337"/>
      <c r="GG147" s="337"/>
      <c r="GH147" s="338"/>
      <c r="GI147" s="350"/>
      <c r="GJ147" s="337"/>
      <c r="GK147" s="337"/>
      <c r="GM147" s="337"/>
      <c r="GN147" s="337"/>
      <c r="GO147" s="338"/>
      <c r="GP147" s="350"/>
      <c r="GQ147" s="337"/>
      <c r="GR147" s="337"/>
      <c r="GT147" s="337"/>
      <c r="GU147" s="337"/>
      <c r="GV147" s="338"/>
      <c r="GW147" s="350"/>
      <c r="GX147" s="337"/>
      <c r="GY147" s="337"/>
      <c r="HA147" s="337"/>
      <c r="HB147" s="337"/>
      <c r="HC147" s="338"/>
      <c r="HD147" s="350"/>
      <c r="HE147" s="337"/>
      <c r="HF147" s="337"/>
      <c r="HH147" s="337"/>
      <c r="HI147" s="337"/>
      <c r="HJ147" s="338"/>
      <c r="HK147" s="350"/>
      <c r="HL147" s="337"/>
      <c r="HM147" s="337"/>
      <c r="HO147" s="337"/>
      <c r="HP147" s="337"/>
      <c r="HQ147" s="338"/>
      <c r="HR147" s="350" t="s">
        <v>218</v>
      </c>
      <c r="HS147" s="337"/>
      <c r="HT147" s="337"/>
      <c r="HU147" s="191"/>
      <c r="HV147" s="337"/>
      <c r="HW147" s="337"/>
      <c r="HX147" s="338"/>
    </row>
    <row r="148" spans="2:232" outlineLevel="1" x14ac:dyDescent="0.25">
      <c r="B148" s="147"/>
      <c r="C148" s="147"/>
      <c r="D148" s="147"/>
      <c r="E148" s="147"/>
      <c r="F148" s="157"/>
      <c r="G148" s="147"/>
      <c r="H148" s="157"/>
      <c r="I148" s="175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V148" s="161" t="s">
        <v>200</v>
      </c>
      <c r="W148" s="12"/>
      <c r="X148" s="12"/>
      <c r="Y148" s="12"/>
      <c r="Z148" s="12"/>
      <c r="AA148" s="12"/>
      <c r="AB148" s="12"/>
      <c r="AC148" s="14"/>
      <c r="AD148" s="352" t="s">
        <v>22</v>
      </c>
      <c r="AE148" s="353"/>
      <c r="AF148" s="353"/>
      <c r="AG148" s="1" t="s">
        <v>57</v>
      </c>
      <c r="AH148" s="353" t="s">
        <v>219</v>
      </c>
      <c r="AI148" s="353"/>
      <c r="AJ148" s="355"/>
      <c r="AK148" s="352"/>
      <c r="AL148" s="353"/>
      <c r="AM148" s="353"/>
      <c r="AO148" s="353"/>
      <c r="AP148" s="353"/>
      <c r="AQ148" s="355"/>
      <c r="AR148" s="352"/>
      <c r="AS148" s="353"/>
      <c r="AT148" s="353"/>
      <c r="AV148" s="353"/>
      <c r="AW148" s="353"/>
      <c r="AX148" s="355"/>
      <c r="AY148" s="352"/>
      <c r="AZ148" s="353"/>
      <c r="BA148" s="353"/>
      <c r="BC148" s="353"/>
      <c r="BD148" s="353"/>
      <c r="BE148" s="355"/>
      <c r="BF148" s="352"/>
      <c r="BG148" s="353"/>
      <c r="BH148" s="353"/>
      <c r="BJ148" s="353"/>
      <c r="BK148" s="353"/>
      <c r="BL148" s="355"/>
      <c r="BM148" s="352"/>
      <c r="BN148" s="353"/>
      <c r="BO148" s="353"/>
      <c r="BQ148" s="353"/>
      <c r="BR148" s="353"/>
      <c r="BS148" s="355"/>
      <c r="BT148" s="352"/>
      <c r="BU148" s="353"/>
      <c r="BV148" s="353"/>
      <c r="BX148" s="353"/>
      <c r="BY148" s="353"/>
      <c r="BZ148" s="355"/>
      <c r="CA148" s="352"/>
      <c r="CB148" s="353"/>
      <c r="CC148" s="353"/>
      <c r="CE148" s="353"/>
      <c r="CF148" s="353"/>
      <c r="CG148" s="355"/>
      <c r="CH148" s="352"/>
      <c r="CI148" s="353"/>
      <c r="CJ148" s="353"/>
      <c r="CL148" s="353"/>
      <c r="CM148" s="353"/>
      <c r="CN148" s="355"/>
      <c r="CO148" s="352"/>
      <c r="CP148" s="353"/>
      <c r="CQ148" s="353"/>
      <c r="CS148" s="353"/>
      <c r="CT148" s="353"/>
      <c r="CU148" s="355"/>
      <c r="CV148" s="352"/>
      <c r="CW148" s="353"/>
      <c r="CX148" s="353"/>
      <c r="CZ148" s="353"/>
      <c r="DA148" s="353"/>
      <c r="DB148" s="355"/>
      <c r="DC148" s="352"/>
      <c r="DD148" s="353"/>
      <c r="DE148" s="353"/>
      <c r="DG148" s="353"/>
      <c r="DH148" s="353"/>
      <c r="DI148" s="355"/>
      <c r="DJ148" s="352"/>
      <c r="DK148" s="353"/>
      <c r="DL148" s="353"/>
      <c r="DN148" s="353"/>
      <c r="DO148" s="353"/>
      <c r="DP148" s="355"/>
      <c r="DQ148" s="352"/>
      <c r="DR148" s="353"/>
      <c r="DS148" s="353"/>
      <c r="DU148" s="353"/>
      <c r="DV148" s="353"/>
      <c r="DW148" s="355"/>
      <c r="DX148" s="352"/>
      <c r="DY148" s="353"/>
      <c r="DZ148" s="353"/>
      <c r="EB148" s="353"/>
      <c r="EC148" s="353"/>
      <c r="ED148" s="355"/>
      <c r="EE148" s="352"/>
      <c r="EF148" s="353"/>
      <c r="EG148" s="353"/>
      <c r="EI148" s="353"/>
      <c r="EJ148" s="353"/>
      <c r="EK148" s="355"/>
      <c r="EL148" s="352"/>
      <c r="EM148" s="353"/>
      <c r="EN148" s="353"/>
      <c r="EP148" s="353"/>
      <c r="EQ148" s="353"/>
      <c r="ER148" s="355"/>
      <c r="ES148" s="352"/>
      <c r="ET148" s="353"/>
      <c r="EU148" s="353"/>
      <c r="EW148" s="353"/>
      <c r="EX148" s="353"/>
      <c r="EY148" s="355"/>
      <c r="EZ148" s="352"/>
      <c r="FA148" s="353"/>
      <c r="FB148" s="353"/>
      <c r="FD148" s="353"/>
      <c r="FE148" s="353"/>
      <c r="FF148" s="355"/>
      <c r="FG148" s="352"/>
      <c r="FH148" s="353"/>
      <c r="FI148" s="353"/>
      <c r="FK148" s="353"/>
      <c r="FL148" s="353"/>
      <c r="FM148" s="355"/>
      <c r="FN148" s="352"/>
      <c r="FO148" s="353"/>
      <c r="FP148" s="353"/>
      <c r="FR148" s="353"/>
      <c r="FS148" s="353"/>
      <c r="FT148" s="355"/>
      <c r="FU148" s="352"/>
      <c r="FV148" s="353"/>
      <c r="FW148" s="353"/>
      <c r="FY148" s="353"/>
      <c r="FZ148" s="353"/>
      <c r="GA148" s="355"/>
      <c r="GB148" s="352"/>
      <c r="GC148" s="353"/>
      <c r="GD148" s="353"/>
      <c r="GF148" s="353"/>
      <c r="GG148" s="353"/>
      <c r="GH148" s="355"/>
      <c r="GI148" s="352"/>
      <c r="GJ148" s="353"/>
      <c r="GK148" s="353"/>
      <c r="GM148" s="353"/>
      <c r="GN148" s="353"/>
      <c r="GO148" s="355"/>
      <c r="GP148" s="352"/>
      <c r="GQ148" s="353"/>
      <c r="GR148" s="353"/>
      <c r="GT148" s="353"/>
      <c r="GU148" s="353"/>
      <c r="GV148" s="355"/>
      <c r="GW148" s="352"/>
      <c r="GX148" s="353"/>
      <c r="GY148" s="353"/>
      <c r="HA148" s="353"/>
      <c r="HB148" s="353"/>
      <c r="HC148" s="355"/>
      <c r="HD148" s="352"/>
      <c r="HE148" s="353"/>
      <c r="HF148" s="353"/>
      <c r="HH148" s="353"/>
      <c r="HI148" s="353"/>
      <c r="HJ148" s="355"/>
      <c r="HK148" s="352"/>
      <c r="HL148" s="353"/>
      <c r="HM148" s="353"/>
      <c r="HO148" s="353"/>
      <c r="HP148" s="353"/>
      <c r="HQ148" s="355"/>
      <c r="HR148" s="352" t="s">
        <v>219</v>
      </c>
      <c r="HS148" s="353"/>
      <c r="HT148" s="353"/>
      <c r="HV148" s="353"/>
      <c r="HW148" s="353"/>
      <c r="HX148" s="355"/>
    </row>
    <row r="149" spans="2:232" outlineLevel="1" x14ac:dyDescent="0.25">
      <c r="B149" s="147"/>
      <c r="C149" s="147"/>
      <c r="D149" s="147"/>
      <c r="E149" s="147"/>
      <c r="F149" s="157"/>
      <c r="G149" s="147"/>
      <c r="H149" s="157"/>
      <c r="I149" s="175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V149" s="162"/>
      <c r="W149" s="159"/>
      <c r="X149" s="159"/>
      <c r="Y149" s="159"/>
      <c r="Z149" s="159"/>
      <c r="AA149" s="159"/>
      <c r="AB149" s="159"/>
      <c r="AC149" s="160"/>
      <c r="AD149" s="361"/>
      <c r="AE149" s="356"/>
      <c r="AF149" s="356"/>
      <c r="AG149" s="163"/>
      <c r="AH149" s="356"/>
      <c r="AI149" s="356"/>
      <c r="AJ149" s="357"/>
      <c r="AK149" s="361"/>
      <c r="AL149" s="356"/>
      <c r="AM149" s="356"/>
      <c r="AN149" s="163"/>
      <c r="AO149" s="356"/>
      <c r="AP149" s="356"/>
      <c r="AQ149" s="357"/>
      <c r="AR149" s="361"/>
      <c r="AS149" s="356"/>
      <c r="AT149" s="356"/>
      <c r="AU149" s="163"/>
      <c r="AV149" s="356"/>
      <c r="AW149" s="356"/>
      <c r="AX149" s="357"/>
      <c r="AY149" s="361"/>
      <c r="AZ149" s="356"/>
      <c r="BA149" s="356"/>
      <c r="BB149" s="163"/>
      <c r="BC149" s="356"/>
      <c r="BD149" s="356"/>
      <c r="BE149" s="357"/>
      <c r="BF149" s="361"/>
      <c r="BG149" s="356"/>
      <c r="BH149" s="356"/>
      <c r="BI149" s="163"/>
      <c r="BJ149" s="356"/>
      <c r="BK149" s="356"/>
      <c r="BL149" s="357"/>
      <c r="BM149" s="361"/>
      <c r="BN149" s="356"/>
      <c r="BO149" s="356"/>
      <c r="BP149" s="163"/>
      <c r="BQ149" s="356"/>
      <c r="BR149" s="356"/>
      <c r="BS149" s="357"/>
      <c r="BT149" s="361"/>
      <c r="BU149" s="356"/>
      <c r="BV149" s="356"/>
      <c r="BW149" s="163"/>
      <c r="BX149" s="356"/>
      <c r="BY149" s="356"/>
      <c r="BZ149" s="357"/>
      <c r="CA149" s="361"/>
      <c r="CB149" s="356"/>
      <c r="CC149" s="356"/>
      <c r="CD149" s="163"/>
      <c r="CE149" s="356"/>
      <c r="CF149" s="356"/>
      <c r="CG149" s="357"/>
      <c r="CH149" s="361"/>
      <c r="CI149" s="356"/>
      <c r="CJ149" s="356"/>
      <c r="CK149" s="163"/>
      <c r="CL149" s="356"/>
      <c r="CM149" s="356"/>
      <c r="CN149" s="357"/>
      <c r="CO149" s="361"/>
      <c r="CP149" s="356"/>
      <c r="CQ149" s="356"/>
      <c r="CR149" s="163"/>
      <c r="CS149" s="356"/>
      <c r="CT149" s="356"/>
      <c r="CU149" s="357"/>
      <c r="CV149" s="361"/>
      <c r="CW149" s="356"/>
      <c r="CX149" s="356"/>
      <c r="CY149" s="163"/>
      <c r="CZ149" s="356"/>
      <c r="DA149" s="356"/>
      <c r="DB149" s="357"/>
      <c r="DC149" s="361"/>
      <c r="DD149" s="356"/>
      <c r="DE149" s="356"/>
      <c r="DF149" s="163"/>
      <c r="DG149" s="356"/>
      <c r="DH149" s="356"/>
      <c r="DI149" s="357"/>
      <c r="DJ149" s="361"/>
      <c r="DK149" s="356"/>
      <c r="DL149" s="356"/>
      <c r="DM149" s="163"/>
      <c r="DN149" s="356"/>
      <c r="DO149" s="356"/>
      <c r="DP149" s="357"/>
      <c r="DQ149" s="361"/>
      <c r="DR149" s="356"/>
      <c r="DS149" s="356"/>
      <c r="DT149" s="163"/>
      <c r="DU149" s="356"/>
      <c r="DV149" s="356"/>
      <c r="DW149" s="357"/>
      <c r="DX149" s="361"/>
      <c r="DY149" s="356"/>
      <c r="DZ149" s="356"/>
      <c r="EA149" s="163"/>
      <c r="EB149" s="356"/>
      <c r="EC149" s="356"/>
      <c r="ED149" s="357"/>
      <c r="EE149" s="361"/>
      <c r="EF149" s="356"/>
      <c r="EG149" s="356"/>
      <c r="EH149" s="163"/>
      <c r="EI149" s="356"/>
      <c r="EJ149" s="356"/>
      <c r="EK149" s="357"/>
      <c r="EL149" s="361"/>
      <c r="EM149" s="356"/>
      <c r="EN149" s="356"/>
      <c r="EO149" s="163"/>
      <c r="EP149" s="356"/>
      <c r="EQ149" s="356"/>
      <c r="ER149" s="357"/>
      <c r="ES149" s="361"/>
      <c r="ET149" s="356"/>
      <c r="EU149" s="356"/>
      <c r="EV149" s="163"/>
      <c r="EW149" s="356"/>
      <c r="EX149" s="356"/>
      <c r="EY149" s="357"/>
      <c r="EZ149" s="361"/>
      <c r="FA149" s="356"/>
      <c r="FB149" s="356"/>
      <c r="FC149" s="163"/>
      <c r="FD149" s="356"/>
      <c r="FE149" s="356"/>
      <c r="FF149" s="357"/>
      <c r="FG149" s="361"/>
      <c r="FH149" s="356"/>
      <c r="FI149" s="356"/>
      <c r="FJ149" s="163"/>
      <c r="FK149" s="356"/>
      <c r="FL149" s="356"/>
      <c r="FM149" s="357"/>
      <c r="FN149" s="361"/>
      <c r="FO149" s="356"/>
      <c r="FP149" s="356"/>
      <c r="FQ149" s="163"/>
      <c r="FR149" s="356"/>
      <c r="FS149" s="356"/>
      <c r="FT149" s="357"/>
      <c r="FU149" s="361"/>
      <c r="FV149" s="356"/>
      <c r="FW149" s="356"/>
      <c r="FX149" s="163"/>
      <c r="FY149" s="356"/>
      <c r="FZ149" s="356"/>
      <c r="GA149" s="357"/>
      <c r="GB149" s="361"/>
      <c r="GC149" s="356"/>
      <c r="GD149" s="356"/>
      <c r="GE149" s="163"/>
      <c r="GF149" s="356"/>
      <c r="GG149" s="356"/>
      <c r="GH149" s="357"/>
      <c r="GI149" s="361"/>
      <c r="GJ149" s="356"/>
      <c r="GK149" s="356"/>
      <c r="GL149" s="163"/>
      <c r="GM149" s="356"/>
      <c r="GN149" s="356"/>
      <c r="GO149" s="357"/>
      <c r="GP149" s="361"/>
      <c r="GQ149" s="356"/>
      <c r="GR149" s="356"/>
      <c r="GS149" s="163"/>
      <c r="GT149" s="356"/>
      <c r="GU149" s="356"/>
      <c r="GV149" s="357"/>
      <c r="GW149" s="361"/>
      <c r="GX149" s="356"/>
      <c r="GY149" s="356"/>
      <c r="GZ149" s="163"/>
      <c r="HA149" s="356"/>
      <c r="HB149" s="356"/>
      <c r="HC149" s="357"/>
      <c r="HD149" s="361"/>
      <c r="HE149" s="356"/>
      <c r="HF149" s="356"/>
      <c r="HG149" s="163"/>
      <c r="HH149" s="356"/>
      <c r="HI149" s="356"/>
      <c r="HJ149" s="357"/>
      <c r="HK149" s="361"/>
      <c r="HL149" s="356"/>
      <c r="HM149" s="356"/>
      <c r="HN149" s="163"/>
      <c r="HO149" s="356"/>
      <c r="HP149" s="356"/>
      <c r="HQ149" s="357"/>
      <c r="HR149" s="361"/>
      <c r="HS149" s="356"/>
      <c r="HT149" s="356"/>
      <c r="HU149" s="163"/>
      <c r="HV149" s="356"/>
      <c r="HW149" s="356"/>
      <c r="HX149" s="357"/>
    </row>
    <row r="150" spans="2:232" outlineLevel="1" x14ac:dyDescent="0.25">
      <c r="B150" s="32"/>
      <c r="C150" s="333">
        <v>19</v>
      </c>
      <c r="D150" s="164" t="s">
        <v>21</v>
      </c>
      <c r="E150" s="34"/>
      <c r="F150" s="165" t="s">
        <v>529</v>
      </c>
      <c r="G150" s="165" t="s">
        <v>529</v>
      </c>
      <c r="H150" s="259" t="s">
        <v>206</v>
      </c>
      <c r="I150" s="176" t="s">
        <v>208</v>
      </c>
      <c r="J150" s="165" t="s">
        <v>171</v>
      </c>
      <c r="K150" s="165">
        <v>2031</v>
      </c>
      <c r="L150" s="165">
        <v>5</v>
      </c>
      <c r="M150" s="165"/>
      <c r="N150" s="165"/>
      <c r="O150" s="165"/>
      <c r="P150" s="165"/>
      <c r="Q150" s="165"/>
      <c r="R150" s="165"/>
      <c r="S150" s="165"/>
      <c r="T150" s="165"/>
      <c r="V150" s="11" t="s">
        <v>283</v>
      </c>
      <c r="W150" s="12"/>
      <c r="X150" s="12"/>
      <c r="Y150" s="12"/>
      <c r="Z150" s="12"/>
      <c r="AA150" s="12"/>
      <c r="AB150" s="12"/>
      <c r="AC150" s="14"/>
      <c r="AD150" s="166">
        <f>$C150</f>
        <v>19</v>
      </c>
      <c r="AE150" s="358" t="s">
        <v>175</v>
      </c>
      <c r="AF150" s="358"/>
      <c r="AG150" s="358"/>
      <c r="AH150" s="158"/>
      <c r="AI150" s="337"/>
      <c r="AJ150" s="338"/>
      <c r="AK150" s="166"/>
      <c r="AL150" s="358"/>
      <c r="AM150" s="358"/>
      <c r="AN150" s="358"/>
      <c r="AO150" s="32"/>
      <c r="AP150" s="337"/>
      <c r="AQ150" s="338"/>
      <c r="AR150" s="166"/>
      <c r="AS150" s="358"/>
      <c r="AT150" s="358"/>
      <c r="AU150" s="358"/>
      <c r="AV150" s="32"/>
      <c r="AW150" s="337"/>
      <c r="AX150" s="338"/>
      <c r="AY150" s="166"/>
      <c r="AZ150" s="362"/>
      <c r="BA150" s="362"/>
      <c r="BB150" s="362"/>
      <c r="BC150" s="158"/>
      <c r="BD150" s="337"/>
      <c r="BE150" s="338"/>
      <c r="BF150" s="166"/>
      <c r="BG150" s="362"/>
      <c r="BH150" s="362"/>
      <c r="BI150" s="362"/>
      <c r="BJ150" s="158"/>
      <c r="BK150" s="337"/>
      <c r="BL150" s="338"/>
      <c r="BM150" s="166"/>
      <c r="BN150" s="362"/>
      <c r="BO150" s="362"/>
      <c r="BP150" s="362"/>
      <c r="BQ150" s="158"/>
      <c r="BR150" s="337"/>
      <c r="BS150" s="338"/>
      <c r="BT150" s="166"/>
      <c r="BU150" s="362"/>
      <c r="BV150" s="362"/>
      <c r="BW150" s="362"/>
      <c r="BX150" s="158"/>
      <c r="BY150" s="337"/>
      <c r="BZ150" s="338"/>
      <c r="CA150" s="166"/>
      <c r="CB150" s="362"/>
      <c r="CC150" s="362"/>
      <c r="CD150" s="362"/>
      <c r="CE150" s="158"/>
      <c r="CF150" s="337"/>
      <c r="CG150" s="338"/>
      <c r="CH150" s="166"/>
      <c r="CI150" s="362"/>
      <c r="CJ150" s="362"/>
      <c r="CK150" s="362"/>
      <c r="CL150" s="158"/>
      <c r="CM150" s="337"/>
      <c r="CN150" s="338"/>
      <c r="CO150" s="166"/>
      <c r="CP150" s="362"/>
      <c r="CQ150" s="362"/>
      <c r="CR150" s="362"/>
      <c r="CS150" s="158"/>
      <c r="CT150" s="337"/>
      <c r="CU150" s="338"/>
      <c r="CV150" s="166"/>
      <c r="CW150" s="362"/>
      <c r="CX150" s="362"/>
      <c r="CY150" s="362"/>
      <c r="CZ150" s="158"/>
      <c r="DA150" s="337"/>
      <c r="DB150" s="338"/>
      <c r="DC150" s="166"/>
      <c r="DD150" s="362"/>
      <c r="DE150" s="362"/>
      <c r="DF150" s="362"/>
      <c r="DG150" s="158"/>
      <c r="DH150" s="337"/>
      <c r="DI150" s="338"/>
      <c r="DJ150" s="166"/>
      <c r="DK150" s="362"/>
      <c r="DL150" s="362"/>
      <c r="DM150" s="362"/>
      <c r="DN150" s="158"/>
      <c r="DO150" s="337"/>
      <c r="DP150" s="338"/>
      <c r="DQ150" s="166"/>
      <c r="DR150" s="362"/>
      <c r="DS150" s="362"/>
      <c r="DT150" s="362"/>
      <c r="DU150" s="158"/>
      <c r="DV150" s="337"/>
      <c r="DW150" s="338"/>
      <c r="DX150" s="166"/>
      <c r="DY150" s="362"/>
      <c r="DZ150" s="362"/>
      <c r="EA150" s="362"/>
      <c r="EB150" s="158"/>
      <c r="EC150" s="337"/>
      <c r="ED150" s="338"/>
      <c r="EE150" s="166"/>
      <c r="EF150" s="362"/>
      <c r="EG150" s="362"/>
      <c r="EH150" s="362"/>
      <c r="EI150" s="158"/>
      <c r="EJ150" s="337"/>
      <c r="EK150" s="338"/>
      <c r="EL150" s="166"/>
      <c r="EM150" s="362"/>
      <c r="EN150" s="362"/>
      <c r="EO150" s="362"/>
      <c r="EP150" s="158"/>
      <c r="EQ150" s="337"/>
      <c r="ER150" s="338"/>
      <c r="ES150" s="166"/>
      <c r="ET150" s="362"/>
      <c r="EU150" s="362"/>
      <c r="EV150" s="362"/>
      <c r="EW150" s="158"/>
      <c r="EX150" s="337"/>
      <c r="EY150" s="338"/>
      <c r="EZ150" s="166"/>
      <c r="FA150" s="362"/>
      <c r="FB150" s="362"/>
      <c r="FC150" s="362"/>
      <c r="FD150" s="158"/>
      <c r="FE150" s="337"/>
      <c r="FF150" s="338"/>
      <c r="FG150" s="166"/>
      <c r="FH150" s="362"/>
      <c r="FI150" s="362"/>
      <c r="FJ150" s="362"/>
      <c r="FK150" s="158"/>
      <c r="FL150" s="337"/>
      <c r="FM150" s="338"/>
      <c r="FN150" s="166"/>
      <c r="FO150" s="362"/>
      <c r="FP150" s="362"/>
      <c r="FQ150" s="362"/>
      <c r="FR150" s="158"/>
      <c r="FS150" s="337"/>
      <c r="FT150" s="338"/>
      <c r="FU150" s="166"/>
      <c r="FV150" s="362"/>
      <c r="FW150" s="362"/>
      <c r="FX150" s="362"/>
      <c r="FY150" s="158"/>
      <c r="FZ150" s="337"/>
      <c r="GA150" s="338"/>
      <c r="GB150" s="166"/>
      <c r="GC150" s="362"/>
      <c r="GD150" s="362"/>
      <c r="GE150" s="362"/>
      <c r="GF150" s="158"/>
      <c r="GG150" s="337"/>
      <c r="GH150" s="338"/>
      <c r="GI150" s="166"/>
      <c r="GJ150" s="362"/>
      <c r="GK150" s="362"/>
      <c r="GL150" s="362"/>
      <c r="GM150" s="158"/>
      <c r="GN150" s="337"/>
      <c r="GO150" s="338"/>
      <c r="GP150" s="166"/>
      <c r="GQ150" s="362"/>
      <c r="GR150" s="362"/>
      <c r="GS150" s="362"/>
      <c r="GT150" s="158"/>
      <c r="GU150" s="337"/>
      <c r="GV150" s="338"/>
      <c r="GW150" s="166"/>
      <c r="GX150" s="362"/>
      <c r="GY150" s="362"/>
      <c r="GZ150" s="362"/>
      <c r="HA150" s="158"/>
      <c r="HB150" s="337"/>
      <c r="HC150" s="338"/>
      <c r="HD150" s="166"/>
      <c r="HE150" s="362"/>
      <c r="HF150" s="362"/>
      <c r="HG150" s="362"/>
      <c r="HH150" s="158"/>
      <c r="HI150" s="337"/>
      <c r="HJ150" s="338"/>
      <c r="HK150" s="166"/>
      <c r="HL150" s="362"/>
      <c r="HM150" s="362"/>
      <c r="HN150" s="362"/>
      <c r="HO150" s="158"/>
      <c r="HP150" s="337"/>
      <c r="HQ150" s="338"/>
      <c r="HR150" s="166">
        <f>$AD150</f>
        <v>19</v>
      </c>
      <c r="HS150" s="358" t="s">
        <v>175</v>
      </c>
      <c r="HT150" s="358"/>
      <c r="HU150" s="358"/>
      <c r="HV150" s="257"/>
      <c r="HW150" s="337"/>
      <c r="HX150" s="338"/>
    </row>
    <row r="151" spans="2:232" outlineLevel="1" x14ac:dyDescent="0.25">
      <c r="B151" s="32"/>
      <c r="C151" s="167"/>
      <c r="D151" s="167"/>
      <c r="E151" s="34"/>
      <c r="F151" s="168"/>
      <c r="G151" s="167"/>
      <c r="H151" s="55"/>
      <c r="I151" s="177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V151" s="107"/>
      <c r="W151" s="108"/>
      <c r="X151" s="108"/>
      <c r="Y151" s="108"/>
      <c r="Z151" s="108"/>
      <c r="AA151" s="108"/>
      <c r="AB151" s="108"/>
      <c r="AC151" s="109"/>
      <c r="AD151" s="169"/>
      <c r="AE151" s="365"/>
      <c r="AF151" s="365"/>
      <c r="AG151" s="365"/>
      <c r="AH151" s="30"/>
      <c r="AI151" s="340"/>
      <c r="AJ151" s="341"/>
      <c r="AK151" s="169"/>
      <c r="AL151" s="339"/>
      <c r="AM151" s="339"/>
      <c r="AN151" s="339"/>
      <c r="AO151" s="30"/>
      <c r="AP151" s="340"/>
      <c r="AQ151" s="341"/>
      <c r="AR151" s="169"/>
      <c r="AS151" s="339"/>
      <c r="AT151" s="339"/>
      <c r="AU151" s="339"/>
      <c r="AV151" s="30"/>
      <c r="AW151" s="340"/>
      <c r="AX151" s="341"/>
      <c r="AY151" s="169"/>
      <c r="AZ151" s="339"/>
      <c r="BA151" s="339"/>
      <c r="BB151" s="339"/>
      <c r="BC151" s="30"/>
      <c r="BD151" s="340"/>
      <c r="BE151" s="341"/>
      <c r="BF151" s="169"/>
      <c r="BG151" s="339"/>
      <c r="BH151" s="339"/>
      <c r="BI151" s="339"/>
      <c r="BJ151" s="30"/>
      <c r="BK151" s="340"/>
      <c r="BL151" s="341"/>
      <c r="BM151" s="169"/>
      <c r="BN151" s="339"/>
      <c r="BO151" s="339"/>
      <c r="BP151" s="339"/>
      <c r="BQ151" s="30"/>
      <c r="BR151" s="340"/>
      <c r="BS151" s="341"/>
      <c r="BT151" s="169"/>
      <c r="BU151" s="339"/>
      <c r="BV151" s="339"/>
      <c r="BW151" s="339"/>
      <c r="BX151" s="30"/>
      <c r="BY151" s="340"/>
      <c r="BZ151" s="341"/>
      <c r="CA151" s="169"/>
      <c r="CB151" s="339"/>
      <c r="CC151" s="339"/>
      <c r="CD151" s="339"/>
      <c r="CE151" s="30"/>
      <c r="CF151" s="340"/>
      <c r="CG151" s="341"/>
      <c r="CH151" s="169"/>
      <c r="CI151" s="339"/>
      <c r="CJ151" s="339"/>
      <c r="CK151" s="339"/>
      <c r="CL151" s="30"/>
      <c r="CM151" s="340"/>
      <c r="CN151" s="341"/>
      <c r="CO151" s="169"/>
      <c r="CP151" s="339"/>
      <c r="CQ151" s="339"/>
      <c r="CR151" s="339"/>
      <c r="CS151" s="30"/>
      <c r="CT151" s="340"/>
      <c r="CU151" s="341"/>
      <c r="CV151" s="169"/>
      <c r="CW151" s="339"/>
      <c r="CX151" s="339"/>
      <c r="CY151" s="339"/>
      <c r="CZ151" s="30"/>
      <c r="DA151" s="340"/>
      <c r="DB151" s="341"/>
      <c r="DC151" s="169"/>
      <c r="DD151" s="339"/>
      <c r="DE151" s="339"/>
      <c r="DF151" s="339"/>
      <c r="DG151" s="30"/>
      <c r="DH151" s="340"/>
      <c r="DI151" s="341"/>
      <c r="DJ151" s="169"/>
      <c r="DK151" s="339"/>
      <c r="DL151" s="339"/>
      <c r="DM151" s="339"/>
      <c r="DN151" s="30"/>
      <c r="DO151" s="340"/>
      <c r="DP151" s="341"/>
      <c r="DQ151" s="169"/>
      <c r="DR151" s="339"/>
      <c r="DS151" s="339"/>
      <c r="DT151" s="339"/>
      <c r="DU151" s="30"/>
      <c r="DV151" s="340"/>
      <c r="DW151" s="341"/>
      <c r="DX151" s="169"/>
      <c r="DY151" s="339"/>
      <c r="DZ151" s="339"/>
      <c r="EA151" s="339"/>
      <c r="EB151" s="30"/>
      <c r="EC151" s="340"/>
      <c r="ED151" s="341"/>
      <c r="EE151" s="169"/>
      <c r="EF151" s="339"/>
      <c r="EG151" s="339"/>
      <c r="EH151" s="339"/>
      <c r="EI151" s="30"/>
      <c r="EJ151" s="340"/>
      <c r="EK151" s="341"/>
      <c r="EL151" s="169"/>
      <c r="EM151" s="339"/>
      <c r="EN151" s="339"/>
      <c r="EO151" s="339"/>
      <c r="EP151" s="30"/>
      <c r="EQ151" s="340"/>
      <c r="ER151" s="341"/>
      <c r="ES151" s="169"/>
      <c r="ET151" s="339"/>
      <c r="EU151" s="339"/>
      <c r="EV151" s="339"/>
      <c r="EW151" s="30"/>
      <c r="EX151" s="340"/>
      <c r="EY151" s="341"/>
      <c r="EZ151" s="169"/>
      <c r="FA151" s="339"/>
      <c r="FB151" s="339"/>
      <c r="FC151" s="339"/>
      <c r="FD151" s="30"/>
      <c r="FE151" s="340"/>
      <c r="FF151" s="341"/>
      <c r="FG151" s="169"/>
      <c r="FH151" s="339"/>
      <c r="FI151" s="339"/>
      <c r="FJ151" s="339"/>
      <c r="FK151" s="30"/>
      <c r="FL151" s="340"/>
      <c r="FM151" s="341"/>
      <c r="FN151" s="169"/>
      <c r="FO151" s="339"/>
      <c r="FP151" s="339"/>
      <c r="FQ151" s="339"/>
      <c r="FR151" s="30"/>
      <c r="FS151" s="340"/>
      <c r="FT151" s="341"/>
      <c r="FU151" s="169"/>
      <c r="FV151" s="339"/>
      <c r="FW151" s="339"/>
      <c r="FX151" s="339"/>
      <c r="FY151" s="30"/>
      <c r="FZ151" s="340"/>
      <c r="GA151" s="341"/>
      <c r="GB151" s="169"/>
      <c r="GC151" s="339"/>
      <c r="GD151" s="339"/>
      <c r="GE151" s="339"/>
      <c r="GF151" s="30"/>
      <c r="GG151" s="340"/>
      <c r="GH151" s="341"/>
      <c r="GI151" s="169"/>
      <c r="GJ151" s="339"/>
      <c r="GK151" s="339"/>
      <c r="GL151" s="339"/>
      <c r="GM151" s="30"/>
      <c r="GN151" s="340"/>
      <c r="GO151" s="341"/>
      <c r="GP151" s="169"/>
      <c r="GQ151" s="339"/>
      <c r="GR151" s="339"/>
      <c r="GS151" s="339"/>
      <c r="GT151" s="30"/>
      <c r="GU151" s="340"/>
      <c r="GV151" s="341"/>
      <c r="GW151" s="169"/>
      <c r="GX151" s="339"/>
      <c r="GY151" s="339"/>
      <c r="GZ151" s="339"/>
      <c r="HA151" s="30"/>
      <c r="HB151" s="340"/>
      <c r="HC151" s="341"/>
      <c r="HD151" s="169"/>
      <c r="HE151" s="339"/>
      <c r="HF151" s="339"/>
      <c r="HG151" s="339"/>
      <c r="HH151" s="30"/>
      <c r="HI151" s="340"/>
      <c r="HJ151" s="341"/>
      <c r="HK151" s="169"/>
      <c r="HL151" s="339"/>
      <c r="HM151" s="339"/>
      <c r="HN151" s="339"/>
      <c r="HO151" s="30"/>
      <c r="HP151" s="340"/>
      <c r="HQ151" s="341"/>
      <c r="HR151" s="169"/>
      <c r="HS151" s="365"/>
      <c r="HT151" s="365"/>
      <c r="HU151" s="365"/>
      <c r="HV151" s="258"/>
      <c r="HW151" s="340"/>
      <c r="HX151" s="341"/>
    </row>
    <row r="152" spans="2:232" outlineLevel="1" x14ac:dyDescent="0.25">
      <c r="B152" s="147"/>
      <c r="C152" s="147"/>
      <c r="D152" s="147"/>
      <c r="E152" s="147"/>
      <c r="F152" s="157"/>
      <c r="G152" s="147"/>
      <c r="H152" s="157"/>
      <c r="I152" s="175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V152" s="150" t="s">
        <v>170</v>
      </c>
      <c r="W152" s="151"/>
      <c r="X152" s="151"/>
      <c r="Y152" s="151"/>
      <c r="Z152" s="151"/>
      <c r="AA152" s="151"/>
      <c r="AB152" s="369"/>
      <c r="AC152" s="370"/>
      <c r="AD152" s="342" t="s">
        <v>217</v>
      </c>
      <c r="AE152" s="343"/>
      <c r="AF152" s="343"/>
      <c r="AG152" s="343"/>
      <c r="AH152" s="343"/>
      <c r="AI152" s="152"/>
      <c r="AJ152" s="155">
        <f>COUNTA(AD157:AD158)</f>
        <v>1</v>
      </c>
      <c r="AK152" s="156"/>
      <c r="AL152" s="152"/>
      <c r="AM152" s="153"/>
      <c r="AN152" s="152"/>
      <c r="AO152" s="154"/>
      <c r="AP152" s="152"/>
      <c r="AQ152" s="155">
        <f>COUNTA(AK157:AK158)</f>
        <v>0</v>
      </c>
      <c r="AR152" s="156"/>
      <c r="AS152" s="152"/>
      <c r="AT152" s="153"/>
      <c r="AU152" s="152"/>
      <c r="AV152" s="154"/>
      <c r="AW152" s="152"/>
      <c r="AX152" s="155">
        <f>COUNTA(AR157:AR158)</f>
        <v>0</v>
      </c>
      <c r="AY152" s="156"/>
      <c r="AZ152" s="152"/>
      <c r="BA152" s="153"/>
      <c r="BB152" s="152"/>
      <c r="BC152" s="154"/>
      <c r="BD152" s="152"/>
      <c r="BE152" s="155">
        <f>COUNTA(AY157:AY158)</f>
        <v>0</v>
      </c>
      <c r="BF152" s="156"/>
      <c r="BG152" s="152"/>
      <c r="BH152" s="153"/>
      <c r="BI152" s="152"/>
      <c r="BJ152" s="154"/>
      <c r="BK152" s="152"/>
      <c r="BL152" s="155">
        <f>COUNTA(BF157:BF158)</f>
        <v>0</v>
      </c>
      <c r="BM152" s="156"/>
      <c r="BN152" s="152"/>
      <c r="BO152" s="153"/>
      <c r="BP152" s="152"/>
      <c r="BQ152" s="154"/>
      <c r="BR152" s="152"/>
      <c r="BS152" s="155">
        <f>COUNTA(BM157:BM158)</f>
        <v>0</v>
      </c>
      <c r="BT152" s="156"/>
      <c r="BU152" s="152"/>
      <c r="BV152" s="153"/>
      <c r="BW152" s="152"/>
      <c r="BX152" s="154"/>
      <c r="BY152" s="152"/>
      <c r="BZ152" s="155">
        <f>COUNTA(BT157:BT158)</f>
        <v>0</v>
      </c>
      <c r="CA152" s="156"/>
      <c r="CB152" s="152"/>
      <c r="CC152" s="153"/>
      <c r="CD152" s="152"/>
      <c r="CE152" s="154"/>
      <c r="CF152" s="152"/>
      <c r="CG152" s="155">
        <f>COUNTA(CA157:CA158)</f>
        <v>0</v>
      </c>
      <c r="CH152" s="156"/>
      <c r="CI152" s="152"/>
      <c r="CJ152" s="153"/>
      <c r="CK152" s="152"/>
      <c r="CL152" s="154"/>
      <c r="CM152" s="152"/>
      <c r="CN152" s="155">
        <f>COUNTA(CH157:CH158)</f>
        <v>0</v>
      </c>
      <c r="CO152" s="156"/>
      <c r="CP152" s="152"/>
      <c r="CQ152" s="153"/>
      <c r="CR152" s="152"/>
      <c r="CS152" s="154"/>
      <c r="CT152" s="152"/>
      <c r="CU152" s="155">
        <f>COUNTA(CO157:CO158)</f>
        <v>0</v>
      </c>
      <c r="CV152" s="156"/>
      <c r="CW152" s="152"/>
      <c r="CX152" s="153"/>
      <c r="CY152" s="152"/>
      <c r="CZ152" s="154"/>
      <c r="DA152" s="152"/>
      <c r="DB152" s="155">
        <f>COUNTA(CV157:CV158)</f>
        <v>0</v>
      </c>
      <c r="DC152" s="156"/>
      <c r="DD152" s="152"/>
      <c r="DE152" s="153"/>
      <c r="DF152" s="152"/>
      <c r="DG152" s="154"/>
      <c r="DH152" s="152"/>
      <c r="DI152" s="155">
        <f>COUNTA(DC157:DC158)</f>
        <v>0</v>
      </c>
      <c r="DJ152" s="156"/>
      <c r="DK152" s="152"/>
      <c r="DL152" s="153"/>
      <c r="DM152" s="152"/>
      <c r="DN152" s="154"/>
      <c r="DO152" s="152"/>
      <c r="DP152" s="155">
        <f>COUNTA(DJ157:DJ158)</f>
        <v>0</v>
      </c>
      <c r="DQ152" s="156"/>
      <c r="DR152" s="152"/>
      <c r="DS152" s="153"/>
      <c r="DT152" s="152"/>
      <c r="DU152" s="154"/>
      <c r="DV152" s="152"/>
      <c r="DW152" s="155">
        <f>COUNTA(DQ157:DQ158)</f>
        <v>0</v>
      </c>
      <c r="DX152" s="156"/>
      <c r="DY152" s="152"/>
      <c r="DZ152" s="153"/>
      <c r="EA152" s="152"/>
      <c r="EB152" s="154"/>
      <c r="EC152" s="152"/>
      <c r="ED152" s="155">
        <f>COUNTA(DX157:DX158)</f>
        <v>0</v>
      </c>
      <c r="EE152" s="156"/>
      <c r="EF152" s="152"/>
      <c r="EG152" s="153"/>
      <c r="EH152" s="152"/>
      <c r="EI152" s="154"/>
      <c r="EJ152" s="152"/>
      <c r="EK152" s="155">
        <f>COUNTA(EE157:EE158)</f>
        <v>0</v>
      </c>
      <c r="EL152" s="156"/>
      <c r="EM152" s="152"/>
      <c r="EN152" s="153"/>
      <c r="EO152" s="152"/>
      <c r="EP152" s="154"/>
      <c r="EQ152" s="152"/>
      <c r="ER152" s="155">
        <f>COUNTA(EL157:EL158)</f>
        <v>0</v>
      </c>
      <c r="ES152" s="156"/>
      <c r="ET152" s="152"/>
      <c r="EU152" s="153"/>
      <c r="EV152" s="152"/>
      <c r="EW152" s="154"/>
      <c r="EX152" s="152"/>
      <c r="EY152" s="155">
        <f>COUNTA(ES157:ES158)</f>
        <v>0</v>
      </c>
      <c r="EZ152" s="156"/>
      <c r="FA152" s="152"/>
      <c r="FB152" s="153"/>
      <c r="FC152" s="152"/>
      <c r="FD152" s="154"/>
      <c r="FE152" s="152"/>
      <c r="FF152" s="155">
        <f>COUNTA(EZ157:EZ158)</f>
        <v>0</v>
      </c>
      <c r="FG152" s="156"/>
      <c r="FH152" s="152"/>
      <c r="FI152" s="153"/>
      <c r="FJ152" s="152"/>
      <c r="FK152" s="154"/>
      <c r="FL152" s="152"/>
      <c r="FM152" s="155">
        <f>COUNTA(FG157:FG158)</f>
        <v>0</v>
      </c>
      <c r="FN152" s="156"/>
      <c r="FO152" s="152"/>
      <c r="FP152" s="153"/>
      <c r="FQ152" s="152"/>
      <c r="FR152" s="154"/>
      <c r="FS152" s="152"/>
      <c r="FT152" s="155">
        <f>COUNTA(FN157:FN158)</f>
        <v>0</v>
      </c>
      <c r="FU152" s="156"/>
      <c r="FV152" s="152"/>
      <c r="FW152" s="153"/>
      <c r="FX152" s="152"/>
      <c r="FY152" s="154"/>
      <c r="FZ152" s="152"/>
      <c r="GA152" s="155">
        <f>COUNTA(FU157:FU158)</f>
        <v>0</v>
      </c>
      <c r="GB152" s="156"/>
      <c r="GC152" s="152"/>
      <c r="GD152" s="153"/>
      <c r="GE152" s="152"/>
      <c r="GF152" s="154"/>
      <c r="GG152" s="152"/>
      <c r="GH152" s="155">
        <f>COUNTA(GB157:GB158)</f>
        <v>0</v>
      </c>
      <c r="GI152" s="156"/>
      <c r="GJ152" s="152"/>
      <c r="GK152" s="153"/>
      <c r="GL152" s="152"/>
      <c r="GM152" s="154"/>
      <c r="GN152" s="152"/>
      <c r="GO152" s="155">
        <f>COUNTA(GI157:GI158)</f>
        <v>0</v>
      </c>
      <c r="GP152" s="156"/>
      <c r="GQ152" s="152"/>
      <c r="GR152" s="153"/>
      <c r="GS152" s="152"/>
      <c r="GT152" s="154"/>
      <c r="GU152" s="152"/>
      <c r="GV152" s="155">
        <f>COUNTA(GP157:GP158)</f>
        <v>0</v>
      </c>
      <c r="GW152" s="156"/>
      <c r="GX152" s="152"/>
      <c r="GY152" s="153"/>
      <c r="GZ152" s="152"/>
      <c r="HA152" s="154"/>
      <c r="HB152" s="152"/>
      <c r="HC152" s="155">
        <f>COUNTA(GW157:GW158)</f>
        <v>0</v>
      </c>
      <c r="HD152" s="156"/>
      <c r="HE152" s="152"/>
      <c r="HF152" s="153"/>
      <c r="HG152" s="152"/>
      <c r="HH152" s="154"/>
      <c r="HI152" s="152"/>
      <c r="HJ152" s="155">
        <f>COUNTA(HD157:HD158)</f>
        <v>0</v>
      </c>
      <c r="HK152" s="156"/>
      <c r="HL152" s="152"/>
      <c r="HM152" s="153"/>
      <c r="HN152" s="152"/>
      <c r="HO152" s="154"/>
      <c r="HP152" s="152"/>
      <c r="HQ152" s="155">
        <f>COUNTA(HK157:HK158)</f>
        <v>0</v>
      </c>
      <c r="HR152" s="342" t="s">
        <v>217</v>
      </c>
      <c r="HS152" s="343"/>
      <c r="HT152" s="343"/>
      <c r="HU152" s="343"/>
      <c r="HV152" s="343"/>
      <c r="HW152" s="152"/>
      <c r="HX152" s="155">
        <f>COUNTA(HR157:HR158)</f>
        <v>1</v>
      </c>
    </row>
    <row r="153" spans="2:232" ht="15" customHeight="1" outlineLevel="1" x14ac:dyDescent="0.25">
      <c r="B153" s="147"/>
      <c r="C153" s="147"/>
      <c r="D153" s="147"/>
      <c r="E153" s="147"/>
      <c r="F153" s="157"/>
      <c r="G153" s="147"/>
      <c r="H153" s="157"/>
      <c r="I153" s="175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V153" s="185" t="s">
        <v>224</v>
      </c>
      <c r="W153" s="186"/>
      <c r="X153" s="186"/>
      <c r="Y153" s="186"/>
      <c r="Z153" s="186"/>
      <c r="AA153" s="186"/>
      <c r="AB153" s="187"/>
      <c r="AC153" s="188"/>
      <c r="AD153" s="344" t="s">
        <v>533</v>
      </c>
      <c r="AE153" s="345"/>
      <c r="AF153" s="345"/>
      <c r="AG153" s="181" t="s">
        <v>75</v>
      </c>
      <c r="AH153" s="346" t="s">
        <v>303</v>
      </c>
      <c r="AI153" s="346"/>
      <c r="AJ153" s="349"/>
      <c r="AK153" s="180"/>
      <c r="AL153" s="181"/>
      <c r="AM153" s="182"/>
      <c r="AN153" s="181"/>
      <c r="AO153" s="183"/>
      <c r="AP153" s="181"/>
      <c r="AQ153" s="184"/>
      <c r="AR153" s="180"/>
      <c r="AS153" s="181"/>
      <c r="AT153" s="182"/>
      <c r="AU153" s="181"/>
      <c r="AV153" s="183"/>
      <c r="AW153" s="181"/>
      <c r="AX153" s="184"/>
      <c r="AY153" s="180"/>
      <c r="AZ153" s="181"/>
      <c r="BA153" s="182"/>
      <c r="BB153" s="181"/>
      <c r="BC153" s="183"/>
      <c r="BD153" s="181"/>
      <c r="BE153" s="184"/>
      <c r="BF153" s="180"/>
      <c r="BG153" s="181"/>
      <c r="BH153" s="182"/>
      <c r="BI153" s="181"/>
      <c r="BJ153" s="183"/>
      <c r="BK153" s="181"/>
      <c r="BL153" s="184"/>
      <c r="BM153" s="180"/>
      <c r="BN153" s="181"/>
      <c r="BO153" s="182"/>
      <c r="BP153" s="181"/>
      <c r="BQ153" s="183"/>
      <c r="BR153" s="181"/>
      <c r="BS153" s="184"/>
      <c r="BT153" s="180"/>
      <c r="BU153" s="181"/>
      <c r="BV153" s="182"/>
      <c r="BW153" s="181"/>
      <c r="BX153" s="183"/>
      <c r="BY153" s="181"/>
      <c r="BZ153" s="184"/>
      <c r="CA153" s="180"/>
      <c r="CB153" s="181"/>
      <c r="CC153" s="182"/>
      <c r="CD153" s="181"/>
      <c r="CE153" s="183"/>
      <c r="CF153" s="181"/>
      <c r="CG153" s="184"/>
      <c r="CH153" s="180"/>
      <c r="CI153" s="181"/>
      <c r="CJ153" s="182"/>
      <c r="CK153" s="181"/>
      <c r="CL153" s="183"/>
      <c r="CM153" s="181"/>
      <c r="CN153" s="184"/>
      <c r="CO153" s="180"/>
      <c r="CP153" s="181"/>
      <c r="CQ153" s="182"/>
      <c r="CR153" s="181"/>
      <c r="CS153" s="183"/>
      <c r="CT153" s="181"/>
      <c r="CU153" s="184"/>
      <c r="CV153" s="180"/>
      <c r="CW153" s="181"/>
      <c r="CX153" s="182"/>
      <c r="CY153" s="181"/>
      <c r="CZ153" s="183"/>
      <c r="DA153" s="181"/>
      <c r="DB153" s="184"/>
      <c r="DC153" s="180"/>
      <c r="DD153" s="181"/>
      <c r="DE153" s="182"/>
      <c r="DF153" s="181"/>
      <c r="DG153" s="183"/>
      <c r="DH153" s="181"/>
      <c r="DI153" s="184"/>
      <c r="DJ153" s="180"/>
      <c r="DK153" s="181"/>
      <c r="DL153" s="182"/>
      <c r="DM153" s="181"/>
      <c r="DN153" s="183"/>
      <c r="DO153" s="181"/>
      <c r="DP153" s="184"/>
      <c r="DQ153" s="180"/>
      <c r="DR153" s="181"/>
      <c r="DS153" s="182"/>
      <c r="DT153" s="181"/>
      <c r="DU153" s="183"/>
      <c r="DV153" s="181"/>
      <c r="DW153" s="184"/>
      <c r="DX153" s="180"/>
      <c r="DY153" s="181"/>
      <c r="DZ153" s="182"/>
      <c r="EA153" s="181"/>
      <c r="EB153" s="183"/>
      <c r="EC153" s="181"/>
      <c r="ED153" s="184"/>
      <c r="EE153" s="180"/>
      <c r="EF153" s="181"/>
      <c r="EG153" s="182"/>
      <c r="EH153" s="181"/>
      <c r="EI153" s="183"/>
      <c r="EJ153" s="181"/>
      <c r="EK153" s="184"/>
      <c r="EL153" s="180"/>
      <c r="EM153" s="181"/>
      <c r="EN153" s="182"/>
      <c r="EO153" s="181"/>
      <c r="EP153" s="183"/>
      <c r="EQ153" s="181"/>
      <c r="ER153" s="184"/>
      <c r="ES153" s="180"/>
      <c r="ET153" s="181"/>
      <c r="EU153" s="182"/>
      <c r="EV153" s="181"/>
      <c r="EW153" s="183"/>
      <c r="EX153" s="181"/>
      <c r="EY153" s="184"/>
      <c r="EZ153" s="180"/>
      <c r="FA153" s="181"/>
      <c r="FB153" s="182"/>
      <c r="FC153" s="181"/>
      <c r="FD153" s="183"/>
      <c r="FE153" s="181"/>
      <c r="FF153" s="184"/>
      <c r="FG153" s="180"/>
      <c r="FH153" s="181"/>
      <c r="FI153" s="182"/>
      <c r="FJ153" s="181"/>
      <c r="FK153" s="183"/>
      <c r="FL153" s="181"/>
      <c r="FM153" s="184"/>
      <c r="FN153" s="180"/>
      <c r="FO153" s="181"/>
      <c r="FP153" s="182"/>
      <c r="FQ153" s="181"/>
      <c r="FR153" s="183"/>
      <c r="FS153" s="181"/>
      <c r="FT153" s="184"/>
      <c r="FU153" s="180"/>
      <c r="FV153" s="181"/>
      <c r="FW153" s="182"/>
      <c r="FX153" s="181"/>
      <c r="FY153" s="183"/>
      <c r="FZ153" s="181"/>
      <c r="GA153" s="184"/>
      <c r="GB153" s="180"/>
      <c r="GC153" s="181"/>
      <c r="GD153" s="182"/>
      <c r="GE153" s="181"/>
      <c r="GF153" s="183"/>
      <c r="GG153" s="181"/>
      <c r="GH153" s="184"/>
      <c r="GI153" s="180"/>
      <c r="GJ153" s="181"/>
      <c r="GK153" s="182"/>
      <c r="GL153" s="181"/>
      <c r="GM153" s="183"/>
      <c r="GN153" s="181"/>
      <c r="GO153" s="184"/>
      <c r="GP153" s="180"/>
      <c r="GQ153" s="181"/>
      <c r="GR153" s="182"/>
      <c r="GS153" s="181"/>
      <c r="GT153" s="183"/>
      <c r="GU153" s="181"/>
      <c r="GV153" s="184"/>
      <c r="GW153" s="180"/>
      <c r="GX153" s="181"/>
      <c r="GY153" s="182"/>
      <c r="GZ153" s="181"/>
      <c r="HA153" s="183"/>
      <c r="HB153" s="181"/>
      <c r="HC153" s="184"/>
      <c r="HD153" s="180"/>
      <c r="HE153" s="181"/>
      <c r="HF153" s="182"/>
      <c r="HG153" s="181"/>
      <c r="HH153" s="183"/>
      <c r="HI153" s="181"/>
      <c r="HJ153" s="184"/>
      <c r="HK153" s="180"/>
      <c r="HL153" s="181"/>
      <c r="HM153" s="182"/>
      <c r="HN153" s="181"/>
      <c r="HO153" s="183"/>
      <c r="HP153" s="181"/>
      <c r="HQ153" s="184"/>
      <c r="HR153" s="344" t="s">
        <v>533</v>
      </c>
      <c r="HS153" s="345"/>
      <c r="HT153" s="345"/>
      <c r="HU153" s="181" t="s">
        <v>75</v>
      </c>
      <c r="HV153" s="376" t="s">
        <v>303</v>
      </c>
      <c r="HW153" s="376"/>
      <c r="HX153" s="377"/>
    </row>
    <row r="154" spans="2:232" outlineLevel="1" x14ac:dyDescent="0.25">
      <c r="B154" s="147"/>
      <c r="C154" s="147"/>
      <c r="D154" s="147"/>
      <c r="E154" s="147"/>
      <c r="F154" s="157"/>
      <c r="G154" s="147"/>
      <c r="H154" s="157"/>
      <c r="I154" s="175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V154" s="161" t="s">
        <v>199</v>
      </c>
      <c r="W154" s="12"/>
      <c r="X154" s="12"/>
      <c r="Y154" s="12"/>
      <c r="Z154" s="12"/>
      <c r="AA154" s="12"/>
      <c r="AB154" s="12"/>
      <c r="AC154" s="14"/>
      <c r="AD154" s="350" t="s">
        <v>22</v>
      </c>
      <c r="AE154" s="337"/>
      <c r="AF154" s="337"/>
      <c r="AG154" s="1" t="s">
        <v>57</v>
      </c>
      <c r="AH154" s="337" t="s">
        <v>218</v>
      </c>
      <c r="AI154" s="337"/>
      <c r="AJ154" s="338"/>
      <c r="AK154" s="350"/>
      <c r="AL154" s="337"/>
      <c r="AM154" s="337"/>
      <c r="AO154" s="337"/>
      <c r="AP154" s="337"/>
      <c r="AQ154" s="338"/>
      <c r="AR154" s="350"/>
      <c r="AS154" s="337"/>
      <c r="AT154" s="337"/>
      <c r="AV154" s="337"/>
      <c r="AW154" s="337"/>
      <c r="AX154" s="338"/>
      <c r="AY154" s="350"/>
      <c r="AZ154" s="337"/>
      <c r="BA154" s="337"/>
      <c r="BC154" s="337"/>
      <c r="BD154" s="337"/>
      <c r="BE154" s="338"/>
      <c r="BF154" s="350"/>
      <c r="BG154" s="337"/>
      <c r="BH154" s="337"/>
      <c r="BJ154" s="337"/>
      <c r="BK154" s="337"/>
      <c r="BL154" s="338"/>
      <c r="BM154" s="350"/>
      <c r="BN154" s="337"/>
      <c r="BO154" s="337"/>
      <c r="BQ154" s="337"/>
      <c r="BR154" s="337"/>
      <c r="BS154" s="338"/>
      <c r="BT154" s="350"/>
      <c r="BU154" s="337"/>
      <c r="BV154" s="337"/>
      <c r="BX154" s="337"/>
      <c r="BY154" s="337"/>
      <c r="BZ154" s="338"/>
      <c r="CA154" s="350"/>
      <c r="CB154" s="337"/>
      <c r="CC154" s="337"/>
      <c r="CE154" s="337"/>
      <c r="CF154" s="337"/>
      <c r="CG154" s="338"/>
      <c r="CH154" s="350"/>
      <c r="CI154" s="337"/>
      <c r="CJ154" s="337"/>
      <c r="CL154" s="337"/>
      <c r="CM154" s="337"/>
      <c r="CN154" s="338"/>
      <c r="CO154" s="350"/>
      <c r="CP154" s="337"/>
      <c r="CQ154" s="337"/>
      <c r="CS154" s="337"/>
      <c r="CT154" s="337"/>
      <c r="CU154" s="338"/>
      <c r="CV154" s="350"/>
      <c r="CW154" s="337"/>
      <c r="CX154" s="337"/>
      <c r="CZ154" s="337"/>
      <c r="DA154" s="337"/>
      <c r="DB154" s="338"/>
      <c r="DC154" s="350"/>
      <c r="DD154" s="337"/>
      <c r="DE154" s="337"/>
      <c r="DG154" s="337"/>
      <c r="DH154" s="337"/>
      <c r="DI154" s="338"/>
      <c r="DJ154" s="350"/>
      <c r="DK154" s="337"/>
      <c r="DL154" s="337"/>
      <c r="DN154" s="337"/>
      <c r="DO154" s="337"/>
      <c r="DP154" s="338"/>
      <c r="DQ154" s="350"/>
      <c r="DR154" s="337"/>
      <c r="DS154" s="337"/>
      <c r="DU154" s="337"/>
      <c r="DV154" s="337"/>
      <c r="DW154" s="338"/>
      <c r="DX154" s="350"/>
      <c r="DY154" s="337"/>
      <c r="DZ154" s="337"/>
      <c r="EB154" s="337"/>
      <c r="EC154" s="337"/>
      <c r="ED154" s="338"/>
      <c r="EE154" s="350"/>
      <c r="EF154" s="337"/>
      <c r="EG154" s="337"/>
      <c r="EI154" s="337"/>
      <c r="EJ154" s="337"/>
      <c r="EK154" s="338"/>
      <c r="EL154" s="350"/>
      <c r="EM154" s="337"/>
      <c r="EN154" s="337"/>
      <c r="EP154" s="337"/>
      <c r="EQ154" s="337"/>
      <c r="ER154" s="338"/>
      <c r="ES154" s="350"/>
      <c r="ET154" s="337"/>
      <c r="EU154" s="337"/>
      <c r="EW154" s="337"/>
      <c r="EX154" s="337"/>
      <c r="EY154" s="338"/>
      <c r="EZ154" s="350"/>
      <c r="FA154" s="337"/>
      <c r="FB154" s="337"/>
      <c r="FD154" s="337"/>
      <c r="FE154" s="337"/>
      <c r="FF154" s="338"/>
      <c r="FG154" s="350"/>
      <c r="FH154" s="337"/>
      <c r="FI154" s="337"/>
      <c r="FK154" s="337"/>
      <c r="FL154" s="337"/>
      <c r="FM154" s="338"/>
      <c r="FN154" s="350"/>
      <c r="FO154" s="337"/>
      <c r="FP154" s="337"/>
      <c r="FR154" s="337"/>
      <c r="FS154" s="337"/>
      <c r="FT154" s="338"/>
      <c r="FU154" s="350"/>
      <c r="FV154" s="337"/>
      <c r="FW154" s="337"/>
      <c r="FY154" s="337"/>
      <c r="FZ154" s="337"/>
      <c r="GA154" s="338"/>
      <c r="GB154" s="350"/>
      <c r="GC154" s="337"/>
      <c r="GD154" s="337"/>
      <c r="GF154" s="337"/>
      <c r="GG154" s="337"/>
      <c r="GH154" s="338"/>
      <c r="GI154" s="350"/>
      <c r="GJ154" s="337"/>
      <c r="GK154" s="337"/>
      <c r="GM154" s="337"/>
      <c r="GN154" s="337"/>
      <c r="GO154" s="338"/>
      <c r="GP154" s="350"/>
      <c r="GQ154" s="337"/>
      <c r="GR154" s="337"/>
      <c r="GT154" s="337"/>
      <c r="GU154" s="337"/>
      <c r="GV154" s="338"/>
      <c r="GW154" s="350"/>
      <c r="GX154" s="337"/>
      <c r="GY154" s="337"/>
      <c r="HA154" s="337"/>
      <c r="HB154" s="337"/>
      <c r="HC154" s="338"/>
      <c r="HD154" s="350"/>
      <c r="HE154" s="337"/>
      <c r="HF154" s="337"/>
      <c r="HH154" s="337"/>
      <c r="HI154" s="337"/>
      <c r="HJ154" s="338"/>
      <c r="HK154" s="350"/>
      <c r="HL154" s="337"/>
      <c r="HM154" s="337"/>
      <c r="HO154" s="337"/>
      <c r="HP154" s="337"/>
      <c r="HQ154" s="338"/>
      <c r="HR154" s="350" t="s">
        <v>218</v>
      </c>
      <c r="HS154" s="337"/>
      <c r="HT154" s="337"/>
      <c r="HU154" s="191"/>
      <c r="HV154" s="337"/>
      <c r="HW154" s="337"/>
      <c r="HX154" s="338"/>
    </row>
    <row r="155" spans="2:232" outlineLevel="1" x14ac:dyDescent="0.25">
      <c r="B155" s="147"/>
      <c r="C155" s="147"/>
      <c r="D155" s="147"/>
      <c r="E155" s="147"/>
      <c r="F155" s="157"/>
      <c r="G155" s="147"/>
      <c r="H155" s="157"/>
      <c r="I155" s="175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V155" s="161" t="s">
        <v>200</v>
      </c>
      <c r="W155" s="12"/>
      <c r="X155" s="12"/>
      <c r="Y155" s="12"/>
      <c r="Z155" s="12"/>
      <c r="AA155" s="12"/>
      <c r="AB155" s="12"/>
      <c r="AC155" s="14"/>
      <c r="AD155" s="352" t="s">
        <v>22</v>
      </c>
      <c r="AE155" s="353"/>
      <c r="AF155" s="353"/>
      <c r="AG155" s="1" t="s">
        <v>57</v>
      </c>
      <c r="AH155" s="353" t="s">
        <v>219</v>
      </c>
      <c r="AI155" s="353"/>
      <c r="AJ155" s="355"/>
      <c r="AK155" s="352"/>
      <c r="AL155" s="353"/>
      <c r="AM155" s="353"/>
      <c r="AO155" s="353"/>
      <c r="AP155" s="353"/>
      <c r="AQ155" s="355"/>
      <c r="AR155" s="352"/>
      <c r="AS155" s="353"/>
      <c r="AT155" s="353"/>
      <c r="AV155" s="353"/>
      <c r="AW155" s="353"/>
      <c r="AX155" s="355"/>
      <c r="AY155" s="352"/>
      <c r="AZ155" s="353"/>
      <c r="BA155" s="353"/>
      <c r="BC155" s="353"/>
      <c r="BD155" s="353"/>
      <c r="BE155" s="355"/>
      <c r="BF155" s="352"/>
      <c r="BG155" s="353"/>
      <c r="BH155" s="353"/>
      <c r="BJ155" s="353"/>
      <c r="BK155" s="353"/>
      <c r="BL155" s="355"/>
      <c r="BM155" s="352"/>
      <c r="BN155" s="353"/>
      <c r="BO155" s="353"/>
      <c r="BQ155" s="353"/>
      <c r="BR155" s="353"/>
      <c r="BS155" s="355"/>
      <c r="BT155" s="352"/>
      <c r="BU155" s="353"/>
      <c r="BV155" s="353"/>
      <c r="BX155" s="353"/>
      <c r="BY155" s="353"/>
      <c r="BZ155" s="355"/>
      <c r="CA155" s="352"/>
      <c r="CB155" s="353"/>
      <c r="CC155" s="353"/>
      <c r="CE155" s="353"/>
      <c r="CF155" s="353"/>
      <c r="CG155" s="355"/>
      <c r="CH155" s="352"/>
      <c r="CI155" s="353"/>
      <c r="CJ155" s="353"/>
      <c r="CL155" s="353"/>
      <c r="CM155" s="353"/>
      <c r="CN155" s="355"/>
      <c r="CO155" s="352"/>
      <c r="CP155" s="353"/>
      <c r="CQ155" s="353"/>
      <c r="CS155" s="353"/>
      <c r="CT155" s="353"/>
      <c r="CU155" s="355"/>
      <c r="CV155" s="352"/>
      <c r="CW155" s="353"/>
      <c r="CX155" s="353"/>
      <c r="CZ155" s="353"/>
      <c r="DA155" s="353"/>
      <c r="DB155" s="355"/>
      <c r="DC155" s="352"/>
      <c r="DD155" s="353"/>
      <c r="DE155" s="353"/>
      <c r="DG155" s="353"/>
      <c r="DH155" s="353"/>
      <c r="DI155" s="355"/>
      <c r="DJ155" s="352"/>
      <c r="DK155" s="353"/>
      <c r="DL155" s="353"/>
      <c r="DN155" s="353"/>
      <c r="DO155" s="353"/>
      <c r="DP155" s="355"/>
      <c r="DQ155" s="352"/>
      <c r="DR155" s="353"/>
      <c r="DS155" s="353"/>
      <c r="DU155" s="353"/>
      <c r="DV155" s="353"/>
      <c r="DW155" s="355"/>
      <c r="DX155" s="352"/>
      <c r="DY155" s="353"/>
      <c r="DZ155" s="353"/>
      <c r="EB155" s="353"/>
      <c r="EC155" s="353"/>
      <c r="ED155" s="355"/>
      <c r="EE155" s="352"/>
      <c r="EF155" s="353"/>
      <c r="EG155" s="353"/>
      <c r="EI155" s="353"/>
      <c r="EJ155" s="353"/>
      <c r="EK155" s="355"/>
      <c r="EL155" s="352"/>
      <c r="EM155" s="353"/>
      <c r="EN155" s="353"/>
      <c r="EP155" s="353"/>
      <c r="EQ155" s="353"/>
      <c r="ER155" s="355"/>
      <c r="ES155" s="352"/>
      <c r="ET155" s="353"/>
      <c r="EU155" s="353"/>
      <c r="EW155" s="353"/>
      <c r="EX155" s="353"/>
      <c r="EY155" s="355"/>
      <c r="EZ155" s="352"/>
      <c r="FA155" s="353"/>
      <c r="FB155" s="353"/>
      <c r="FD155" s="353"/>
      <c r="FE155" s="353"/>
      <c r="FF155" s="355"/>
      <c r="FG155" s="352"/>
      <c r="FH155" s="353"/>
      <c r="FI155" s="353"/>
      <c r="FK155" s="353"/>
      <c r="FL155" s="353"/>
      <c r="FM155" s="355"/>
      <c r="FN155" s="352"/>
      <c r="FO155" s="353"/>
      <c r="FP155" s="353"/>
      <c r="FR155" s="353"/>
      <c r="FS155" s="353"/>
      <c r="FT155" s="355"/>
      <c r="FU155" s="352"/>
      <c r="FV155" s="353"/>
      <c r="FW155" s="353"/>
      <c r="FY155" s="353"/>
      <c r="FZ155" s="353"/>
      <c r="GA155" s="355"/>
      <c r="GB155" s="352"/>
      <c r="GC155" s="353"/>
      <c r="GD155" s="353"/>
      <c r="GF155" s="353"/>
      <c r="GG155" s="353"/>
      <c r="GH155" s="355"/>
      <c r="GI155" s="352"/>
      <c r="GJ155" s="353"/>
      <c r="GK155" s="353"/>
      <c r="GM155" s="353"/>
      <c r="GN155" s="353"/>
      <c r="GO155" s="355"/>
      <c r="GP155" s="352"/>
      <c r="GQ155" s="353"/>
      <c r="GR155" s="353"/>
      <c r="GT155" s="353"/>
      <c r="GU155" s="353"/>
      <c r="GV155" s="355"/>
      <c r="GW155" s="352"/>
      <c r="GX155" s="353"/>
      <c r="GY155" s="353"/>
      <c r="HA155" s="353"/>
      <c r="HB155" s="353"/>
      <c r="HC155" s="355"/>
      <c r="HD155" s="352"/>
      <c r="HE155" s="353"/>
      <c r="HF155" s="353"/>
      <c r="HH155" s="353"/>
      <c r="HI155" s="353"/>
      <c r="HJ155" s="355"/>
      <c r="HK155" s="352"/>
      <c r="HL155" s="353"/>
      <c r="HM155" s="353"/>
      <c r="HO155" s="353"/>
      <c r="HP155" s="353"/>
      <c r="HQ155" s="355"/>
      <c r="HR155" s="352" t="s">
        <v>219</v>
      </c>
      <c r="HS155" s="353"/>
      <c r="HT155" s="353"/>
      <c r="HV155" s="353"/>
      <c r="HW155" s="353"/>
      <c r="HX155" s="355"/>
    </row>
    <row r="156" spans="2:232" outlineLevel="1" x14ac:dyDescent="0.25">
      <c r="B156" s="147"/>
      <c r="C156" s="147"/>
      <c r="D156" s="147"/>
      <c r="E156" s="147"/>
      <c r="F156" s="157"/>
      <c r="G156" s="147"/>
      <c r="H156" s="157"/>
      <c r="I156" s="175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V156" s="162"/>
      <c r="W156" s="159"/>
      <c r="X156" s="159"/>
      <c r="Y156" s="159"/>
      <c r="Z156" s="159"/>
      <c r="AA156" s="159"/>
      <c r="AB156" s="159"/>
      <c r="AC156" s="160"/>
      <c r="AD156" s="361"/>
      <c r="AE156" s="356"/>
      <c r="AF156" s="356"/>
      <c r="AG156" s="163"/>
      <c r="AH156" s="356"/>
      <c r="AI156" s="356"/>
      <c r="AJ156" s="357"/>
      <c r="AK156" s="361"/>
      <c r="AL156" s="356"/>
      <c r="AM156" s="356"/>
      <c r="AN156" s="163"/>
      <c r="AO156" s="356"/>
      <c r="AP156" s="356"/>
      <c r="AQ156" s="357"/>
      <c r="AR156" s="361"/>
      <c r="AS156" s="356"/>
      <c r="AT156" s="356"/>
      <c r="AU156" s="163"/>
      <c r="AV156" s="356"/>
      <c r="AW156" s="356"/>
      <c r="AX156" s="357"/>
      <c r="AY156" s="361"/>
      <c r="AZ156" s="356"/>
      <c r="BA156" s="356"/>
      <c r="BB156" s="163"/>
      <c r="BC156" s="356"/>
      <c r="BD156" s="356"/>
      <c r="BE156" s="357"/>
      <c r="BF156" s="361"/>
      <c r="BG156" s="356"/>
      <c r="BH156" s="356"/>
      <c r="BI156" s="163"/>
      <c r="BJ156" s="356"/>
      <c r="BK156" s="356"/>
      <c r="BL156" s="357"/>
      <c r="BM156" s="361"/>
      <c r="BN156" s="356"/>
      <c r="BO156" s="356"/>
      <c r="BP156" s="163"/>
      <c r="BQ156" s="356"/>
      <c r="BR156" s="356"/>
      <c r="BS156" s="357"/>
      <c r="BT156" s="361"/>
      <c r="BU156" s="356"/>
      <c r="BV156" s="356"/>
      <c r="BW156" s="163"/>
      <c r="BX156" s="356"/>
      <c r="BY156" s="356"/>
      <c r="BZ156" s="357"/>
      <c r="CA156" s="361"/>
      <c r="CB156" s="356"/>
      <c r="CC156" s="356"/>
      <c r="CD156" s="163"/>
      <c r="CE156" s="356"/>
      <c r="CF156" s="356"/>
      <c r="CG156" s="357"/>
      <c r="CH156" s="361"/>
      <c r="CI156" s="356"/>
      <c r="CJ156" s="356"/>
      <c r="CK156" s="163"/>
      <c r="CL156" s="356"/>
      <c r="CM156" s="356"/>
      <c r="CN156" s="357"/>
      <c r="CO156" s="361"/>
      <c r="CP156" s="356"/>
      <c r="CQ156" s="356"/>
      <c r="CR156" s="163"/>
      <c r="CS156" s="356"/>
      <c r="CT156" s="356"/>
      <c r="CU156" s="357"/>
      <c r="CV156" s="361"/>
      <c r="CW156" s="356"/>
      <c r="CX156" s="356"/>
      <c r="CY156" s="163"/>
      <c r="CZ156" s="356"/>
      <c r="DA156" s="356"/>
      <c r="DB156" s="357"/>
      <c r="DC156" s="361"/>
      <c r="DD156" s="356"/>
      <c r="DE156" s="356"/>
      <c r="DF156" s="163"/>
      <c r="DG156" s="356"/>
      <c r="DH156" s="356"/>
      <c r="DI156" s="357"/>
      <c r="DJ156" s="361"/>
      <c r="DK156" s="356"/>
      <c r="DL156" s="356"/>
      <c r="DM156" s="163"/>
      <c r="DN156" s="356"/>
      <c r="DO156" s="356"/>
      <c r="DP156" s="357"/>
      <c r="DQ156" s="361"/>
      <c r="DR156" s="356"/>
      <c r="DS156" s="356"/>
      <c r="DT156" s="163"/>
      <c r="DU156" s="356"/>
      <c r="DV156" s="356"/>
      <c r="DW156" s="357"/>
      <c r="DX156" s="361"/>
      <c r="DY156" s="356"/>
      <c r="DZ156" s="356"/>
      <c r="EA156" s="163"/>
      <c r="EB156" s="356"/>
      <c r="EC156" s="356"/>
      <c r="ED156" s="357"/>
      <c r="EE156" s="361"/>
      <c r="EF156" s="356"/>
      <c r="EG156" s="356"/>
      <c r="EH156" s="163"/>
      <c r="EI156" s="356"/>
      <c r="EJ156" s="356"/>
      <c r="EK156" s="357"/>
      <c r="EL156" s="361"/>
      <c r="EM156" s="356"/>
      <c r="EN156" s="356"/>
      <c r="EO156" s="163"/>
      <c r="EP156" s="356"/>
      <c r="EQ156" s="356"/>
      <c r="ER156" s="357"/>
      <c r="ES156" s="361"/>
      <c r="ET156" s="356"/>
      <c r="EU156" s="356"/>
      <c r="EV156" s="163"/>
      <c r="EW156" s="356"/>
      <c r="EX156" s="356"/>
      <c r="EY156" s="357"/>
      <c r="EZ156" s="361"/>
      <c r="FA156" s="356"/>
      <c r="FB156" s="356"/>
      <c r="FC156" s="163"/>
      <c r="FD156" s="356"/>
      <c r="FE156" s="356"/>
      <c r="FF156" s="357"/>
      <c r="FG156" s="361"/>
      <c r="FH156" s="356"/>
      <c r="FI156" s="356"/>
      <c r="FJ156" s="163"/>
      <c r="FK156" s="356"/>
      <c r="FL156" s="356"/>
      <c r="FM156" s="357"/>
      <c r="FN156" s="361"/>
      <c r="FO156" s="356"/>
      <c r="FP156" s="356"/>
      <c r="FQ156" s="163"/>
      <c r="FR156" s="356"/>
      <c r="FS156" s="356"/>
      <c r="FT156" s="357"/>
      <c r="FU156" s="361"/>
      <c r="FV156" s="356"/>
      <c r="FW156" s="356"/>
      <c r="FX156" s="163"/>
      <c r="FY156" s="356"/>
      <c r="FZ156" s="356"/>
      <c r="GA156" s="357"/>
      <c r="GB156" s="361"/>
      <c r="GC156" s="356"/>
      <c r="GD156" s="356"/>
      <c r="GE156" s="163"/>
      <c r="GF156" s="356"/>
      <c r="GG156" s="356"/>
      <c r="GH156" s="357"/>
      <c r="GI156" s="361"/>
      <c r="GJ156" s="356"/>
      <c r="GK156" s="356"/>
      <c r="GL156" s="163"/>
      <c r="GM156" s="356"/>
      <c r="GN156" s="356"/>
      <c r="GO156" s="357"/>
      <c r="GP156" s="361"/>
      <c r="GQ156" s="356"/>
      <c r="GR156" s="356"/>
      <c r="GS156" s="163"/>
      <c r="GT156" s="356"/>
      <c r="GU156" s="356"/>
      <c r="GV156" s="357"/>
      <c r="GW156" s="361"/>
      <c r="GX156" s="356"/>
      <c r="GY156" s="356"/>
      <c r="GZ156" s="163"/>
      <c r="HA156" s="356"/>
      <c r="HB156" s="356"/>
      <c r="HC156" s="357"/>
      <c r="HD156" s="361"/>
      <c r="HE156" s="356"/>
      <c r="HF156" s="356"/>
      <c r="HG156" s="163"/>
      <c r="HH156" s="356"/>
      <c r="HI156" s="356"/>
      <c r="HJ156" s="357"/>
      <c r="HK156" s="361"/>
      <c r="HL156" s="356"/>
      <c r="HM156" s="356"/>
      <c r="HN156" s="163"/>
      <c r="HO156" s="356"/>
      <c r="HP156" s="356"/>
      <c r="HQ156" s="357"/>
      <c r="HR156" s="361"/>
      <c r="HS156" s="356"/>
      <c r="HT156" s="356"/>
      <c r="HU156" s="163"/>
      <c r="HV156" s="356"/>
      <c r="HW156" s="356"/>
      <c r="HX156" s="357"/>
    </row>
    <row r="157" spans="2:232" outlineLevel="1" x14ac:dyDescent="0.25">
      <c r="B157" s="32"/>
      <c r="C157" s="333">
        <f>MAX(C150:C151)+1</f>
        <v>20</v>
      </c>
      <c r="D157" s="164" t="s">
        <v>21</v>
      </c>
      <c r="E157" s="34"/>
      <c r="F157" s="165" t="s">
        <v>529</v>
      </c>
      <c r="G157" s="165" t="s">
        <v>529</v>
      </c>
      <c r="H157" s="259" t="s">
        <v>207</v>
      </c>
      <c r="I157" s="176" t="s">
        <v>198</v>
      </c>
      <c r="J157" s="165" t="s">
        <v>171</v>
      </c>
      <c r="K157" s="165">
        <v>2031</v>
      </c>
      <c r="L157" s="165">
        <v>5</v>
      </c>
      <c r="M157" s="165"/>
      <c r="N157" s="165"/>
      <c r="O157" s="165"/>
      <c r="P157" s="165"/>
      <c r="Q157" s="165"/>
      <c r="R157" s="165"/>
      <c r="S157" s="165"/>
      <c r="T157" s="165"/>
      <c r="V157" s="11" t="s">
        <v>283</v>
      </c>
      <c r="W157" s="12"/>
      <c r="X157" s="12"/>
      <c r="Y157" s="12"/>
      <c r="Z157" s="12"/>
      <c r="AA157" s="12"/>
      <c r="AB157" s="12"/>
      <c r="AC157" s="14"/>
      <c r="AD157" s="166">
        <f>$C157</f>
        <v>20</v>
      </c>
      <c r="AE157" s="358" t="s">
        <v>175</v>
      </c>
      <c r="AF157" s="358"/>
      <c r="AG157" s="358"/>
      <c r="AH157" s="158"/>
      <c r="AI157" s="337"/>
      <c r="AJ157" s="338"/>
      <c r="AK157" s="166"/>
      <c r="AL157" s="358"/>
      <c r="AM157" s="358"/>
      <c r="AN157" s="358"/>
      <c r="AO157" s="32"/>
      <c r="AP157" s="337"/>
      <c r="AQ157" s="338"/>
      <c r="AR157" s="166"/>
      <c r="AS157" s="358"/>
      <c r="AT157" s="358"/>
      <c r="AU157" s="358"/>
      <c r="AV157" s="32"/>
      <c r="AW157" s="337"/>
      <c r="AX157" s="338"/>
      <c r="AY157" s="166"/>
      <c r="AZ157" s="362"/>
      <c r="BA157" s="362"/>
      <c r="BB157" s="362"/>
      <c r="BC157" s="158"/>
      <c r="BD157" s="337"/>
      <c r="BE157" s="338"/>
      <c r="BF157" s="166"/>
      <c r="BG157" s="362"/>
      <c r="BH157" s="362"/>
      <c r="BI157" s="362"/>
      <c r="BJ157" s="158"/>
      <c r="BK157" s="337"/>
      <c r="BL157" s="338"/>
      <c r="BM157" s="166"/>
      <c r="BN157" s="362"/>
      <c r="BO157" s="362"/>
      <c r="BP157" s="362"/>
      <c r="BQ157" s="158"/>
      <c r="BR157" s="337"/>
      <c r="BS157" s="338"/>
      <c r="BT157" s="166"/>
      <c r="BU157" s="362"/>
      <c r="BV157" s="362"/>
      <c r="BW157" s="362"/>
      <c r="BX157" s="158"/>
      <c r="BY157" s="337"/>
      <c r="BZ157" s="338"/>
      <c r="CA157" s="166"/>
      <c r="CB157" s="362"/>
      <c r="CC157" s="362"/>
      <c r="CD157" s="362"/>
      <c r="CE157" s="158"/>
      <c r="CF157" s="337"/>
      <c r="CG157" s="338"/>
      <c r="CH157" s="166"/>
      <c r="CI157" s="362"/>
      <c r="CJ157" s="362"/>
      <c r="CK157" s="362"/>
      <c r="CL157" s="158"/>
      <c r="CM157" s="337"/>
      <c r="CN157" s="338"/>
      <c r="CO157" s="166"/>
      <c r="CP157" s="362"/>
      <c r="CQ157" s="362"/>
      <c r="CR157" s="362"/>
      <c r="CS157" s="158"/>
      <c r="CT157" s="337"/>
      <c r="CU157" s="338"/>
      <c r="CV157" s="166"/>
      <c r="CW157" s="362"/>
      <c r="CX157" s="362"/>
      <c r="CY157" s="362"/>
      <c r="CZ157" s="158"/>
      <c r="DA157" s="337"/>
      <c r="DB157" s="338"/>
      <c r="DC157" s="166"/>
      <c r="DD157" s="362"/>
      <c r="DE157" s="362"/>
      <c r="DF157" s="362"/>
      <c r="DG157" s="158"/>
      <c r="DH157" s="337"/>
      <c r="DI157" s="338"/>
      <c r="DJ157" s="166"/>
      <c r="DK157" s="362"/>
      <c r="DL157" s="362"/>
      <c r="DM157" s="362"/>
      <c r="DN157" s="158"/>
      <c r="DO157" s="337"/>
      <c r="DP157" s="338"/>
      <c r="DQ157" s="166"/>
      <c r="DR157" s="362"/>
      <c r="DS157" s="362"/>
      <c r="DT157" s="362"/>
      <c r="DU157" s="158"/>
      <c r="DV157" s="337"/>
      <c r="DW157" s="338"/>
      <c r="DX157" s="166"/>
      <c r="DY157" s="362"/>
      <c r="DZ157" s="362"/>
      <c r="EA157" s="362"/>
      <c r="EB157" s="158"/>
      <c r="EC157" s="337"/>
      <c r="ED157" s="338"/>
      <c r="EE157" s="166"/>
      <c r="EF157" s="362"/>
      <c r="EG157" s="362"/>
      <c r="EH157" s="362"/>
      <c r="EI157" s="158"/>
      <c r="EJ157" s="337"/>
      <c r="EK157" s="338"/>
      <c r="EL157" s="166"/>
      <c r="EM157" s="362"/>
      <c r="EN157" s="362"/>
      <c r="EO157" s="362"/>
      <c r="EP157" s="158"/>
      <c r="EQ157" s="337"/>
      <c r="ER157" s="338"/>
      <c r="ES157" s="166"/>
      <c r="ET157" s="362"/>
      <c r="EU157" s="362"/>
      <c r="EV157" s="362"/>
      <c r="EW157" s="158"/>
      <c r="EX157" s="337"/>
      <c r="EY157" s="338"/>
      <c r="EZ157" s="166"/>
      <c r="FA157" s="362"/>
      <c r="FB157" s="362"/>
      <c r="FC157" s="362"/>
      <c r="FD157" s="158"/>
      <c r="FE157" s="337"/>
      <c r="FF157" s="338"/>
      <c r="FG157" s="166"/>
      <c r="FH157" s="362"/>
      <c r="FI157" s="362"/>
      <c r="FJ157" s="362"/>
      <c r="FK157" s="158"/>
      <c r="FL157" s="337"/>
      <c r="FM157" s="338"/>
      <c r="FN157" s="166"/>
      <c r="FO157" s="362"/>
      <c r="FP157" s="362"/>
      <c r="FQ157" s="362"/>
      <c r="FR157" s="158"/>
      <c r="FS157" s="337"/>
      <c r="FT157" s="338"/>
      <c r="FU157" s="166"/>
      <c r="FV157" s="362"/>
      <c r="FW157" s="362"/>
      <c r="FX157" s="362"/>
      <c r="FY157" s="158"/>
      <c r="FZ157" s="337"/>
      <c r="GA157" s="338"/>
      <c r="GB157" s="166"/>
      <c r="GC157" s="362"/>
      <c r="GD157" s="362"/>
      <c r="GE157" s="362"/>
      <c r="GF157" s="158"/>
      <c r="GG157" s="337"/>
      <c r="GH157" s="338"/>
      <c r="GI157" s="166"/>
      <c r="GJ157" s="362"/>
      <c r="GK157" s="362"/>
      <c r="GL157" s="362"/>
      <c r="GM157" s="158"/>
      <c r="GN157" s="337"/>
      <c r="GO157" s="338"/>
      <c r="GP157" s="166"/>
      <c r="GQ157" s="362"/>
      <c r="GR157" s="362"/>
      <c r="GS157" s="362"/>
      <c r="GT157" s="158"/>
      <c r="GU157" s="337"/>
      <c r="GV157" s="338"/>
      <c r="GW157" s="166"/>
      <c r="GX157" s="362"/>
      <c r="GY157" s="362"/>
      <c r="GZ157" s="362"/>
      <c r="HA157" s="158"/>
      <c r="HB157" s="337"/>
      <c r="HC157" s="338"/>
      <c r="HD157" s="166"/>
      <c r="HE157" s="362"/>
      <c r="HF157" s="362"/>
      <c r="HG157" s="362"/>
      <c r="HH157" s="158"/>
      <c r="HI157" s="337"/>
      <c r="HJ157" s="338"/>
      <c r="HK157" s="166"/>
      <c r="HL157" s="362"/>
      <c r="HM157" s="362"/>
      <c r="HN157" s="362"/>
      <c r="HO157" s="158"/>
      <c r="HP157" s="337"/>
      <c r="HQ157" s="338"/>
      <c r="HR157" s="166">
        <f>$AD157</f>
        <v>20</v>
      </c>
      <c r="HS157" s="358" t="s">
        <v>175</v>
      </c>
      <c r="HT157" s="358"/>
      <c r="HU157" s="358"/>
      <c r="HV157" s="257"/>
      <c r="HW157" s="337"/>
      <c r="HX157" s="338"/>
    </row>
    <row r="158" spans="2:232" outlineLevel="1" x14ac:dyDescent="0.25">
      <c r="B158" s="32"/>
      <c r="C158" s="167"/>
      <c r="D158" s="167"/>
      <c r="E158" s="34"/>
      <c r="F158" s="168"/>
      <c r="G158" s="167"/>
      <c r="H158" s="55"/>
      <c r="I158" s="177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V158" s="107"/>
      <c r="W158" s="108"/>
      <c r="X158" s="108"/>
      <c r="Y158" s="108"/>
      <c r="Z158" s="108"/>
      <c r="AA158" s="108"/>
      <c r="AB158" s="108"/>
      <c r="AC158" s="109"/>
      <c r="AD158" s="169"/>
      <c r="AE158" s="365"/>
      <c r="AF158" s="365"/>
      <c r="AG158" s="365"/>
      <c r="AH158" s="30"/>
      <c r="AI158" s="340"/>
      <c r="AJ158" s="341"/>
      <c r="AK158" s="169"/>
      <c r="AL158" s="339"/>
      <c r="AM158" s="339"/>
      <c r="AN158" s="339"/>
      <c r="AO158" s="30"/>
      <c r="AP158" s="340"/>
      <c r="AQ158" s="341"/>
      <c r="AR158" s="169"/>
      <c r="AS158" s="339"/>
      <c r="AT158" s="339"/>
      <c r="AU158" s="339"/>
      <c r="AV158" s="30"/>
      <c r="AW158" s="340"/>
      <c r="AX158" s="341"/>
      <c r="AY158" s="169"/>
      <c r="AZ158" s="339"/>
      <c r="BA158" s="339"/>
      <c r="BB158" s="339"/>
      <c r="BC158" s="30"/>
      <c r="BD158" s="340"/>
      <c r="BE158" s="341"/>
      <c r="BF158" s="169"/>
      <c r="BG158" s="339"/>
      <c r="BH158" s="339"/>
      <c r="BI158" s="339"/>
      <c r="BJ158" s="30"/>
      <c r="BK158" s="340"/>
      <c r="BL158" s="341"/>
      <c r="BM158" s="169"/>
      <c r="BN158" s="339"/>
      <c r="BO158" s="339"/>
      <c r="BP158" s="339"/>
      <c r="BQ158" s="30"/>
      <c r="BR158" s="340"/>
      <c r="BS158" s="341"/>
      <c r="BT158" s="169"/>
      <c r="BU158" s="339"/>
      <c r="BV158" s="339"/>
      <c r="BW158" s="339"/>
      <c r="BX158" s="30"/>
      <c r="BY158" s="340"/>
      <c r="BZ158" s="341"/>
      <c r="CA158" s="169"/>
      <c r="CB158" s="339"/>
      <c r="CC158" s="339"/>
      <c r="CD158" s="339"/>
      <c r="CE158" s="30"/>
      <c r="CF158" s="340"/>
      <c r="CG158" s="341"/>
      <c r="CH158" s="169"/>
      <c r="CI158" s="339"/>
      <c r="CJ158" s="339"/>
      <c r="CK158" s="339"/>
      <c r="CL158" s="30"/>
      <c r="CM158" s="340"/>
      <c r="CN158" s="341"/>
      <c r="CO158" s="169"/>
      <c r="CP158" s="339"/>
      <c r="CQ158" s="339"/>
      <c r="CR158" s="339"/>
      <c r="CS158" s="30"/>
      <c r="CT158" s="340"/>
      <c r="CU158" s="341"/>
      <c r="CV158" s="169"/>
      <c r="CW158" s="339"/>
      <c r="CX158" s="339"/>
      <c r="CY158" s="339"/>
      <c r="CZ158" s="30"/>
      <c r="DA158" s="340"/>
      <c r="DB158" s="341"/>
      <c r="DC158" s="169"/>
      <c r="DD158" s="339"/>
      <c r="DE158" s="339"/>
      <c r="DF158" s="339"/>
      <c r="DG158" s="30"/>
      <c r="DH158" s="340"/>
      <c r="DI158" s="341"/>
      <c r="DJ158" s="169"/>
      <c r="DK158" s="339"/>
      <c r="DL158" s="339"/>
      <c r="DM158" s="339"/>
      <c r="DN158" s="30"/>
      <c r="DO158" s="340"/>
      <c r="DP158" s="341"/>
      <c r="DQ158" s="169"/>
      <c r="DR158" s="339"/>
      <c r="DS158" s="339"/>
      <c r="DT158" s="339"/>
      <c r="DU158" s="30"/>
      <c r="DV158" s="340"/>
      <c r="DW158" s="341"/>
      <c r="DX158" s="169"/>
      <c r="DY158" s="339"/>
      <c r="DZ158" s="339"/>
      <c r="EA158" s="339"/>
      <c r="EB158" s="30"/>
      <c r="EC158" s="340"/>
      <c r="ED158" s="341"/>
      <c r="EE158" s="169"/>
      <c r="EF158" s="339"/>
      <c r="EG158" s="339"/>
      <c r="EH158" s="339"/>
      <c r="EI158" s="30"/>
      <c r="EJ158" s="340"/>
      <c r="EK158" s="341"/>
      <c r="EL158" s="169"/>
      <c r="EM158" s="339"/>
      <c r="EN158" s="339"/>
      <c r="EO158" s="339"/>
      <c r="EP158" s="30"/>
      <c r="EQ158" s="340"/>
      <c r="ER158" s="341"/>
      <c r="ES158" s="169"/>
      <c r="ET158" s="339"/>
      <c r="EU158" s="339"/>
      <c r="EV158" s="339"/>
      <c r="EW158" s="30"/>
      <c r="EX158" s="340"/>
      <c r="EY158" s="341"/>
      <c r="EZ158" s="169"/>
      <c r="FA158" s="339"/>
      <c r="FB158" s="339"/>
      <c r="FC158" s="339"/>
      <c r="FD158" s="30"/>
      <c r="FE158" s="340"/>
      <c r="FF158" s="341"/>
      <c r="FG158" s="169"/>
      <c r="FH158" s="339"/>
      <c r="FI158" s="339"/>
      <c r="FJ158" s="339"/>
      <c r="FK158" s="30"/>
      <c r="FL158" s="340"/>
      <c r="FM158" s="341"/>
      <c r="FN158" s="169"/>
      <c r="FO158" s="339"/>
      <c r="FP158" s="339"/>
      <c r="FQ158" s="339"/>
      <c r="FR158" s="30"/>
      <c r="FS158" s="340"/>
      <c r="FT158" s="341"/>
      <c r="FU158" s="169"/>
      <c r="FV158" s="339"/>
      <c r="FW158" s="339"/>
      <c r="FX158" s="339"/>
      <c r="FY158" s="30"/>
      <c r="FZ158" s="340"/>
      <c r="GA158" s="341"/>
      <c r="GB158" s="169"/>
      <c r="GC158" s="339"/>
      <c r="GD158" s="339"/>
      <c r="GE158" s="339"/>
      <c r="GF158" s="30"/>
      <c r="GG158" s="340"/>
      <c r="GH158" s="341"/>
      <c r="GI158" s="169"/>
      <c r="GJ158" s="339"/>
      <c r="GK158" s="339"/>
      <c r="GL158" s="339"/>
      <c r="GM158" s="30"/>
      <c r="GN158" s="340"/>
      <c r="GO158" s="341"/>
      <c r="GP158" s="169"/>
      <c r="GQ158" s="339"/>
      <c r="GR158" s="339"/>
      <c r="GS158" s="339"/>
      <c r="GT158" s="30"/>
      <c r="GU158" s="340"/>
      <c r="GV158" s="341"/>
      <c r="GW158" s="169"/>
      <c r="GX158" s="339"/>
      <c r="GY158" s="339"/>
      <c r="GZ158" s="339"/>
      <c r="HA158" s="30"/>
      <c r="HB158" s="340"/>
      <c r="HC158" s="341"/>
      <c r="HD158" s="169"/>
      <c r="HE158" s="339"/>
      <c r="HF158" s="339"/>
      <c r="HG158" s="339"/>
      <c r="HH158" s="30"/>
      <c r="HI158" s="340"/>
      <c r="HJ158" s="341"/>
      <c r="HK158" s="169"/>
      <c r="HL158" s="339"/>
      <c r="HM158" s="339"/>
      <c r="HN158" s="339"/>
      <c r="HO158" s="30"/>
      <c r="HP158" s="340"/>
      <c r="HQ158" s="341"/>
      <c r="HR158" s="169"/>
      <c r="HS158" s="365"/>
      <c r="HT158" s="365"/>
      <c r="HU158" s="365"/>
      <c r="HV158" s="258"/>
      <c r="HW158" s="340"/>
      <c r="HX158" s="341"/>
    </row>
    <row r="159" spans="2:232" outlineLevel="1" x14ac:dyDescent="0.25">
      <c r="B159" s="147"/>
      <c r="C159" s="147"/>
      <c r="D159" s="147"/>
      <c r="E159" s="147"/>
      <c r="F159" s="157"/>
      <c r="G159" s="147"/>
      <c r="H159" s="157"/>
      <c r="I159" s="175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V159" s="150" t="s">
        <v>170</v>
      </c>
      <c r="W159" s="151"/>
      <c r="X159" s="151"/>
      <c r="Y159" s="151"/>
      <c r="Z159" s="151"/>
      <c r="AA159" s="151"/>
      <c r="AB159" s="369"/>
      <c r="AC159" s="370"/>
      <c r="AD159" s="342" t="s">
        <v>217</v>
      </c>
      <c r="AE159" s="343"/>
      <c r="AF159" s="343"/>
      <c r="AG159" s="343"/>
      <c r="AH159" s="343"/>
      <c r="AI159" s="152"/>
      <c r="AJ159" s="155">
        <f>COUNTA(AD164:AD165)</f>
        <v>1</v>
      </c>
      <c r="AK159" s="156"/>
      <c r="AL159" s="152"/>
      <c r="AM159" s="153"/>
      <c r="AN159" s="152"/>
      <c r="AO159" s="154"/>
      <c r="AP159" s="152"/>
      <c r="AQ159" s="155">
        <f>COUNTA(AK164:AK165)</f>
        <v>0</v>
      </c>
      <c r="AR159" s="156"/>
      <c r="AS159" s="152"/>
      <c r="AT159" s="153"/>
      <c r="AU159" s="152"/>
      <c r="AV159" s="154"/>
      <c r="AW159" s="152"/>
      <c r="AX159" s="155">
        <f>COUNTA(AR164:AR165)</f>
        <v>0</v>
      </c>
      <c r="AY159" s="156"/>
      <c r="AZ159" s="152"/>
      <c r="BA159" s="153"/>
      <c r="BB159" s="152"/>
      <c r="BC159" s="154"/>
      <c r="BD159" s="152"/>
      <c r="BE159" s="155">
        <f>COUNTA(AY164:AY165)</f>
        <v>0</v>
      </c>
      <c r="BF159" s="156"/>
      <c r="BG159" s="152"/>
      <c r="BH159" s="153"/>
      <c r="BI159" s="152"/>
      <c r="BJ159" s="154"/>
      <c r="BK159" s="152"/>
      <c r="BL159" s="155">
        <f>COUNTA(BF164:BF165)</f>
        <v>0</v>
      </c>
      <c r="BM159" s="156"/>
      <c r="BN159" s="152"/>
      <c r="BO159" s="153"/>
      <c r="BP159" s="152"/>
      <c r="BQ159" s="154"/>
      <c r="BR159" s="152"/>
      <c r="BS159" s="155">
        <f>COUNTA(BM164:BM165)</f>
        <v>0</v>
      </c>
      <c r="BT159" s="156"/>
      <c r="BU159" s="152"/>
      <c r="BV159" s="153"/>
      <c r="BW159" s="152"/>
      <c r="BX159" s="154"/>
      <c r="BY159" s="152"/>
      <c r="BZ159" s="155">
        <f>COUNTA(BT164:BT165)</f>
        <v>0</v>
      </c>
      <c r="CA159" s="156"/>
      <c r="CB159" s="152"/>
      <c r="CC159" s="153"/>
      <c r="CD159" s="152"/>
      <c r="CE159" s="154"/>
      <c r="CF159" s="152"/>
      <c r="CG159" s="155">
        <f>COUNTA(CA164:CA165)</f>
        <v>0</v>
      </c>
      <c r="CH159" s="156"/>
      <c r="CI159" s="152"/>
      <c r="CJ159" s="153"/>
      <c r="CK159" s="152"/>
      <c r="CL159" s="154"/>
      <c r="CM159" s="152"/>
      <c r="CN159" s="155">
        <f>COUNTA(CH164:CH165)</f>
        <v>0</v>
      </c>
      <c r="CO159" s="156"/>
      <c r="CP159" s="152"/>
      <c r="CQ159" s="153"/>
      <c r="CR159" s="152"/>
      <c r="CS159" s="154"/>
      <c r="CT159" s="152"/>
      <c r="CU159" s="155">
        <f>COUNTA(CO164:CO165)</f>
        <v>0</v>
      </c>
      <c r="CV159" s="156"/>
      <c r="CW159" s="152"/>
      <c r="CX159" s="153"/>
      <c r="CY159" s="152"/>
      <c r="CZ159" s="154"/>
      <c r="DA159" s="152"/>
      <c r="DB159" s="155">
        <f>COUNTA(CV164:CV165)</f>
        <v>0</v>
      </c>
      <c r="DC159" s="156"/>
      <c r="DD159" s="152"/>
      <c r="DE159" s="153"/>
      <c r="DF159" s="152"/>
      <c r="DG159" s="154"/>
      <c r="DH159" s="152"/>
      <c r="DI159" s="155">
        <f>COUNTA(DC164:DC165)</f>
        <v>0</v>
      </c>
      <c r="DJ159" s="156"/>
      <c r="DK159" s="152"/>
      <c r="DL159" s="153"/>
      <c r="DM159" s="152"/>
      <c r="DN159" s="154"/>
      <c r="DO159" s="152"/>
      <c r="DP159" s="155">
        <f>COUNTA(DJ164:DJ165)</f>
        <v>0</v>
      </c>
      <c r="DQ159" s="156"/>
      <c r="DR159" s="152"/>
      <c r="DS159" s="153"/>
      <c r="DT159" s="152"/>
      <c r="DU159" s="154"/>
      <c r="DV159" s="152"/>
      <c r="DW159" s="155">
        <f>COUNTA(DQ164:DQ165)</f>
        <v>0</v>
      </c>
      <c r="DX159" s="156"/>
      <c r="DY159" s="152"/>
      <c r="DZ159" s="153"/>
      <c r="EA159" s="152"/>
      <c r="EB159" s="154"/>
      <c r="EC159" s="152"/>
      <c r="ED159" s="155">
        <f>COUNTA(DX164:DX165)</f>
        <v>0</v>
      </c>
      <c r="EE159" s="156"/>
      <c r="EF159" s="152"/>
      <c r="EG159" s="153"/>
      <c r="EH159" s="152"/>
      <c r="EI159" s="154"/>
      <c r="EJ159" s="152"/>
      <c r="EK159" s="155">
        <f>COUNTA(EE164:EE165)</f>
        <v>0</v>
      </c>
      <c r="EL159" s="156"/>
      <c r="EM159" s="152"/>
      <c r="EN159" s="153"/>
      <c r="EO159" s="152"/>
      <c r="EP159" s="154"/>
      <c r="EQ159" s="152"/>
      <c r="ER159" s="155">
        <f>COUNTA(EL164:EL165)</f>
        <v>0</v>
      </c>
      <c r="ES159" s="156"/>
      <c r="ET159" s="152"/>
      <c r="EU159" s="153"/>
      <c r="EV159" s="152"/>
      <c r="EW159" s="154"/>
      <c r="EX159" s="152"/>
      <c r="EY159" s="155">
        <f>COUNTA(ES164:ES165)</f>
        <v>0</v>
      </c>
      <c r="EZ159" s="156"/>
      <c r="FA159" s="152"/>
      <c r="FB159" s="153"/>
      <c r="FC159" s="152"/>
      <c r="FD159" s="154"/>
      <c r="FE159" s="152"/>
      <c r="FF159" s="155">
        <f>COUNTA(EZ164:EZ165)</f>
        <v>0</v>
      </c>
      <c r="FG159" s="156"/>
      <c r="FH159" s="152"/>
      <c r="FI159" s="153"/>
      <c r="FJ159" s="152"/>
      <c r="FK159" s="154"/>
      <c r="FL159" s="152"/>
      <c r="FM159" s="155">
        <f>COUNTA(FG164:FG165)</f>
        <v>0</v>
      </c>
      <c r="FN159" s="156"/>
      <c r="FO159" s="152"/>
      <c r="FP159" s="153"/>
      <c r="FQ159" s="152"/>
      <c r="FR159" s="154"/>
      <c r="FS159" s="152"/>
      <c r="FT159" s="155">
        <f>COUNTA(FN164:FN165)</f>
        <v>0</v>
      </c>
      <c r="FU159" s="156"/>
      <c r="FV159" s="152"/>
      <c r="FW159" s="153"/>
      <c r="FX159" s="152"/>
      <c r="FY159" s="154"/>
      <c r="FZ159" s="152"/>
      <c r="GA159" s="155">
        <f>COUNTA(FU164:FU165)</f>
        <v>0</v>
      </c>
      <c r="GB159" s="156"/>
      <c r="GC159" s="152"/>
      <c r="GD159" s="153"/>
      <c r="GE159" s="152"/>
      <c r="GF159" s="154"/>
      <c r="GG159" s="152"/>
      <c r="GH159" s="155">
        <f>COUNTA(GB164:GB165)</f>
        <v>0</v>
      </c>
      <c r="GI159" s="156"/>
      <c r="GJ159" s="152"/>
      <c r="GK159" s="153"/>
      <c r="GL159" s="152"/>
      <c r="GM159" s="154"/>
      <c r="GN159" s="152"/>
      <c r="GO159" s="155">
        <f>COUNTA(GI164:GI165)</f>
        <v>0</v>
      </c>
      <c r="GP159" s="156"/>
      <c r="GQ159" s="152"/>
      <c r="GR159" s="153"/>
      <c r="GS159" s="152"/>
      <c r="GT159" s="154"/>
      <c r="GU159" s="152"/>
      <c r="GV159" s="155">
        <f>COUNTA(GP164:GP165)</f>
        <v>0</v>
      </c>
      <c r="GW159" s="156"/>
      <c r="GX159" s="152"/>
      <c r="GY159" s="153"/>
      <c r="GZ159" s="152"/>
      <c r="HA159" s="154"/>
      <c r="HB159" s="152"/>
      <c r="HC159" s="155">
        <f>COUNTA(GW164:GW165)</f>
        <v>0</v>
      </c>
      <c r="HD159" s="156"/>
      <c r="HE159" s="152"/>
      <c r="HF159" s="153"/>
      <c r="HG159" s="152"/>
      <c r="HH159" s="154"/>
      <c r="HI159" s="152"/>
      <c r="HJ159" s="155">
        <f>COUNTA(HD164:HD165)</f>
        <v>0</v>
      </c>
      <c r="HK159" s="156"/>
      <c r="HL159" s="152"/>
      <c r="HM159" s="153"/>
      <c r="HN159" s="152"/>
      <c r="HO159" s="154"/>
      <c r="HP159" s="152"/>
      <c r="HQ159" s="155">
        <f>COUNTA(HK164:HK165)</f>
        <v>0</v>
      </c>
      <c r="HR159" s="342" t="s">
        <v>217</v>
      </c>
      <c r="HS159" s="343"/>
      <c r="HT159" s="343"/>
      <c r="HU159" s="343"/>
      <c r="HV159" s="343"/>
      <c r="HW159" s="152"/>
      <c r="HX159" s="155">
        <f>COUNTA(HR164:HR165)</f>
        <v>1</v>
      </c>
    </row>
    <row r="160" spans="2:232" ht="15" customHeight="1" outlineLevel="1" x14ac:dyDescent="0.25">
      <c r="B160" s="147"/>
      <c r="C160" s="147"/>
      <c r="D160" s="147"/>
      <c r="E160" s="147"/>
      <c r="F160" s="157"/>
      <c r="G160" s="147"/>
      <c r="H160" s="157"/>
      <c r="I160" s="175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V160" s="185" t="s">
        <v>224</v>
      </c>
      <c r="W160" s="186"/>
      <c r="X160" s="186"/>
      <c r="Y160" s="186"/>
      <c r="Z160" s="186"/>
      <c r="AA160" s="186"/>
      <c r="AB160" s="187"/>
      <c r="AC160" s="188"/>
      <c r="AD160" s="344" t="s">
        <v>533</v>
      </c>
      <c r="AE160" s="345"/>
      <c r="AF160" s="345"/>
      <c r="AG160" s="181" t="s">
        <v>75</v>
      </c>
      <c r="AH160" s="346" t="s">
        <v>304</v>
      </c>
      <c r="AI160" s="346"/>
      <c r="AJ160" s="349"/>
      <c r="AK160" s="180"/>
      <c r="AL160" s="181"/>
      <c r="AM160" s="182"/>
      <c r="AN160" s="181"/>
      <c r="AO160" s="183"/>
      <c r="AP160" s="181"/>
      <c r="AQ160" s="184"/>
      <c r="AR160" s="180"/>
      <c r="AS160" s="181"/>
      <c r="AT160" s="182"/>
      <c r="AU160" s="181"/>
      <c r="AV160" s="183"/>
      <c r="AW160" s="181"/>
      <c r="AX160" s="184"/>
      <c r="AY160" s="180"/>
      <c r="AZ160" s="181"/>
      <c r="BA160" s="182"/>
      <c r="BB160" s="181"/>
      <c r="BC160" s="183"/>
      <c r="BD160" s="181"/>
      <c r="BE160" s="184"/>
      <c r="BF160" s="180"/>
      <c r="BG160" s="181"/>
      <c r="BH160" s="182"/>
      <c r="BI160" s="181"/>
      <c r="BJ160" s="183"/>
      <c r="BK160" s="181"/>
      <c r="BL160" s="184"/>
      <c r="BM160" s="180"/>
      <c r="BN160" s="181"/>
      <c r="BO160" s="182"/>
      <c r="BP160" s="181"/>
      <c r="BQ160" s="183"/>
      <c r="BR160" s="181"/>
      <c r="BS160" s="184"/>
      <c r="BT160" s="180"/>
      <c r="BU160" s="181"/>
      <c r="BV160" s="182"/>
      <c r="BW160" s="181"/>
      <c r="BX160" s="183"/>
      <c r="BY160" s="181"/>
      <c r="BZ160" s="184"/>
      <c r="CA160" s="180"/>
      <c r="CB160" s="181"/>
      <c r="CC160" s="182"/>
      <c r="CD160" s="181"/>
      <c r="CE160" s="183"/>
      <c r="CF160" s="181"/>
      <c r="CG160" s="184"/>
      <c r="CH160" s="180"/>
      <c r="CI160" s="181"/>
      <c r="CJ160" s="182"/>
      <c r="CK160" s="181"/>
      <c r="CL160" s="183"/>
      <c r="CM160" s="181"/>
      <c r="CN160" s="184"/>
      <c r="CO160" s="180"/>
      <c r="CP160" s="181"/>
      <c r="CQ160" s="182"/>
      <c r="CR160" s="181"/>
      <c r="CS160" s="183"/>
      <c r="CT160" s="181"/>
      <c r="CU160" s="184"/>
      <c r="CV160" s="180"/>
      <c r="CW160" s="181"/>
      <c r="CX160" s="182"/>
      <c r="CY160" s="181"/>
      <c r="CZ160" s="183"/>
      <c r="DA160" s="181"/>
      <c r="DB160" s="184"/>
      <c r="DC160" s="180"/>
      <c r="DD160" s="181"/>
      <c r="DE160" s="182"/>
      <c r="DF160" s="181"/>
      <c r="DG160" s="183"/>
      <c r="DH160" s="181"/>
      <c r="DI160" s="184"/>
      <c r="DJ160" s="180"/>
      <c r="DK160" s="181"/>
      <c r="DL160" s="182"/>
      <c r="DM160" s="181"/>
      <c r="DN160" s="183"/>
      <c r="DO160" s="181"/>
      <c r="DP160" s="184"/>
      <c r="DQ160" s="180"/>
      <c r="DR160" s="181"/>
      <c r="DS160" s="182"/>
      <c r="DT160" s="181"/>
      <c r="DU160" s="183"/>
      <c r="DV160" s="181"/>
      <c r="DW160" s="184"/>
      <c r="DX160" s="180"/>
      <c r="DY160" s="181"/>
      <c r="DZ160" s="182"/>
      <c r="EA160" s="181"/>
      <c r="EB160" s="183"/>
      <c r="EC160" s="181"/>
      <c r="ED160" s="184"/>
      <c r="EE160" s="180"/>
      <c r="EF160" s="181"/>
      <c r="EG160" s="182"/>
      <c r="EH160" s="181"/>
      <c r="EI160" s="183"/>
      <c r="EJ160" s="181"/>
      <c r="EK160" s="184"/>
      <c r="EL160" s="180"/>
      <c r="EM160" s="181"/>
      <c r="EN160" s="182"/>
      <c r="EO160" s="181"/>
      <c r="EP160" s="183"/>
      <c r="EQ160" s="181"/>
      <c r="ER160" s="184"/>
      <c r="ES160" s="180"/>
      <c r="ET160" s="181"/>
      <c r="EU160" s="182"/>
      <c r="EV160" s="181"/>
      <c r="EW160" s="183"/>
      <c r="EX160" s="181"/>
      <c r="EY160" s="184"/>
      <c r="EZ160" s="180"/>
      <c r="FA160" s="181"/>
      <c r="FB160" s="182"/>
      <c r="FC160" s="181"/>
      <c r="FD160" s="183"/>
      <c r="FE160" s="181"/>
      <c r="FF160" s="184"/>
      <c r="FG160" s="180"/>
      <c r="FH160" s="181"/>
      <c r="FI160" s="182"/>
      <c r="FJ160" s="181"/>
      <c r="FK160" s="183"/>
      <c r="FL160" s="181"/>
      <c r="FM160" s="184"/>
      <c r="FN160" s="180"/>
      <c r="FO160" s="181"/>
      <c r="FP160" s="182"/>
      <c r="FQ160" s="181"/>
      <c r="FR160" s="183"/>
      <c r="FS160" s="181"/>
      <c r="FT160" s="184"/>
      <c r="FU160" s="180"/>
      <c r="FV160" s="181"/>
      <c r="FW160" s="182"/>
      <c r="FX160" s="181"/>
      <c r="FY160" s="183"/>
      <c r="FZ160" s="181"/>
      <c r="GA160" s="184"/>
      <c r="GB160" s="180"/>
      <c r="GC160" s="181"/>
      <c r="GD160" s="182"/>
      <c r="GE160" s="181"/>
      <c r="GF160" s="183"/>
      <c r="GG160" s="181"/>
      <c r="GH160" s="184"/>
      <c r="GI160" s="180"/>
      <c r="GJ160" s="181"/>
      <c r="GK160" s="182"/>
      <c r="GL160" s="181"/>
      <c r="GM160" s="183"/>
      <c r="GN160" s="181"/>
      <c r="GO160" s="184"/>
      <c r="GP160" s="180"/>
      <c r="GQ160" s="181"/>
      <c r="GR160" s="182"/>
      <c r="GS160" s="181"/>
      <c r="GT160" s="183"/>
      <c r="GU160" s="181"/>
      <c r="GV160" s="184"/>
      <c r="GW160" s="180"/>
      <c r="GX160" s="181"/>
      <c r="GY160" s="182"/>
      <c r="GZ160" s="181"/>
      <c r="HA160" s="183"/>
      <c r="HB160" s="181"/>
      <c r="HC160" s="184"/>
      <c r="HD160" s="180"/>
      <c r="HE160" s="181"/>
      <c r="HF160" s="182"/>
      <c r="HG160" s="181"/>
      <c r="HH160" s="183"/>
      <c r="HI160" s="181"/>
      <c r="HJ160" s="184"/>
      <c r="HK160" s="180"/>
      <c r="HL160" s="181"/>
      <c r="HM160" s="182"/>
      <c r="HN160" s="181"/>
      <c r="HO160" s="183"/>
      <c r="HP160" s="181"/>
      <c r="HQ160" s="184"/>
      <c r="HR160" s="344" t="s">
        <v>533</v>
      </c>
      <c r="HS160" s="345"/>
      <c r="HT160" s="345"/>
      <c r="HU160" s="181" t="s">
        <v>75</v>
      </c>
      <c r="HV160" s="376" t="s">
        <v>304</v>
      </c>
      <c r="HW160" s="376"/>
      <c r="HX160" s="377"/>
    </row>
    <row r="161" spans="2:232" outlineLevel="1" x14ac:dyDescent="0.25">
      <c r="B161" s="147"/>
      <c r="C161" s="147"/>
      <c r="D161" s="147"/>
      <c r="E161" s="147"/>
      <c r="F161" s="157"/>
      <c r="G161" s="147"/>
      <c r="H161" s="157"/>
      <c r="I161" s="175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V161" s="161" t="s">
        <v>199</v>
      </c>
      <c r="W161" s="12"/>
      <c r="X161" s="12"/>
      <c r="Y161" s="12"/>
      <c r="Z161" s="12"/>
      <c r="AA161" s="12"/>
      <c r="AB161" s="12"/>
      <c r="AC161" s="14"/>
      <c r="AD161" s="350" t="s">
        <v>22</v>
      </c>
      <c r="AE161" s="337"/>
      <c r="AF161" s="337"/>
      <c r="AG161" s="1" t="s">
        <v>57</v>
      </c>
      <c r="AH161" s="337" t="s">
        <v>218</v>
      </c>
      <c r="AI161" s="337"/>
      <c r="AJ161" s="338"/>
      <c r="AK161" s="350"/>
      <c r="AL161" s="337"/>
      <c r="AM161" s="337"/>
      <c r="AO161" s="337"/>
      <c r="AP161" s="337"/>
      <c r="AQ161" s="338"/>
      <c r="AR161" s="350"/>
      <c r="AS161" s="337"/>
      <c r="AT161" s="337"/>
      <c r="AV161" s="337"/>
      <c r="AW161" s="337"/>
      <c r="AX161" s="338"/>
      <c r="AY161" s="350"/>
      <c r="AZ161" s="337"/>
      <c r="BA161" s="337"/>
      <c r="BC161" s="337"/>
      <c r="BD161" s="337"/>
      <c r="BE161" s="338"/>
      <c r="BF161" s="350"/>
      <c r="BG161" s="337"/>
      <c r="BH161" s="337"/>
      <c r="BJ161" s="337"/>
      <c r="BK161" s="337"/>
      <c r="BL161" s="338"/>
      <c r="BM161" s="350"/>
      <c r="BN161" s="337"/>
      <c r="BO161" s="337"/>
      <c r="BQ161" s="337"/>
      <c r="BR161" s="337"/>
      <c r="BS161" s="338"/>
      <c r="BT161" s="350"/>
      <c r="BU161" s="337"/>
      <c r="BV161" s="337"/>
      <c r="BX161" s="337"/>
      <c r="BY161" s="337"/>
      <c r="BZ161" s="338"/>
      <c r="CA161" s="350"/>
      <c r="CB161" s="337"/>
      <c r="CC161" s="337"/>
      <c r="CE161" s="337"/>
      <c r="CF161" s="337"/>
      <c r="CG161" s="338"/>
      <c r="CH161" s="350"/>
      <c r="CI161" s="337"/>
      <c r="CJ161" s="337"/>
      <c r="CL161" s="337"/>
      <c r="CM161" s="337"/>
      <c r="CN161" s="338"/>
      <c r="CO161" s="350"/>
      <c r="CP161" s="337"/>
      <c r="CQ161" s="337"/>
      <c r="CS161" s="337"/>
      <c r="CT161" s="337"/>
      <c r="CU161" s="338"/>
      <c r="CV161" s="350"/>
      <c r="CW161" s="337"/>
      <c r="CX161" s="337"/>
      <c r="CZ161" s="337"/>
      <c r="DA161" s="337"/>
      <c r="DB161" s="338"/>
      <c r="DC161" s="350"/>
      <c r="DD161" s="337"/>
      <c r="DE161" s="337"/>
      <c r="DG161" s="337"/>
      <c r="DH161" s="337"/>
      <c r="DI161" s="338"/>
      <c r="DJ161" s="350"/>
      <c r="DK161" s="337"/>
      <c r="DL161" s="337"/>
      <c r="DN161" s="337"/>
      <c r="DO161" s="337"/>
      <c r="DP161" s="338"/>
      <c r="DQ161" s="350"/>
      <c r="DR161" s="337"/>
      <c r="DS161" s="337"/>
      <c r="DU161" s="337"/>
      <c r="DV161" s="337"/>
      <c r="DW161" s="338"/>
      <c r="DX161" s="350"/>
      <c r="DY161" s="337"/>
      <c r="DZ161" s="337"/>
      <c r="EB161" s="337"/>
      <c r="EC161" s="337"/>
      <c r="ED161" s="338"/>
      <c r="EE161" s="350"/>
      <c r="EF161" s="337"/>
      <c r="EG161" s="337"/>
      <c r="EI161" s="337"/>
      <c r="EJ161" s="337"/>
      <c r="EK161" s="338"/>
      <c r="EL161" s="350"/>
      <c r="EM161" s="337"/>
      <c r="EN161" s="337"/>
      <c r="EP161" s="337"/>
      <c r="EQ161" s="337"/>
      <c r="ER161" s="338"/>
      <c r="ES161" s="350"/>
      <c r="ET161" s="337"/>
      <c r="EU161" s="337"/>
      <c r="EW161" s="337"/>
      <c r="EX161" s="337"/>
      <c r="EY161" s="338"/>
      <c r="EZ161" s="350"/>
      <c r="FA161" s="337"/>
      <c r="FB161" s="337"/>
      <c r="FD161" s="337"/>
      <c r="FE161" s="337"/>
      <c r="FF161" s="338"/>
      <c r="FG161" s="350"/>
      <c r="FH161" s="337"/>
      <c r="FI161" s="337"/>
      <c r="FK161" s="337"/>
      <c r="FL161" s="337"/>
      <c r="FM161" s="338"/>
      <c r="FN161" s="350"/>
      <c r="FO161" s="337"/>
      <c r="FP161" s="337"/>
      <c r="FR161" s="337"/>
      <c r="FS161" s="337"/>
      <c r="FT161" s="338"/>
      <c r="FU161" s="350"/>
      <c r="FV161" s="337"/>
      <c r="FW161" s="337"/>
      <c r="FY161" s="337"/>
      <c r="FZ161" s="337"/>
      <c r="GA161" s="338"/>
      <c r="GB161" s="350"/>
      <c r="GC161" s="337"/>
      <c r="GD161" s="337"/>
      <c r="GF161" s="337"/>
      <c r="GG161" s="337"/>
      <c r="GH161" s="338"/>
      <c r="GI161" s="350"/>
      <c r="GJ161" s="337"/>
      <c r="GK161" s="337"/>
      <c r="GM161" s="337"/>
      <c r="GN161" s="337"/>
      <c r="GO161" s="338"/>
      <c r="GP161" s="350"/>
      <c r="GQ161" s="337"/>
      <c r="GR161" s="337"/>
      <c r="GT161" s="337"/>
      <c r="GU161" s="337"/>
      <c r="GV161" s="338"/>
      <c r="GW161" s="350"/>
      <c r="GX161" s="337"/>
      <c r="GY161" s="337"/>
      <c r="HA161" s="337"/>
      <c r="HB161" s="337"/>
      <c r="HC161" s="338"/>
      <c r="HD161" s="350"/>
      <c r="HE161" s="337"/>
      <c r="HF161" s="337"/>
      <c r="HH161" s="337"/>
      <c r="HI161" s="337"/>
      <c r="HJ161" s="338"/>
      <c r="HK161" s="350"/>
      <c r="HL161" s="337"/>
      <c r="HM161" s="337"/>
      <c r="HO161" s="337"/>
      <c r="HP161" s="337"/>
      <c r="HQ161" s="338"/>
      <c r="HR161" s="350" t="s">
        <v>218</v>
      </c>
      <c r="HS161" s="337"/>
      <c r="HT161" s="337"/>
      <c r="HU161" s="191"/>
      <c r="HV161" s="337"/>
      <c r="HW161" s="337"/>
      <c r="HX161" s="338"/>
    </row>
    <row r="162" spans="2:232" outlineLevel="1" x14ac:dyDescent="0.25">
      <c r="B162" s="147"/>
      <c r="C162" s="147"/>
      <c r="D162" s="147"/>
      <c r="E162" s="147"/>
      <c r="F162" s="157"/>
      <c r="G162" s="147"/>
      <c r="H162" s="157"/>
      <c r="I162" s="175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V162" s="161" t="s">
        <v>200</v>
      </c>
      <c r="W162" s="12"/>
      <c r="X162" s="12"/>
      <c r="Y162" s="12"/>
      <c r="Z162" s="12"/>
      <c r="AA162" s="12"/>
      <c r="AB162" s="12"/>
      <c r="AC162" s="14"/>
      <c r="AD162" s="352" t="s">
        <v>22</v>
      </c>
      <c r="AE162" s="353"/>
      <c r="AF162" s="353"/>
      <c r="AG162" s="1" t="s">
        <v>57</v>
      </c>
      <c r="AH162" s="353" t="s">
        <v>219</v>
      </c>
      <c r="AI162" s="353"/>
      <c r="AJ162" s="355"/>
      <c r="AK162" s="352"/>
      <c r="AL162" s="353"/>
      <c r="AM162" s="353"/>
      <c r="AO162" s="353"/>
      <c r="AP162" s="353"/>
      <c r="AQ162" s="355"/>
      <c r="AR162" s="352"/>
      <c r="AS162" s="353"/>
      <c r="AT162" s="353"/>
      <c r="AV162" s="353"/>
      <c r="AW162" s="353"/>
      <c r="AX162" s="355"/>
      <c r="AY162" s="352"/>
      <c r="AZ162" s="353"/>
      <c r="BA162" s="353"/>
      <c r="BC162" s="353"/>
      <c r="BD162" s="353"/>
      <c r="BE162" s="355"/>
      <c r="BF162" s="352"/>
      <c r="BG162" s="353"/>
      <c r="BH162" s="353"/>
      <c r="BJ162" s="353"/>
      <c r="BK162" s="353"/>
      <c r="BL162" s="355"/>
      <c r="BM162" s="352"/>
      <c r="BN162" s="353"/>
      <c r="BO162" s="353"/>
      <c r="BQ162" s="353"/>
      <c r="BR162" s="353"/>
      <c r="BS162" s="355"/>
      <c r="BT162" s="352"/>
      <c r="BU162" s="353"/>
      <c r="BV162" s="353"/>
      <c r="BX162" s="353"/>
      <c r="BY162" s="353"/>
      <c r="BZ162" s="355"/>
      <c r="CA162" s="352"/>
      <c r="CB162" s="353"/>
      <c r="CC162" s="353"/>
      <c r="CE162" s="353"/>
      <c r="CF162" s="353"/>
      <c r="CG162" s="355"/>
      <c r="CH162" s="352"/>
      <c r="CI162" s="353"/>
      <c r="CJ162" s="353"/>
      <c r="CL162" s="353"/>
      <c r="CM162" s="353"/>
      <c r="CN162" s="355"/>
      <c r="CO162" s="352"/>
      <c r="CP162" s="353"/>
      <c r="CQ162" s="353"/>
      <c r="CS162" s="353"/>
      <c r="CT162" s="353"/>
      <c r="CU162" s="355"/>
      <c r="CV162" s="352"/>
      <c r="CW162" s="353"/>
      <c r="CX162" s="353"/>
      <c r="CZ162" s="353"/>
      <c r="DA162" s="353"/>
      <c r="DB162" s="355"/>
      <c r="DC162" s="352"/>
      <c r="DD162" s="353"/>
      <c r="DE162" s="353"/>
      <c r="DG162" s="353"/>
      <c r="DH162" s="353"/>
      <c r="DI162" s="355"/>
      <c r="DJ162" s="352"/>
      <c r="DK162" s="353"/>
      <c r="DL162" s="353"/>
      <c r="DN162" s="353"/>
      <c r="DO162" s="353"/>
      <c r="DP162" s="355"/>
      <c r="DQ162" s="352"/>
      <c r="DR162" s="353"/>
      <c r="DS162" s="353"/>
      <c r="DU162" s="353"/>
      <c r="DV162" s="353"/>
      <c r="DW162" s="355"/>
      <c r="DX162" s="352"/>
      <c r="DY162" s="353"/>
      <c r="DZ162" s="353"/>
      <c r="EB162" s="353"/>
      <c r="EC162" s="353"/>
      <c r="ED162" s="355"/>
      <c r="EE162" s="352"/>
      <c r="EF162" s="353"/>
      <c r="EG162" s="353"/>
      <c r="EI162" s="353"/>
      <c r="EJ162" s="353"/>
      <c r="EK162" s="355"/>
      <c r="EL162" s="352"/>
      <c r="EM162" s="353"/>
      <c r="EN162" s="353"/>
      <c r="EP162" s="353"/>
      <c r="EQ162" s="353"/>
      <c r="ER162" s="355"/>
      <c r="ES162" s="352"/>
      <c r="ET162" s="353"/>
      <c r="EU162" s="353"/>
      <c r="EW162" s="353"/>
      <c r="EX162" s="353"/>
      <c r="EY162" s="355"/>
      <c r="EZ162" s="352"/>
      <c r="FA162" s="353"/>
      <c r="FB162" s="353"/>
      <c r="FD162" s="353"/>
      <c r="FE162" s="353"/>
      <c r="FF162" s="355"/>
      <c r="FG162" s="352"/>
      <c r="FH162" s="353"/>
      <c r="FI162" s="353"/>
      <c r="FK162" s="353"/>
      <c r="FL162" s="353"/>
      <c r="FM162" s="355"/>
      <c r="FN162" s="352"/>
      <c r="FO162" s="353"/>
      <c r="FP162" s="353"/>
      <c r="FR162" s="353"/>
      <c r="FS162" s="353"/>
      <c r="FT162" s="355"/>
      <c r="FU162" s="352"/>
      <c r="FV162" s="353"/>
      <c r="FW162" s="353"/>
      <c r="FY162" s="353"/>
      <c r="FZ162" s="353"/>
      <c r="GA162" s="355"/>
      <c r="GB162" s="352"/>
      <c r="GC162" s="353"/>
      <c r="GD162" s="353"/>
      <c r="GF162" s="353"/>
      <c r="GG162" s="353"/>
      <c r="GH162" s="355"/>
      <c r="GI162" s="352"/>
      <c r="GJ162" s="353"/>
      <c r="GK162" s="353"/>
      <c r="GM162" s="353"/>
      <c r="GN162" s="353"/>
      <c r="GO162" s="355"/>
      <c r="GP162" s="352"/>
      <c r="GQ162" s="353"/>
      <c r="GR162" s="353"/>
      <c r="GT162" s="353"/>
      <c r="GU162" s="353"/>
      <c r="GV162" s="355"/>
      <c r="GW162" s="352"/>
      <c r="GX162" s="353"/>
      <c r="GY162" s="353"/>
      <c r="HA162" s="353"/>
      <c r="HB162" s="353"/>
      <c r="HC162" s="355"/>
      <c r="HD162" s="352"/>
      <c r="HE162" s="353"/>
      <c r="HF162" s="353"/>
      <c r="HH162" s="353"/>
      <c r="HI162" s="353"/>
      <c r="HJ162" s="355"/>
      <c r="HK162" s="352"/>
      <c r="HL162" s="353"/>
      <c r="HM162" s="353"/>
      <c r="HO162" s="353"/>
      <c r="HP162" s="353"/>
      <c r="HQ162" s="355"/>
      <c r="HR162" s="352" t="s">
        <v>219</v>
      </c>
      <c r="HS162" s="353"/>
      <c r="HT162" s="353"/>
      <c r="HV162" s="353"/>
      <c r="HW162" s="353"/>
      <c r="HX162" s="355"/>
    </row>
    <row r="163" spans="2:232" outlineLevel="1" x14ac:dyDescent="0.25">
      <c r="B163" s="147"/>
      <c r="C163" s="147"/>
      <c r="D163" s="147"/>
      <c r="E163" s="147"/>
      <c r="F163" s="157"/>
      <c r="G163" s="147"/>
      <c r="H163" s="157"/>
      <c r="I163" s="175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V163" s="162"/>
      <c r="W163" s="159"/>
      <c r="X163" s="159"/>
      <c r="Y163" s="159"/>
      <c r="Z163" s="159"/>
      <c r="AA163" s="159"/>
      <c r="AB163" s="159"/>
      <c r="AC163" s="160"/>
      <c r="AD163" s="361"/>
      <c r="AE163" s="356"/>
      <c r="AF163" s="356"/>
      <c r="AG163" s="163"/>
      <c r="AH163" s="356"/>
      <c r="AI163" s="356"/>
      <c r="AJ163" s="357"/>
      <c r="AK163" s="361"/>
      <c r="AL163" s="356"/>
      <c r="AM163" s="356"/>
      <c r="AN163" s="163"/>
      <c r="AO163" s="356"/>
      <c r="AP163" s="356"/>
      <c r="AQ163" s="357"/>
      <c r="AR163" s="361"/>
      <c r="AS163" s="356"/>
      <c r="AT163" s="356"/>
      <c r="AU163" s="163"/>
      <c r="AV163" s="356"/>
      <c r="AW163" s="356"/>
      <c r="AX163" s="357"/>
      <c r="AY163" s="361"/>
      <c r="AZ163" s="356"/>
      <c r="BA163" s="356"/>
      <c r="BB163" s="163"/>
      <c r="BC163" s="356"/>
      <c r="BD163" s="356"/>
      <c r="BE163" s="357"/>
      <c r="BF163" s="361"/>
      <c r="BG163" s="356"/>
      <c r="BH163" s="356"/>
      <c r="BI163" s="163"/>
      <c r="BJ163" s="356"/>
      <c r="BK163" s="356"/>
      <c r="BL163" s="357"/>
      <c r="BM163" s="361"/>
      <c r="BN163" s="356"/>
      <c r="BO163" s="356"/>
      <c r="BP163" s="163"/>
      <c r="BQ163" s="356"/>
      <c r="BR163" s="356"/>
      <c r="BS163" s="357"/>
      <c r="BT163" s="361"/>
      <c r="BU163" s="356"/>
      <c r="BV163" s="356"/>
      <c r="BW163" s="163"/>
      <c r="BX163" s="356"/>
      <c r="BY163" s="356"/>
      <c r="BZ163" s="357"/>
      <c r="CA163" s="361"/>
      <c r="CB163" s="356"/>
      <c r="CC163" s="356"/>
      <c r="CD163" s="163"/>
      <c r="CE163" s="356"/>
      <c r="CF163" s="356"/>
      <c r="CG163" s="357"/>
      <c r="CH163" s="361"/>
      <c r="CI163" s="356"/>
      <c r="CJ163" s="356"/>
      <c r="CK163" s="163"/>
      <c r="CL163" s="356"/>
      <c r="CM163" s="356"/>
      <c r="CN163" s="357"/>
      <c r="CO163" s="361"/>
      <c r="CP163" s="356"/>
      <c r="CQ163" s="356"/>
      <c r="CR163" s="163"/>
      <c r="CS163" s="356"/>
      <c r="CT163" s="356"/>
      <c r="CU163" s="357"/>
      <c r="CV163" s="361"/>
      <c r="CW163" s="356"/>
      <c r="CX163" s="356"/>
      <c r="CY163" s="163"/>
      <c r="CZ163" s="356"/>
      <c r="DA163" s="356"/>
      <c r="DB163" s="357"/>
      <c r="DC163" s="361"/>
      <c r="DD163" s="356"/>
      <c r="DE163" s="356"/>
      <c r="DF163" s="163"/>
      <c r="DG163" s="356"/>
      <c r="DH163" s="356"/>
      <c r="DI163" s="357"/>
      <c r="DJ163" s="361"/>
      <c r="DK163" s="356"/>
      <c r="DL163" s="356"/>
      <c r="DM163" s="163"/>
      <c r="DN163" s="356"/>
      <c r="DO163" s="356"/>
      <c r="DP163" s="357"/>
      <c r="DQ163" s="361"/>
      <c r="DR163" s="356"/>
      <c r="DS163" s="356"/>
      <c r="DT163" s="163"/>
      <c r="DU163" s="356"/>
      <c r="DV163" s="356"/>
      <c r="DW163" s="357"/>
      <c r="DX163" s="361"/>
      <c r="DY163" s="356"/>
      <c r="DZ163" s="356"/>
      <c r="EA163" s="163"/>
      <c r="EB163" s="356"/>
      <c r="EC163" s="356"/>
      <c r="ED163" s="357"/>
      <c r="EE163" s="361"/>
      <c r="EF163" s="356"/>
      <c r="EG163" s="356"/>
      <c r="EH163" s="163"/>
      <c r="EI163" s="356"/>
      <c r="EJ163" s="356"/>
      <c r="EK163" s="357"/>
      <c r="EL163" s="361"/>
      <c r="EM163" s="356"/>
      <c r="EN163" s="356"/>
      <c r="EO163" s="163"/>
      <c r="EP163" s="356"/>
      <c r="EQ163" s="356"/>
      <c r="ER163" s="357"/>
      <c r="ES163" s="361"/>
      <c r="ET163" s="356"/>
      <c r="EU163" s="356"/>
      <c r="EV163" s="163"/>
      <c r="EW163" s="356"/>
      <c r="EX163" s="356"/>
      <c r="EY163" s="357"/>
      <c r="EZ163" s="361"/>
      <c r="FA163" s="356"/>
      <c r="FB163" s="356"/>
      <c r="FC163" s="163"/>
      <c r="FD163" s="356"/>
      <c r="FE163" s="356"/>
      <c r="FF163" s="357"/>
      <c r="FG163" s="361"/>
      <c r="FH163" s="356"/>
      <c r="FI163" s="356"/>
      <c r="FJ163" s="163"/>
      <c r="FK163" s="356"/>
      <c r="FL163" s="356"/>
      <c r="FM163" s="357"/>
      <c r="FN163" s="361"/>
      <c r="FO163" s="356"/>
      <c r="FP163" s="356"/>
      <c r="FQ163" s="163"/>
      <c r="FR163" s="356"/>
      <c r="FS163" s="356"/>
      <c r="FT163" s="357"/>
      <c r="FU163" s="361"/>
      <c r="FV163" s="356"/>
      <c r="FW163" s="356"/>
      <c r="FX163" s="163"/>
      <c r="FY163" s="356"/>
      <c r="FZ163" s="356"/>
      <c r="GA163" s="357"/>
      <c r="GB163" s="361"/>
      <c r="GC163" s="356"/>
      <c r="GD163" s="356"/>
      <c r="GE163" s="163"/>
      <c r="GF163" s="356"/>
      <c r="GG163" s="356"/>
      <c r="GH163" s="357"/>
      <c r="GI163" s="361"/>
      <c r="GJ163" s="356"/>
      <c r="GK163" s="356"/>
      <c r="GL163" s="163"/>
      <c r="GM163" s="356"/>
      <c r="GN163" s="356"/>
      <c r="GO163" s="357"/>
      <c r="GP163" s="361"/>
      <c r="GQ163" s="356"/>
      <c r="GR163" s="356"/>
      <c r="GS163" s="163"/>
      <c r="GT163" s="356"/>
      <c r="GU163" s="356"/>
      <c r="GV163" s="357"/>
      <c r="GW163" s="361"/>
      <c r="GX163" s="356"/>
      <c r="GY163" s="356"/>
      <c r="GZ163" s="163"/>
      <c r="HA163" s="356"/>
      <c r="HB163" s="356"/>
      <c r="HC163" s="357"/>
      <c r="HD163" s="361"/>
      <c r="HE163" s="356"/>
      <c r="HF163" s="356"/>
      <c r="HG163" s="163"/>
      <c r="HH163" s="356"/>
      <c r="HI163" s="356"/>
      <c r="HJ163" s="357"/>
      <c r="HK163" s="361"/>
      <c r="HL163" s="356"/>
      <c r="HM163" s="356"/>
      <c r="HN163" s="163"/>
      <c r="HO163" s="356"/>
      <c r="HP163" s="356"/>
      <c r="HQ163" s="357"/>
      <c r="HR163" s="361"/>
      <c r="HS163" s="356"/>
      <c r="HT163" s="356"/>
      <c r="HU163" s="163"/>
      <c r="HV163" s="356"/>
      <c r="HW163" s="356"/>
      <c r="HX163" s="357"/>
    </row>
    <row r="164" spans="2:232" outlineLevel="1" x14ac:dyDescent="0.25">
      <c r="B164" s="32"/>
      <c r="C164" s="333">
        <f>MAX(C157:C158)+1</f>
        <v>21</v>
      </c>
      <c r="D164" s="164" t="s">
        <v>21</v>
      </c>
      <c r="E164" s="34"/>
      <c r="F164" s="165" t="s">
        <v>529</v>
      </c>
      <c r="G164" s="165" t="s">
        <v>529</v>
      </c>
      <c r="H164" s="259" t="s">
        <v>209</v>
      </c>
      <c r="I164" s="176" t="s">
        <v>210</v>
      </c>
      <c r="J164" s="165" t="s">
        <v>171</v>
      </c>
      <c r="K164" s="165">
        <v>2031</v>
      </c>
      <c r="L164" s="165">
        <v>5</v>
      </c>
      <c r="M164" s="165"/>
      <c r="N164" s="165"/>
      <c r="O164" s="165"/>
      <c r="P164" s="165"/>
      <c r="Q164" s="165"/>
      <c r="R164" s="165"/>
      <c r="S164" s="165"/>
      <c r="T164" s="165"/>
      <c r="V164" s="11" t="s">
        <v>283</v>
      </c>
      <c r="W164" s="12"/>
      <c r="X164" s="12"/>
      <c r="Y164" s="12"/>
      <c r="Z164" s="12"/>
      <c r="AA164" s="12"/>
      <c r="AB164" s="12"/>
      <c r="AC164" s="14"/>
      <c r="AD164" s="166">
        <f>$C164</f>
        <v>21</v>
      </c>
      <c r="AE164" s="358" t="s">
        <v>175</v>
      </c>
      <c r="AF164" s="358"/>
      <c r="AG164" s="358"/>
      <c r="AH164" s="158"/>
      <c r="AI164" s="337"/>
      <c r="AJ164" s="338"/>
      <c r="AK164" s="166"/>
      <c r="AL164" s="358"/>
      <c r="AM164" s="358"/>
      <c r="AN164" s="358"/>
      <c r="AO164" s="32"/>
      <c r="AP164" s="337"/>
      <c r="AQ164" s="338"/>
      <c r="AR164" s="166"/>
      <c r="AS164" s="358"/>
      <c r="AT164" s="358"/>
      <c r="AU164" s="358"/>
      <c r="AV164" s="32"/>
      <c r="AW164" s="337"/>
      <c r="AX164" s="338"/>
      <c r="AY164" s="166"/>
      <c r="AZ164" s="362"/>
      <c r="BA164" s="362"/>
      <c r="BB164" s="362"/>
      <c r="BC164" s="158"/>
      <c r="BD164" s="337"/>
      <c r="BE164" s="338"/>
      <c r="BF164" s="166"/>
      <c r="BG164" s="362"/>
      <c r="BH164" s="362"/>
      <c r="BI164" s="362"/>
      <c r="BJ164" s="158"/>
      <c r="BK164" s="337"/>
      <c r="BL164" s="338"/>
      <c r="BM164" s="166"/>
      <c r="BN164" s="362"/>
      <c r="BO164" s="362"/>
      <c r="BP164" s="362"/>
      <c r="BQ164" s="158"/>
      <c r="BR164" s="337"/>
      <c r="BS164" s="338"/>
      <c r="BT164" s="166"/>
      <c r="BU164" s="362"/>
      <c r="BV164" s="362"/>
      <c r="BW164" s="362"/>
      <c r="BX164" s="158"/>
      <c r="BY164" s="337"/>
      <c r="BZ164" s="338"/>
      <c r="CA164" s="166"/>
      <c r="CB164" s="362"/>
      <c r="CC164" s="362"/>
      <c r="CD164" s="362"/>
      <c r="CE164" s="158"/>
      <c r="CF164" s="337"/>
      <c r="CG164" s="338"/>
      <c r="CH164" s="166"/>
      <c r="CI164" s="362"/>
      <c r="CJ164" s="362"/>
      <c r="CK164" s="362"/>
      <c r="CL164" s="158"/>
      <c r="CM164" s="337"/>
      <c r="CN164" s="338"/>
      <c r="CO164" s="166"/>
      <c r="CP164" s="362"/>
      <c r="CQ164" s="362"/>
      <c r="CR164" s="362"/>
      <c r="CS164" s="158"/>
      <c r="CT164" s="337"/>
      <c r="CU164" s="338"/>
      <c r="CV164" s="166"/>
      <c r="CW164" s="362"/>
      <c r="CX164" s="362"/>
      <c r="CY164" s="362"/>
      <c r="CZ164" s="158"/>
      <c r="DA164" s="337"/>
      <c r="DB164" s="338"/>
      <c r="DC164" s="166"/>
      <c r="DD164" s="362"/>
      <c r="DE164" s="362"/>
      <c r="DF164" s="362"/>
      <c r="DG164" s="158"/>
      <c r="DH164" s="337"/>
      <c r="DI164" s="338"/>
      <c r="DJ164" s="166"/>
      <c r="DK164" s="362"/>
      <c r="DL164" s="362"/>
      <c r="DM164" s="362"/>
      <c r="DN164" s="158"/>
      <c r="DO164" s="337"/>
      <c r="DP164" s="338"/>
      <c r="DQ164" s="166"/>
      <c r="DR164" s="362"/>
      <c r="DS164" s="362"/>
      <c r="DT164" s="362"/>
      <c r="DU164" s="158"/>
      <c r="DV164" s="337"/>
      <c r="DW164" s="338"/>
      <c r="DX164" s="166"/>
      <c r="DY164" s="362"/>
      <c r="DZ164" s="362"/>
      <c r="EA164" s="362"/>
      <c r="EB164" s="158"/>
      <c r="EC164" s="337"/>
      <c r="ED164" s="338"/>
      <c r="EE164" s="166"/>
      <c r="EF164" s="362"/>
      <c r="EG164" s="362"/>
      <c r="EH164" s="362"/>
      <c r="EI164" s="158"/>
      <c r="EJ164" s="337"/>
      <c r="EK164" s="338"/>
      <c r="EL164" s="166"/>
      <c r="EM164" s="362"/>
      <c r="EN164" s="362"/>
      <c r="EO164" s="362"/>
      <c r="EP164" s="158"/>
      <c r="EQ164" s="337"/>
      <c r="ER164" s="338"/>
      <c r="ES164" s="166"/>
      <c r="ET164" s="362"/>
      <c r="EU164" s="362"/>
      <c r="EV164" s="362"/>
      <c r="EW164" s="158"/>
      <c r="EX164" s="337"/>
      <c r="EY164" s="338"/>
      <c r="EZ164" s="166"/>
      <c r="FA164" s="362"/>
      <c r="FB164" s="362"/>
      <c r="FC164" s="362"/>
      <c r="FD164" s="158"/>
      <c r="FE164" s="337"/>
      <c r="FF164" s="338"/>
      <c r="FG164" s="166"/>
      <c r="FH164" s="362"/>
      <c r="FI164" s="362"/>
      <c r="FJ164" s="362"/>
      <c r="FK164" s="158"/>
      <c r="FL164" s="337"/>
      <c r="FM164" s="338"/>
      <c r="FN164" s="166"/>
      <c r="FO164" s="362"/>
      <c r="FP164" s="362"/>
      <c r="FQ164" s="362"/>
      <c r="FR164" s="158"/>
      <c r="FS164" s="337"/>
      <c r="FT164" s="338"/>
      <c r="FU164" s="166"/>
      <c r="FV164" s="362"/>
      <c r="FW164" s="362"/>
      <c r="FX164" s="362"/>
      <c r="FY164" s="158"/>
      <c r="FZ164" s="337"/>
      <c r="GA164" s="338"/>
      <c r="GB164" s="166"/>
      <c r="GC164" s="362"/>
      <c r="GD164" s="362"/>
      <c r="GE164" s="362"/>
      <c r="GF164" s="158"/>
      <c r="GG164" s="337"/>
      <c r="GH164" s="338"/>
      <c r="GI164" s="166"/>
      <c r="GJ164" s="362"/>
      <c r="GK164" s="362"/>
      <c r="GL164" s="362"/>
      <c r="GM164" s="158"/>
      <c r="GN164" s="337"/>
      <c r="GO164" s="338"/>
      <c r="GP164" s="166"/>
      <c r="GQ164" s="362"/>
      <c r="GR164" s="362"/>
      <c r="GS164" s="362"/>
      <c r="GT164" s="158"/>
      <c r="GU164" s="337"/>
      <c r="GV164" s="338"/>
      <c r="GW164" s="166"/>
      <c r="GX164" s="362"/>
      <c r="GY164" s="362"/>
      <c r="GZ164" s="362"/>
      <c r="HA164" s="158"/>
      <c r="HB164" s="337"/>
      <c r="HC164" s="338"/>
      <c r="HD164" s="166"/>
      <c r="HE164" s="362"/>
      <c r="HF164" s="362"/>
      <c r="HG164" s="362"/>
      <c r="HH164" s="158"/>
      <c r="HI164" s="337"/>
      <c r="HJ164" s="338"/>
      <c r="HK164" s="166"/>
      <c r="HL164" s="362"/>
      <c r="HM164" s="362"/>
      <c r="HN164" s="362"/>
      <c r="HO164" s="158"/>
      <c r="HP164" s="337"/>
      <c r="HQ164" s="338"/>
      <c r="HR164" s="166">
        <f>$AD164</f>
        <v>21</v>
      </c>
      <c r="HS164" s="358" t="s">
        <v>175</v>
      </c>
      <c r="HT164" s="358"/>
      <c r="HU164" s="358"/>
      <c r="HV164" s="257"/>
      <c r="HW164" s="337"/>
      <c r="HX164" s="338"/>
    </row>
    <row r="165" spans="2:232" outlineLevel="1" x14ac:dyDescent="0.25">
      <c r="B165" s="32"/>
      <c r="C165" s="167"/>
      <c r="D165" s="167"/>
      <c r="E165" s="34"/>
      <c r="F165" s="168"/>
      <c r="G165" s="167"/>
      <c r="H165" s="55"/>
      <c r="I165" s="177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V165" s="107"/>
      <c r="W165" s="108"/>
      <c r="X165" s="108"/>
      <c r="Y165" s="108"/>
      <c r="Z165" s="108"/>
      <c r="AA165" s="108"/>
      <c r="AB165" s="108"/>
      <c r="AC165" s="109"/>
      <c r="AD165" s="169"/>
      <c r="AE165" s="365"/>
      <c r="AF165" s="365"/>
      <c r="AG165" s="365"/>
      <c r="AH165" s="30"/>
      <c r="AI165" s="340"/>
      <c r="AJ165" s="341"/>
      <c r="AK165" s="169"/>
      <c r="AL165" s="339"/>
      <c r="AM165" s="339"/>
      <c r="AN165" s="339"/>
      <c r="AO165" s="30"/>
      <c r="AP165" s="340"/>
      <c r="AQ165" s="341"/>
      <c r="AR165" s="169"/>
      <c r="AS165" s="339"/>
      <c r="AT165" s="339"/>
      <c r="AU165" s="339"/>
      <c r="AV165" s="30"/>
      <c r="AW165" s="340"/>
      <c r="AX165" s="341"/>
      <c r="AY165" s="169"/>
      <c r="AZ165" s="339"/>
      <c r="BA165" s="339"/>
      <c r="BB165" s="339"/>
      <c r="BC165" s="30"/>
      <c r="BD165" s="340"/>
      <c r="BE165" s="341"/>
      <c r="BF165" s="169"/>
      <c r="BG165" s="339"/>
      <c r="BH165" s="339"/>
      <c r="BI165" s="339"/>
      <c r="BJ165" s="30"/>
      <c r="BK165" s="340"/>
      <c r="BL165" s="341"/>
      <c r="BM165" s="169"/>
      <c r="BN165" s="339"/>
      <c r="BO165" s="339"/>
      <c r="BP165" s="339"/>
      <c r="BQ165" s="30"/>
      <c r="BR165" s="340"/>
      <c r="BS165" s="341"/>
      <c r="BT165" s="169"/>
      <c r="BU165" s="339"/>
      <c r="BV165" s="339"/>
      <c r="BW165" s="339"/>
      <c r="BX165" s="30"/>
      <c r="BY165" s="340"/>
      <c r="BZ165" s="341"/>
      <c r="CA165" s="169"/>
      <c r="CB165" s="339"/>
      <c r="CC165" s="339"/>
      <c r="CD165" s="339"/>
      <c r="CE165" s="30"/>
      <c r="CF165" s="340"/>
      <c r="CG165" s="341"/>
      <c r="CH165" s="169"/>
      <c r="CI165" s="339"/>
      <c r="CJ165" s="339"/>
      <c r="CK165" s="339"/>
      <c r="CL165" s="30"/>
      <c r="CM165" s="340"/>
      <c r="CN165" s="341"/>
      <c r="CO165" s="169"/>
      <c r="CP165" s="339"/>
      <c r="CQ165" s="339"/>
      <c r="CR165" s="339"/>
      <c r="CS165" s="30"/>
      <c r="CT165" s="340"/>
      <c r="CU165" s="341"/>
      <c r="CV165" s="169"/>
      <c r="CW165" s="339"/>
      <c r="CX165" s="339"/>
      <c r="CY165" s="339"/>
      <c r="CZ165" s="30"/>
      <c r="DA165" s="340"/>
      <c r="DB165" s="341"/>
      <c r="DC165" s="169"/>
      <c r="DD165" s="339"/>
      <c r="DE165" s="339"/>
      <c r="DF165" s="339"/>
      <c r="DG165" s="30"/>
      <c r="DH165" s="340"/>
      <c r="DI165" s="341"/>
      <c r="DJ165" s="169"/>
      <c r="DK165" s="339"/>
      <c r="DL165" s="339"/>
      <c r="DM165" s="339"/>
      <c r="DN165" s="30"/>
      <c r="DO165" s="340"/>
      <c r="DP165" s="341"/>
      <c r="DQ165" s="169"/>
      <c r="DR165" s="339"/>
      <c r="DS165" s="339"/>
      <c r="DT165" s="339"/>
      <c r="DU165" s="30"/>
      <c r="DV165" s="340"/>
      <c r="DW165" s="341"/>
      <c r="DX165" s="169"/>
      <c r="DY165" s="339"/>
      <c r="DZ165" s="339"/>
      <c r="EA165" s="339"/>
      <c r="EB165" s="30"/>
      <c r="EC165" s="340"/>
      <c r="ED165" s="341"/>
      <c r="EE165" s="169"/>
      <c r="EF165" s="339"/>
      <c r="EG165" s="339"/>
      <c r="EH165" s="339"/>
      <c r="EI165" s="30"/>
      <c r="EJ165" s="340"/>
      <c r="EK165" s="341"/>
      <c r="EL165" s="169"/>
      <c r="EM165" s="339"/>
      <c r="EN165" s="339"/>
      <c r="EO165" s="339"/>
      <c r="EP165" s="30"/>
      <c r="EQ165" s="340"/>
      <c r="ER165" s="341"/>
      <c r="ES165" s="169"/>
      <c r="ET165" s="339"/>
      <c r="EU165" s="339"/>
      <c r="EV165" s="339"/>
      <c r="EW165" s="30"/>
      <c r="EX165" s="340"/>
      <c r="EY165" s="341"/>
      <c r="EZ165" s="169"/>
      <c r="FA165" s="339"/>
      <c r="FB165" s="339"/>
      <c r="FC165" s="339"/>
      <c r="FD165" s="30"/>
      <c r="FE165" s="340"/>
      <c r="FF165" s="341"/>
      <c r="FG165" s="169"/>
      <c r="FH165" s="339"/>
      <c r="FI165" s="339"/>
      <c r="FJ165" s="339"/>
      <c r="FK165" s="30"/>
      <c r="FL165" s="340"/>
      <c r="FM165" s="341"/>
      <c r="FN165" s="169"/>
      <c r="FO165" s="339"/>
      <c r="FP165" s="339"/>
      <c r="FQ165" s="339"/>
      <c r="FR165" s="30"/>
      <c r="FS165" s="340"/>
      <c r="FT165" s="341"/>
      <c r="FU165" s="169"/>
      <c r="FV165" s="339"/>
      <c r="FW165" s="339"/>
      <c r="FX165" s="339"/>
      <c r="FY165" s="30"/>
      <c r="FZ165" s="340"/>
      <c r="GA165" s="341"/>
      <c r="GB165" s="169"/>
      <c r="GC165" s="339"/>
      <c r="GD165" s="339"/>
      <c r="GE165" s="339"/>
      <c r="GF165" s="30"/>
      <c r="GG165" s="340"/>
      <c r="GH165" s="341"/>
      <c r="GI165" s="169"/>
      <c r="GJ165" s="339"/>
      <c r="GK165" s="339"/>
      <c r="GL165" s="339"/>
      <c r="GM165" s="30"/>
      <c r="GN165" s="340"/>
      <c r="GO165" s="341"/>
      <c r="GP165" s="169"/>
      <c r="GQ165" s="339"/>
      <c r="GR165" s="339"/>
      <c r="GS165" s="339"/>
      <c r="GT165" s="30"/>
      <c r="GU165" s="340"/>
      <c r="GV165" s="341"/>
      <c r="GW165" s="169"/>
      <c r="GX165" s="339"/>
      <c r="GY165" s="339"/>
      <c r="GZ165" s="339"/>
      <c r="HA165" s="30"/>
      <c r="HB165" s="340"/>
      <c r="HC165" s="341"/>
      <c r="HD165" s="169"/>
      <c r="HE165" s="339"/>
      <c r="HF165" s="339"/>
      <c r="HG165" s="339"/>
      <c r="HH165" s="30"/>
      <c r="HI165" s="340"/>
      <c r="HJ165" s="341"/>
      <c r="HK165" s="169"/>
      <c r="HL165" s="339"/>
      <c r="HM165" s="339"/>
      <c r="HN165" s="339"/>
      <c r="HO165" s="30"/>
      <c r="HP165" s="340"/>
      <c r="HQ165" s="341"/>
      <c r="HR165" s="169"/>
      <c r="HS165" s="365"/>
      <c r="HT165" s="365"/>
      <c r="HU165" s="365"/>
      <c r="HV165" s="258"/>
      <c r="HW165" s="340"/>
      <c r="HX165" s="341"/>
    </row>
    <row r="166" spans="2:232" outlineLevel="1" x14ac:dyDescent="0.25">
      <c r="B166" s="147"/>
      <c r="C166" s="147"/>
      <c r="D166" s="147"/>
      <c r="E166" s="147"/>
      <c r="F166" s="157"/>
      <c r="G166" s="147"/>
      <c r="H166" s="157"/>
      <c r="I166" s="175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V166" s="150" t="s">
        <v>170</v>
      </c>
      <c r="W166" s="151"/>
      <c r="X166" s="151"/>
      <c r="Y166" s="151"/>
      <c r="Z166" s="151"/>
      <c r="AA166" s="151"/>
      <c r="AB166" s="369"/>
      <c r="AC166" s="370"/>
      <c r="AD166" s="342" t="s">
        <v>217</v>
      </c>
      <c r="AE166" s="343"/>
      <c r="AF166" s="343"/>
      <c r="AG166" s="343"/>
      <c r="AH166" s="343"/>
      <c r="AI166" s="152"/>
      <c r="AJ166" s="155">
        <f>COUNTA(AD171:AD172)</f>
        <v>1</v>
      </c>
      <c r="AK166" s="156"/>
      <c r="AL166" s="152"/>
      <c r="AM166" s="153"/>
      <c r="AN166" s="152"/>
      <c r="AO166" s="154"/>
      <c r="AP166" s="152"/>
      <c r="AQ166" s="155">
        <f>COUNTA(AK171:AK172)</f>
        <v>0</v>
      </c>
      <c r="AR166" s="156"/>
      <c r="AS166" s="152"/>
      <c r="AT166" s="153"/>
      <c r="AU166" s="152"/>
      <c r="AV166" s="154"/>
      <c r="AW166" s="152"/>
      <c r="AX166" s="155">
        <f>COUNTA(AR171:AR172)</f>
        <v>0</v>
      </c>
      <c r="AY166" s="156"/>
      <c r="AZ166" s="152"/>
      <c r="BA166" s="153"/>
      <c r="BB166" s="152"/>
      <c r="BC166" s="154"/>
      <c r="BD166" s="152"/>
      <c r="BE166" s="155">
        <f>COUNTA(AY171:AY172)</f>
        <v>0</v>
      </c>
      <c r="BF166" s="156"/>
      <c r="BG166" s="152"/>
      <c r="BH166" s="153"/>
      <c r="BI166" s="152"/>
      <c r="BJ166" s="154"/>
      <c r="BK166" s="152"/>
      <c r="BL166" s="155">
        <f>COUNTA(BF171:BF172)</f>
        <v>0</v>
      </c>
      <c r="BM166" s="156"/>
      <c r="BN166" s="152"/>
      <c r="BO166" s="153"/>
      <c r="BP166" s="152"/>
      <c r="BQ166" s="154"/>
      <c r="BR166" s="152"/>
      <c r="BS166" s="155">
        <f>COUNTA(BM171:BM172)</f>
        <v>0</v>
      </c>
      <c r="BT166" s="156"/>
      <c r="BU166" s="152"/>
      <c r="BV166" s="153"/>
      <c r="BW166" s="152"/>
      <c r="BX166" s="154"/>
      <c r="BY166" s="152"/>
      <c r="BZ166" s="155">
        <f>COUNTA(BT171:BT172)</f>
        <v>0</v>
      </c>
      <c r="CA166" s="156"/>
      <c r="CB166" s="152"/>
      <c r="CC166" s="153"/>
      <c r="CD166" s="152"/>
      <c r="CE166" s="154"/>
      <c r="CF166" s="152"/>
      <c r="CG166" s="155">
        <f>COUNTA(CA171:CA172)</f>
        <v>0</v>
      </c>
      <c r="CH166" s="156"/>
      <c r="CI166" s="152"/>
      <c r="CJ166" s="153"/>
      <c r="CK166" s="152"/>
      <c r="CL166" s="154"/>
      <c r="CM166" s="152"/>
      <c r="CN166" s="155">
        <f>COUNTA(CH171:CH172)</f>
        <v>0</v>
      </c>
      <c r="CO166" s="156"/>
      <c r="CP166" s="152"/>
      <c r="CQ166" s="153"/>
      <c r="CR166" s="152"/>
      <c r="CS166" s="154"/>
      <c r="CT166" s="152"/>
      <c r="CU166" s="155">
        <f>COUNTA(CO171:CO172)</f>
        <v>0</v>
      </c>
      <c r="CV166" s="156"/>
      <c r="CW166" s="152"/>
      <c r="CX166" s="153"/>
      <c r="CY166" s="152"/>
      <c r="CZ166" s="154"/>
      <c r="DA166" s="152"/>
      <c r="DB166" s="155">
        <f>COUNTA(CV171:CV172)</f>
        <v>0</v>
      </c>
      <c r="DC166" s="156"/>
      <c r="DD166" s="152"/>
      <c r="DE166" s="153"/>
      <c r="DF166" s="152"/>
      <c r="DG166" s="154"/>
      <c r="DH166" s="152"/>
      <c r="DI166" s="155">
        <f>COUNTA(DC171:DC172)</f>
        <v>0</v>
      </c>
      <c r="DJ166" s="156"/>
      <c r="DK166" s="152"/>
      <c r="DL166" s="153"/>
      <c r="DM166" s="152"/>
      <c r="DN166" s="154"/>
      <c r="DO166" s="152"/>
      <c r="DP166" s="155">
        <f>COUNTA(DJ171:DJ172)</f>
        <v>0</v>
      </c>
      <c r="DQ166" s="156"/>
      <c r="DR166" s="152"/>
      <c r="DS166" s="153"/>
      <c r="DT166" s="152"/>
      <c r="DU166" s="154"/>
      <c r="DV166" s="152"/>
      <c r="DW166" s="155">
        <f>COUNTA(DQ171:DQ172)</f>
        <v>0</v>
      </c>
      <c r="DX166" s="156"/>
      <c r="DY166" s="152"/>
      <c r="DZ166" s="153"/>
      <c r="EA166" s="152"/>
      <c r="EB166" s="154"/>
      <c r="EC166" s="152"/>
      <c r="ED166" s="155">
        <f>COUNTA(DX171:DX172)</f>
        <v>0</v>
      </c>
      <c r="EE166" s="156"/>
      <c r="EF166" s="152"/>
      <c r="EG166" s="153"/>
      <c r="EH166" s="152"/>
      <c r="EI166" s="154"/>
      <c r="EJ166" s="152"/>
      <c r="EK166" s="155">
        <f>COUNTA(EE171:EE172)</f>
        <v>0</v>
      </c>
      <c r="EL166" s="156"/>
      <c r="EM166" s="152"/>
      <c r="EN166" s="153"/>
      <c r="EO166" s="152"/>
      <c r="EP166" s="154"/>
      <c r="EQ166" s="152"/>
      <c r="ER166" s="155">
        <f>COUNTA(EL171:EL172)</f>
        <v>0</v>
      </c>
      <c r="ES166" s="156"/>
      <c r="ET166" s="152"/>
      <c r="EU166" s="153"/>
      <c r="EV166" s="152"/>
      <c r="EW166" s="154"/>
      <c r="EX166" s="152"/>
      <c r="EY166" s="155">
        <f>COUNTA(ES171:ES172)</f>
        <v>0</v>
      </c>
      <c r="EZ166" s="156"/>
      <c r="FA166" s="152"/>
      <c r="FB166" s="153"/>
      <c r="FC166" s="152"/>
      <c r="FD166" s="154"/>
      <c r="FE166" s="152"/>
      <c r="FF166" s="155">
        <f>COUNTA(EZ171:EZ172)</f>
        <v>0</v>
      </c>
      <c r="FG166" s="156"/>
      <c r="FH166" s="152"/>
      <c r="FI166" s="153"/>
      <c r="FJ166" s="152"/>
      <c r="FK166" s="154"/>
      <c r="FL166" s="152"/>
      <c r="FM166" s="155">
        <f>COUNTA(FG171:FG172)</f>
        <v>0</v>
      </c>
      <c r="FN166" s="156"/>
      <c r="FO166" s="152"/>
      <c r="FP166" s="153"/>
      <c r="FQ166" s="152"/>
      <c r="FR166" s="154"/>
      <c r="FS166" s="152"/>
      <c r="FT166" s="155">
        <f>COUNTA(FN171:FN172)</f>
        <v>0</v>
      </c>
      <c r="FU166" s="156"/>
      <c r="FV166" s="152"/>
      <c r="FW166" s="153"/>
      <c r="FX166" s="152"/>
      <c r="FY166" s="154"/>
      <c r="FZ166" s="152"/>
      <c r="GA166" s="155">
        <f>COUNTA(FU171:FU172)</f>
        <v>0</v>
      </c>
      <c r="GB166" s="156"/>
      <c r="GC166" s="152"/>
      <c r="GD166" s="153"/>
      <c r="GE166" s="152"/>
      <c r="GF166" s="154"/>
      <c r="GG166" s="152"/>
      <c r="GH166" s="155">
        <f>COUNTA(GB171:GB172)</f>
        <v>0</v>
      </c>
      <c r="GI166" s="156"/>
      <c r="GJ166" s="152"/>
      <c r="GK166" s="153"/>
      <c r="GL166" s="152"/>
      <c r="GM166" s="154"/>
      <c r="GN166" s="152"/>
      <c r="GO166" s="155">
        <f>COUNTA(GI171:GI172)</f>
        <v>0</v>
      </c>
      <c r="GP166" s="156"/>
      <c r="GQ166" s="152"/>
      <c r="GR166" s="153"/>
      <c r="GS166" s="152"/>
      <c r="GT166" s="154"/>
      <c r="GU166" s="152"/>
      <c r="GV166" s="155">
        <f>COUNTA(GP171:GP172)</f>
        <v>0</v>
      </c>
      <c r="GW166" s="156"/>
      <c r="GX166" s="152"/>
      <c r="GY166" s="153"/>
      <c r="GZ166" s="152"/>
      <c r="HA166" s="154"/>
      <c r="HB166" s="152"/>
      <c r="HC166" s="155">
        <f>COUNTA(GW171:GW172)</f>
        <v>0</v>
      </c>
      <c r="HD166" s="156"/>
      <c r="HE166" s="152"/>
      <c r="HF166" s="153"/>
      <c r="HG166" s="152"/>
      <c r="HH166" s="154"/>
      <c r="HI166" s="152"/>
      <c r="HJ166" s="155">
        <f>COUNTA(HD171:HD172)</f>
        <v>0</v>
      </c>
      <c r="HK166" s="156"/>
      <c r="HL166" s="152"/>
      <c r="HM166" s="153"/>
      <c r="HN166" s="152"/>
      <c r="HO166" s="154"/>
      <c r="HP166" s="152"/>
      <c r="HQ166" s="155">
        <f>COUNTA(HK171:HK172)</f>
        <v>0</v>
      </c>
      <c r="HR166" s="342" t="s">
        <v>217</v>
      </c>
      <c r="HS166" s="343"/>
      <c r="HT166" s="343"/>
      <c r="HU166" s="343"/>
      <c r="HV166" s="343"/>
      <c r="HW166" s="152"/>
      <c r="HX166" s="155">
        <f>COUNTA(HR171:HR172)</f>
        <v>1</v>
      </c>
    </row>
    <row r="167" spans="2:232" ht="15" customHeight="1" outlineLevel="1" x14ac:dyDescent="0.25">
      <c r="B167" s="147"/>
      <c r="C167" s="147"/>
      <c r="D167" s="147"/>
      <c r="E167" s="147"/>
      <c r="F167" s="157"/>
      <c r="G167" s="147"/>
      <c r="H167" s="157"/>
      <c r="I167" s="175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V167" s="185" t="s">
        <v>224</v>
      </c>
      <c r="W167" s="186"/>
      <c r="X167" s="186"/>
      <c r="Y167" s="186"/>
      <c r="Z167" s="186"/>
      <c r="AA167" s="186"/>
      <c r="AB167" s="187"/>
      <c r="AC167" s="188"/>
      <c r="AD167" s="344" t="s">
        <v>533</v>
      </c>
      <c r="AE167" s="345"/>
      <c r="AF167" s="345"/>
      <c r="AG167" s="181" t="s">
        <v>75</v>
      </c>
      <c r="AH167" s="346" t="s">
        <v>305</v>
      </c>
      <c r="AI167" s="346"/>
      <c r="AJ167" s="349"/>
      <c r="AK167" s="180"/>
      <c r="AL167" s="181"/>
      <c r="AM167" s="182"/>
      <c r="AN167" s="181"/>
      <c r="AO167" s="183"/>
      <c r="AP167" s="181"/>
      <c r="AQ167" s="184"/>
      <c r="AR167" s="180"/>
      <c r="AS167" s="181"/>
      <c r="AT167" s="182"/>
      <c r="AU167" s="181"/>
      <c r="AV167" s="183"/>
      <c r="AW167" s="181"/>
      <c r="AX167" s="184"/>
      <c r="AY167" s="180"/>
      <c r="AZ167" s="181"/>
      <c r="BA167" s="182"/>
      <c r="BB167" s="181"/>
      <c r="BC167" s="183"/>
      <c r="BD167" s="181"/>
      <c r="BE167" s="184"/>
      <c r="BF167" s="180"/>
      <c r="BG167" s="181"/>
      <c r="BH167" s="182"/>
      <c r="BI167" s="181"/>
      <c r="BJ167" s="183"/>
      <c r="BK167" s="181"/>
      <c r="BL167" s="184"/>
      <c r="BM167" s="180"/>
      <c r="BN167" s="181"/>
      <c r="BO167" s="182"/>
      <c r="BP167" s="181"/>
      <c r="BQ167" s="183"/>
      <c r="BR167" s="181"/>
      <c r="BS167" s="184"/>
      <c r="BT167" s="180"/>
      <c r="BU167" s="181"/>
      <c r="BV167" s="182"/>
      <c r="BW167" s="181"/>
      <c r="BX167" s="183"/>
      <c r="BY167" s="181"/>
      <c r="BZ167" s="184"/>
      <c r="CA167" s="180"/>
      <c r="CB167" s="181"/>
      <c r="CC167" s="182"/>
      <c r="CD167" s="181"/>
      <c r="CE167" s="183"/>
      <c r="CF167" s="181"/>
      <c r="CG167" s="184"/>
      <c r="CH167" s="180"/>
      <c r="CI167" s="181"/>
      <c r="CJ167" s="182"/>
      <c r="CK167" s="181"/>
      <c r="CL167" s="183"/>
      <c r="CM167" s="181"/>
      <c r="CN167" s="184"/>
      <c r="CO167" s="180"/>
      <c r="CP167" s="181"/>
      <c r="CQ167" s="182"/>
      <c r="CR167" s="181"/>
      <c r="CS167" s="183"/>
      <c r="CT167" s="181"/>
      <c r="CU167" s="184"/>
      <c r="CV167" s="180"/>
      <c r="CW167" s="181"/>
      <c r="CX167" s="182"/>
      <c r="CY167" s="181"/>
      <c r="CZ167" s="183"/>
      <c r="DA167" s="181"/>
      <c r="DB167" s="184"/>
      <c r="DC167" s="180"/>
      <c r="DD167" s="181"/>
      <c r="DE167" s="182"/>
      <c r="DF167" s="181"/>
      <c r="DG167" s="183"/>
      <c r="DH167" s="181"/>
      <c r="DI167" s="184"/>
      <c r="DJ167" s="180"/>
      <c r="DK167" s="181"/>
      <c r="DL167" s="182"/>
      <c r="DM167" s="181"/>
      <c r="DN167" s="183"/>
      <c r="DO167" s="181"/>
      <c r="DP167" s="184"/>
      <c r="DQ167" s="180"/>
      <c r="DR167" s="181"/>
      <c r="DS167" s="182"/>
      <c r="DT167" s="181"/>
      <c r="DU167" s="183"/>
      <c r="DV167" s="181"/>
      <c r="DW167" s="184"/>
      <c r="DX167" s="180"/>
      <c r="DY167" s="181"/>
      <c r="DZ167" s="182"/>
      <c r="EA167" s="181"/>
      <c r="EB167" s="183"/>
      <c r="EC167" s="181"/>
      <c r="ED167" s="184"/>
      <c r="EE167" s="180"/>
      <c r="EF167" s="181"/>
      <c r="EG167" s="182"/>
      <c r="EH167" s="181"/>
      <c r="EI167" s="183"/>
      <c r="EJ167" s="181"/>
      <c r="EK167" s="184"/>
      <c r="EL167" s="180"/>
      <c r="EM167" s="181"/>
      <c r="EN167" s="182"/>
      <c r="EO167" s="181"/>
      <c r="EP167" s="183"/>
      <c r="EQ167" s="181"/>
      <c r="ER167" s="184"/>
      <c r="ES167" s="180"/>
      <c r="ET167" s="181"/>
      <c r="EU167" s="182"/>
      <c r="EV167" s="181"/>
      <c r="EW167" s="183"/>
      <c r="EX167" s="181"/>
      <c r="EY167" s="184"/>
      <c r="EZ167" s="180"/>
      <c r="FA167" s="181"/>
      <c r="FB167" s="182"/>
      <c r="FC167" s="181"/>
      <c r="FD167" s="183"/>
      <c r="FE167" s="181"/>
      <c r="FF167" s="184"/>
      <c r="FG167" s="180"/>
      <c r="FH167" s="181"/>
      <c r="FI167" s="182"/>
      <c r="FJ167" s="181"/>
      <c r="FK167" s="183"/>
      <c r="FL167" s="181"/>
      <c r="FM167" s="184"/>
      <c r="FN167" s="180"/>
      <c r="FO167" s="181"/>
      <c r="FP167" s="182"/>
      <c r="FQ167" s="181"/>
      <c r="FR167" s="183"/>
      <c r="FS167" s="181"/>
      <c r="FT167" s="184"/>
      <c r="FU167" s="180"/>
      <c r="FV167" s="181"/>
      <c r="FW167" s="182"/>
      <c r="FX167" s="181"/>
      <c r="FY167" s="183"/>
      <c r="FZ167" s="181"/>
      <c r="GA167" s="184"/>
      <c r="GB167" s="180"/>
      <c r="GC167" s="181"/>
      <c r="GD167" s="182"/>
      <c r="GE167" s="181"/>
      <c r="GF167" s="183"/>
      <c r="GG167" s="181"/>
      <c r="GH167" s="184"/>
      <c r="GI167" s="180"/>
      <c r="GJ167" s="181"/>
      <c r="GK167" s="182"/>
      <c r="GL167" s="181"/>
      <c r="GM167" s="183"/>
      <c r="GN167" s="181"/>
      <c r="GO167" s="184"/>
      <c r="GP167" s="180"/>
      <c r="GQ167" s="181"/>
      <c r="GR167" s="182"/>
      <c r="GS167" s="181"/>
      <c r="GT167" s="183"/>
      <c r="GU167" s="181"/>
      <c r="GV167" s="184"/>
      <c r="GW167" s="180"/>
      <c r="GX167" s="181"/>
      <c r="GY167" s="182"/>
      <c r="GZ167" s="181"/>
      <c r="HA167" s="183"/>
      <c r="HB167" s="181"/>
      <c r="HC167" s="184"/>
      <c r="HD167" s="180"/>
      <c r="HE167" s="181"/>
      <c r="HF167" s="182"/>
      <c r="HG167" s="181"/>
      <c r="HH167" s="183"/>
      <c r="HI167" s="181"/>
      <c r="HJ167" s="184"/>
      <c r="HK167" s="180"/>
      <c r="HL167" s="181"/>
      <c r="HM167" s="182"/>
      <c r="HN167" s="181"/>
      <c r="HO167" s="183"/>
      <c r="HP167" s="181"/>
      <c r="HQ167" s="184"/>
      <c r="HR167" s="344" t="s">
        <v>533</v>
      </c>
      <c r="HS167" s="345"/>
      <c r="HT167" s="345"/>
      <c r="HU167" s="181" t="s">
        <v>75</v>
      </c>
      <c r="HV167" s="376" t="s">
        <v>305</v>
      </c>
      <c r="HW167" s="376"/>
      <c r="HX167" s="377"/>
    </row>
    <row r="168" spans="2:232" outlineLevel="1" x14ac:dyDescent="0.25">
      <c r="B168" s="147"/>
      <c r="C168" s="147"/>
      <c r="D168" s="147"/>
      <c r="E168" s="147"/>
      <c r="F168" s="157"/>
      <c r="G168" s="147"/>
      <c r="H168" s="157"/>
      <c r="I168" s="175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V168" s="161" t="s">
        <v>199</v>
      </c>
      <c r="W168" s="12"/>
      <c r="X168" s="12"/>
      <c r="Y168" s="12"/>
      <c r="Z168" s="12"/>
      <c r="AA168" s="12"/>
      <c r="AB168" s="12"/>
      <c r="AC168" s="14"/>
      <c r="AD168" s="350" t="s">
        <v>22</v>
      </c>
      <c r="AE168" s="337"/>
      <c r="AF168" s="337"/>
      <c r="AG168" s="1" t="s">
        <v>57</v>
      </c>
      <c r="AH168" s="337" t="s">
        <v>218</v>
      </c>
      <c r="AI168" s="337"/>
      <c r="AJ168" s="338"/>
      <c r="AK168" s="350"/>
      <c r="AL168" s="337"/>
      <c r="AM168" s="337"/>
      <c r="AO168" s="337"/>
      <c r="AP168" s="337"/>
      <c r="AQ168" s="338"/>
      <c r="AR168" s="350"/>
      <c r="AS168" s="337"/>
      <c r="AT168" s="337"/>
      <c r="AV168" s="337"/>
      <c r="AW168" s="337"/>
      <c r="AX168" s="338"/>
      <c r="AY168" s="350"/>
      <c r="AZ168" s="337"/>
      <c r="BA168" s="337"/>
      <c r="BC168" s="337"/>
      <c r="BD168" s="337"/>
      <c r="BE168" s="338"/>
      <c r="BF168" s="350"/>
      <c r="BG168" s="337"/>
      <c r="BH168" s="337"/>
      <c r="BJ168" s="337"/>
      <c r="BK168" s="337"/>
      <c r="BL168" s="338"/>
      <c r="BM168" s="350"/>
      <c r="BN168" s="337"/>
      <c r="BO168" s="337"/>
      <c r="BQ168" s="337"/>
      <c r="BR168" s="337"/>
      <c r="BS168" s="338"/>
      <c r="BT168" s="350"/>
      <c r="BU168" s="337"/>
      <c r="BV168" s="337"/>
      <c r="BX168" s="337"/>
      <c r="BY168" s="337"/>
      <c r="BZ168" s="338"/>
      <c r="CA168" s="350"/>
      <c r="CB168" s="337"/>
      <c r="CC168" s="337"/>
      <c r="CE168" s="337"/>
      <c r="CF168" s="337"/>
      <c r="CG168" s="338"/>
      <c r="CH168" s="350"/>
      <c r="CI168" s="337"/>
      <c r="CJ168" s="337"/>
      <c r="CL168" s="337"/>
      <c r="CM168" s="337"/>
      <c r="CN168" s="338"/>
      <c r="CO168" s="350"/>
      <c r="CP168" s="337"/>
      <c r="CQ168" s="337"/>
      <c r="CS168" s="337"/>
      <c r="CT168" s="337"/>
      <c r="CU168" s="338"/>
      <c r="CV168" s="350"/>
      <c r="CW168" s="337"/>
      <c r="CX168" s="337"/>
      <c r="CZ168" s="337"/>
      <c r="DA168" s="337"/>
      <c r="DB168" s="338"/>
      <c r="DC168" s="350"/>
      <c r="DD168" s="337"/>
      <c r="DE168" s="337"/>
      <c r="DG168" s="337"/>
      <c r="DH168" s="337"/>
      <c r="DI168" s="338"/>
      <c r="DJ168" s="350"/>
      <c r="DK168" s="337"/>
      <c r="DL168" s="337"/>
      <c r="DN168" s="337"/>
      <c r="DO168" s="337"/>
      <c r="DP168" s="338"/>
      <c r="DQ168" s="350"/>
      <c r="DR168" s="337"/>
      <c r="DS168" s="337"/>
      <c r="DU168" s="337"/>
      <c r="DV168" s="337"/>
      <c r="DW168" s="338"/>
      <c r="DX168" s="350"/>
      <c r="DY168" s="337"/>
      <c r="DZ168" s="337"/>
      <c r="EB168" s="337"/>
      <c r="EC168" s="337"/>
      <c r="ED168" s="338"/>
      <c r="EE168" s="350"/>
      <c r="EF168" s="337"/>
      <c r="EG168" s="337"/>
      <c r="EI168" s="337"/>
      <c r="EJ168" s="337"/>
      <c r="EK168" s="338"/>
      <c r="EL168" s="350"/>
      <c r="EM168" s="337"/>
      <c r="EN168" s="337"/>
      <c r="EP168" s="337"/>
      <c r="EQ168" s="337"/>
      <c r="ER168" s="338"/>
      <c r="ES168" s="350"/>
      <c r="ET168" s="337"/>
      <c r="EU168" s="337"/>
      <c r="EW168" s="337"/>
      <c r="EX168" s="337"/>
      <c r="EY168" s="338"/>
      <c r="EZ168" s="350"/>
      <c r="FA168" s="337"/>
      <c r="FB168" s="337"/>
      <c r="FD168" s="337"/>
      <c r="FE168" s="337"/>
      <c r="FF168" s="338"/>
      <c r="FG168" s="350"/>
      <c r="FH168" s="337"/>
      <c r="FI168" s="337"/>
      <c r="FK168" s="337"/>
      <c r="FL168" s="337"/>
      <c r="FM168" s="338"/>
      <c r="FN168" s="350"/>
      <c r="FO168" s="337"/>
      <c r="FP168" s="337"/>
      <c r="FR168" s="337"/>
      <c r="FS168" s="337"/>
      <c r="FT168" s="338"/>
      <c r="FU168" s="350"/>
      <c r="FV168" s="337"/>
      <c r="FW168" s="337"/>
      <c r="FY168" s="337"/>
      <c r="FZ168" s="337"/>
      <c r="GA168" s="338"/>
      <c r="GB168" s="350"/>
      <c r="GC168" s="337"/>
      <c r="GD168" s="337"/>
      <c r="GF168" s="337"/>
      <c r="GG168" s="337"/>
      <c r="GH168" s="338"/>
      <c r="GI168" s="350"/>
      <c r="GJ168" s="337"/>
      <c r="GK168" s="337"/>
      <c r="GM168" s="337"/>
      <c r="GN168" s="337"/>
      <c r="GO168" s="338"/>
      <c r="GP168" s="350"/>
      <c r="GQ168" s="337"/>
      <c r="GR168" s="337"/>
      <c r="GT168" s="337"/>
      <c r="GU168" s="337"/>
      <c r="GV168" s="338"/>
      <c r="GW168" s="350"/>
      <c r="GX168" s="337"/>
      <c r="GY168" s="337"/>
      <c r="HA168" s="337"/>
      <c r="HB168" s="337"/>
      <c r="HC168" s="338"/>
      <c r="HD168" s="350"/>
      <c r="HE168" s="337"/>
      <c r="HF168" s="337"/>
      <c r="HH168" s="337"/>
      <c r="HI168" s="337"/>
      <c r="HJ168" s="338"/>
      <c r="HK168" s="350"/>
      <c r="HL168" s="337"/>
      <c r="HM168" s="337"/>
      <c r="HO168" s="337"/>
      <c r="HP168" s="337"/>
      <c r="HQ168" s="338"/>
      <c r="HR168" s="350" t="s">
        <v>218</v>
      </c>
      <c r="HS168" s="337"/>
      <c r="HT168" s="337"/>
      <c r="HU168" s="191"/>
      <c r="HV168" s="337"/>
      <c r="HW168" s="337"/>
      <c r="HX168" s="338"/>
    </row>
    <row r="169" spans="2:232" outlineLevel="1" x14ac:dyDescent="0.25">
      <c r="B169" s="147"/>
      <c r="C169" s="147"/>
      <c r="D169" s="147"/>
      <c r="E169" s="147"/>
      <c r="F169" s="157"/>
      <c r="G169" s="147"/>
      <c r="H169" s="157"/>
      <c r="I169" s="175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V169" s="161" t="s">
        <v>200</v>
      </c>
      <c r="W169" s="12"/>
      <c r="X169" s="12"/>
      <c r="Y169" s="12"/>
      <c r="Z169" s="12"/>
      <c r="AA169" s="12"/>
      <c r="AB169" s="12"/>
      <c r="AC169" s="14"/>
      <c r="AD169" s="352" t="s">
        <v>22</v>
      </c>
      <c r="AE169" s="353"/>
      <c r="AF169" s="353"/>
      <c r="AG169" s="1" t="s">
        <v>57</v>
      </c>
      <c r="AH169" s="353" t="s">
        <v>219</v>
      </c>
      <c r="AI169" s="353"/>
      <c r="AJ169" s="355"/>
      <c r="AK169" s="352"/>
      <c r="AL169" s="353"/>
      <c r="AM169" s="353"/>
      <c r="AO169" s="353"/>
      <c r="AP169" s="353"/>
      <c r="AQ169" s="355"/>
      <c r="AR169" s="352"/>
      <c r="AS169" s="353"/>
      <c r="AT169" s="353"/>
      <c r="AV169" s="353"/>
      <c r="AW169" s="353"/>
      <c r="AX169" s="355"/>
      <c r="AY169" s="352"/>
      <c r="AZ169" s="353"/>
      <c r="BA169" s="353"/>
      <c r="BC169" s="353"/>
      <c r="BD169" s="353"/>
      <c r="BE169" s="355"/>
      <c r="BF169" s="352"/>
      <c r="BG169" s="353"/>
      <c r="BH169" s="353"/>
      <c r="BJ169" s="353"/>
      <c r="BK169" s="353"/>
      <c r="BL169" s="355"/>
      <c r="BM169" s="352"/>
      <c r="BN169" s="353"/>
      <c r="BO169" s="353"/>
      <c r="BQ169" s="353"/>
      <c r="BR169" s="353"/>
      <c r="BS169" s="355"/>
      <c r="BT169" s="352"/>
      <c r="BU169" s="353"/>
      <c r="BV169" s="353"/>
      <c r="BX169" s="353"/>
      <c r="BY169" s="353"/>
      <c r="BZ169" s="355"/>
      <c r="CA169" s="352"/>
      <c r="CB169" s="353"/>
      <c r="CC169" s="353"/>
      <c r="CE169" s="353"/>
      <c r="CF169" s="353"/>
      <c r="CG169" s="355"/>
      <c r="CH169" s="352"/>
      <c r="CI169" s="353"/>
      <c r="CJ169" s="353"/>
      <c r="CL169" s="353"/>
      <c r="CM169" s="353"/>
      <c r="CN169" s="355"/>
      <c r="CO169" s="352"/>
      <c r="CP169" s="353"/>
      <c r="CQ169" s="353"/>
      <c r="CS169" s="353"/>
      <c r="CT169" s="353"/>
      <c r="CU169" s="355"/>
      <c r="CV169" s="352"/>
      <c r="CW169" s="353"/>
      <c r="CX169" s="353"/>
      <c r="CZ169" s="353"/>
      <c r="DA169" s="353"/>
      <c r="DB169" s="355"/>
      <c r="DC169" s="352"/>
      <c r="DD169" s="353"/>
      <c r="DE169" s="353"/>
      <c r="DG169" s="353"/>
      <c r="DH169" s="353"/>
      <c r="DI169" s="355"/>
      <c r="DJ169" s="352"/>
      <c r="DK169" s="353"/>
      <c r="DL169" s="353"/>
      <c r="DN169" s="353"/>
      <c r="DO169" s="353"/>
      <c r="DP169" s="355"/>
      <c r="DQ169" s="352"/>
      <c r="DR169" s="353"/>
      <c r="DS169" s="353"/>
      <c r="DU169" s="353"/>
      <c r="DV169" s="353"/>
      <c r="DW169" s="355"/>
      <c r="DX169" s="352"/>
      <c r="DY169" s="353"/>
      <c r="DZ169" s="353"/>
      <c r="EB169" s="353"/>
      <c r="EC169" s="353"/>
      <c r="ED169" s="355"/>
      <c r="EE169" s="352"/>
      <c r="EF169" s="353"/>
      <c r="EG169" s="353"/>
      <c r="EI169" s="353"/>
      <c r="EJ169" s="353"/>
      <c r="EK169" s="355"/>
      <c r="EL169" s="352"/>
      <c r="EM169" s="353"/>
      <c r="EN169" s="353"/>
      <c r="EP169" s="353"/>
      <c r="EQ169" s="353"/>
      <c r="ER169" s="355"/>
      <c r="ES169" s="352"/>
      <c r="ET169" s="353"/>
      <c r="EU169" s="353"/>
      <c r="EW169" s="353"/>
      <c r="EX169" s="353"/>
      <c r="EY169" s="355"/>
      <c r="EZ169" s="352"/>
      <c r="FA169" s="353"/>
      <c r="FB169" s="353"/>
      <c r="FD169" s="353"/>
      <c r="FE169" s="353"/>
      <c r="FF169" s="355"/>
      <c r="FG169" s="352"/>
      <c r="FH169" s="353"/>
      <c r="FI169" s="353"/>
      <c r="FK169" s="353"/>
      <c r="FL169" s="353"/>
      <c r="FM169" s="355"/>
      <c r="FN169" s="352"/>
      <c r="FO169" s="353"/>
      <c r="FP169" s="353"/>
      <c r="FR169" s="353"/>
      <c r="FS169" s="353"/>
      <c r="FT169" s="355"/>
      <c r="FU169" s="352"/>
      <c r="FV169" s="353"/>
      <c r="FW169" s="353"/>
      <c r="FY169" s="353"/>
      <c r="FZ169" s="353"/>
      <c r="GA169" s="355"/>
      <c r="GB169" s="352"/>
      <c r="GC169" s="353"/>
      <c r="GD169" s="353"/>
      <c r="GF169" s="353"/>
      <c r="GG169" s="353"/>
      <c r="GH169" s="355"/>
      <c r="GI169" s="352"/>
      <c r="GJ169" s="353"/>
      <c r="GK169" s="353"/>
      <c r="GM169" s="353"/>
      <c r="GN169" s="353"/>
      <c r="GO169" s="355"/>
      <c r="GP169" s="352"/>
      <c r="GQ169" s="353"/>
      <c r="GR169" s="353"/>
      <c r="GT169" s="353"/>
      <c r="GU169" s="353"/>
      <c r="GV169" s="355"/>
      <c r="GW169" s="352"/>
      <c r="GX169" s="353"/>
      <c r="GY169" s="353"/>
      <c r="HA169" s="353"/>
      <c r="HB169" s="353"/>
      <c r="HC169" s="355"/>
      <c r="HD169" s="352"/>
      <c r="HE169" s="353"/>
      <c r="HF169" s="353"/>
      <c r="HH169" s="353"/>
      <c r="HI169" s="353"/>
      <c r="HJ169" s="355"/>
      <c r="HK169" s="352"/>
      <c r="HL169" s="353"/>
      <c r="HM169" s="353"/>
      <c r="HO169" s="353"/>
      <c r="HP169" s="353"/>
      <c r="HQ169" s="355"/>
      <c r="HR169" s="352" t="s">
        <v>219</v>
      </c>
      <c r="HS169" s="353"/>
      <c r="HT169" s="353"/>
      <c r="HV169" s="353"/>
      <c r="HW169" s="353"/>
      <c r="HX169" s="355"/>
    </row>
    <row r="170" spans="2:232" outlineLevel="1" x14ac:dyDescent="0.25">
      <c r="B170" s="147"/>
      <c r="C170" s="147"/>
      <c r="D170" s="147"/>
      <c r="E170" s="147"/>
      <c r="F170" s="157"/>
      <c r="G170" s="147"/>
      <c r="H170" s="157"/>
      <c r="I170" s="175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V170" s="162"/>
      <c r="W170" s="159"/>
      <c r="X170" s="159"/>
      <c r="Y170" s="159"/>
      <c r="Z170" s="159"/>
      <c r="AA170" s="159"/>
      <c r="AB170" s="159"/>
      <c r="AC170" s="160"/>
      <c r="AD170" s="361"/>
      <c r="AE170" s="356"/>
      <c r="AF170" s="356"/>
      <c r="AG170" s="163"/>
      <c r="AH170" s="356"/>
      <c r="AI170" s="356"/>
      <c r="AJ170" s="357"/>
      <c r="AK170" s="361"/>
      <c r="AL170" s="356"/>
      <c r="AM170" s="356"/>
      <c r="AN170" s="163"/>
      <c r="AO170" s="356"/>
      <c r="AP170" s="356"/>
      <c r="AQ170" s="357"/>
      <c r="AR170" s="361"/>
      <c r="AS170" s="356"/>
      <c r="AT170" s="356"/>
      <c r="AU170" s="163"/>
      <c r="AV170" s="356"/>
      <c r="AW170" s="356"/>
      <c r="AX170" s="357"/>
      <c r="AY170" s="361"/>
      <c r="AZ170" s="356"/>
      <c r="BA170" s="356"/>
      <c r="BB170" s="163"/>
      <c r="BC170" s="356"/>
      <c r="BD170" s="356"/>
      <c r="BE170" s="357"/>
      <c r="BF170" s="361"/>
      <c r="BG170" s="356"/>
      <c r="BH170" s="356"/>
      <c r="BI170" s="163"/>
      <c r="BJ170" s="356"/>
      <c r="BK170" s="356"/>
      <c r="BL170" s="357"/>
      <c r="BM170" s="361"/>
      <c r="BN170" s="356"/>
      <c r="BO170" s="356"/>
      <c r="BP170" s="163"/>
      <c r="BQ170" s="356"/>
      <c r="BR170" s="356"/>
      <c r="BS170" s="357"/>
      <c r="BT170" s="361"/>
      <c r="BU170" s="356"/>
      <c r="BV170" s="356"/>
      <c r="BW170" s="163"/>
      <c r="BX170" s="356"/>
      <c r="BY170" s="356"/>
      <c r="BZ170" s="357"/>
      <c r="CA170" s="361"/>
      <c r="CB170" s="356"/>
      <c r="CC170" s="356"/>
      <c r="CD170" s="163"/>
      <c r="CE170" s="356"/>
      <c r="CF170" s="356"/>
      <c r="CG170" s="357"/>
      <c r="CH170" s="361"/>
      <c r="CI170" s="356"/>
      <c r="CJ170" s="356"/>
      <c r="CK170" s="163"/>
      <c r="CL170" s="356"/>
      <c r="CM170" s="356"/>
      <c r="CN170" s="357"/>
      <c r="CO170" s="361"/>
      <c r="CP170" s="356"/>
      <c r="CQ170" s="356"/>
      <c r="CR170" s="163"/>
      <c r="CS170" s="356"/>
      <c r="CT170" s="356"/>
      <c r="CU170" s="357"/>
      <c r="CV170" s="361"/>
      <c r="CW170" s="356"/>
      <c r="CX170" s="356"/>
      <c r="CY170" s="163"/>
      <c r="CZ170" s="356"/>
      <c r="DA170" s="356"/>
      <c r="DB170" s="357"/>
      <c r="DC170" s="361"/>
      <c r="DD170" s="356"/>
      <c r="DE170" s="356"/>
      <c r="DF170" s="163"/>
      <c r="DG170" s="356"/>
      <c r="DH170" s="356"/>
      <c r="DI170" s="357"/>
      <c r="DJ170" s="361"/>
      <c r="DK170" s="356"/>
      <c r="DL170" s="356"/>
      <c r="DM170" s="163"/>
      <c r="DN170" s="356"/>
      <c r="DO170" s="356"/>
      <c r="DP170" s="357"/>
      <c r="DQ170" s="361"/>
      <c r="DR170" s="356"/>
      <c r="DS170" s="356"/>
      <c r="DT170" s="163"/>
      <c r="DU170" s="356"/>
      <c r="DV170" s="356"/>
      <c r="DW170" s="357"/>
      <c r="DX170" s="361"/>
      <c r="DY170" s="356"/>
      <c r="DZ170" s="356"/>
      <c r="EA170" s="163"/>
      <c r="EB170" s="356"/>
      <c r="EC170" s="356"/>
      <c r="ED170" s="357"/>
      <c r="EE170" s="361"/>
      <c r="EF170" s="356"/>
      <c r="EG170" s="356"/>
      <c r="EH170" s="163"/>
      <c r="EI170" s="356"/>
      <c r="EJ170" s="356"/>
      <c r="EK170" s="357"/>
      <c r="EL170" s="361"/>
      <c r="EM170" s="356"/>
      <c r="EN170" s="356"/>
      <c r="EO170" s="163"/>
      <c r="EP170" s="356"/>
      <c r="EQ170" s="356"/>
      <c r="ER170" s="357"/>
      <c r="ES170" s="361"/>
      <c r="ET170" s="356"/>
      <c r="EU170" s="356"/>
      <c r="EV170" s="163"/>
      <c r="EW170" s="356"/>
      <c r="EX170" s="356"/>
      <c r="EY170" s="357"/>
      <c r="EZ170" s="361"/>
      <c r="FA170" s="356"/>
      <c r="FB170" s="356"/>
      <c r="FC170" s="163"/>
      <c r="FD170" s="356"/>
      <c r="FE170" s="356"/>
      <c r="FF170" s="357"/>
      <c r="FG170" s="361"/>
      <c r="FH170" s="356"/>
      <c r="FI170" s="356"/>
      <c r="FJ170" s="163"/>
      <c r="FK170" s="356"/>
      <c r="FL170" s="356"/>
      <c r="FM170" s="357"/>
      <c r="FN170" s="361"/>
      <c r="FO170" s="356"/>
      <c r="FP170" s="356"/>
      <c r="FQ170" s="163"/>
      <c r="FR170" s="356"/>
      <c r="FS170" s="356"/>
      <c r="FT170" s="357"/>
      <c r="FU170" s="361"/>
      <c r="FV170" s="356"/>
      <c r="FW170" s="356"/>
      <c r="FX170" s="163"/>
      <c r="FY170" s="356"/>
      <c r="FZ170" s="356"/>
      <c r="GA170" s="357"/>
      <c r="GB170" s="361"/>
      <c r="GC170" s="356"/>
      <c r="GD170" s="356"/>
      <c r="GE170" s="163"/>
      <c r="GF170" s="356"/>
      <c r="GG170" s="356"/>
      <c r="GH170" s="357"/>
      <c r="GI170" s="361"/>
      <c r="GJ170" s="356"/>
      <c r="GK170" s="356"/>
      <c r="GL170" s="163"/>
      <c r="GM170" s="356"/>
      <c r="GN170" s="356"/>
      <c r="GO170" s="357"/>
      <c r="GP170" s="361"/>
      <c r="GQ170" s="356"/>
      <c r="GR170" s="356"/>
      <c r="GS170" s="163"/>
      <c r="GT170" s="356"/>
      <c r="GU170" s="356"/>
      <c r="GV170" s="357"/>
      <c r="GW170" s="361"/>
      <c r="GX170" s="356"/>
      <c r="GY170" s="356"/>
      <c r="GZ170" s="163"/>
      <c r="HA170" s="356"/>
      <c r="HB170" s="356"/>
      <c r="HC170" s="357"/>
      <c r="HD170" s="361"/>
      <c r="HE170" s="356"/>
      <c r="HF170" s="356"/>
      <c r="HG170" s="163"/>
      <c r="HH170" s="356"/>
      <c r="HI170" s="356"/>
      <c r="HJ170" s="357"/>
      <c r="HK170" s="361"/>
      <c r="HL170" s="356"/>
      <c r="HM170" s="356"/>
      <c r="HN170" s="163"/>
      <c r="HO170" s="356"/>
      <c r="HP170" s="356"/>
      <c r="HQ170" s="357"/>
      <c r="HR170" s="361"/>
      <c r="HS170" s="356"/>
      <c r="HT170" s="356"/>
      <c r="HU170" s="163"/>
      <c r="HV170" s="356"/>
      <c r="HW170" s="356"/>
      <c r="HX170" s="357"/>
    </row>
    <row r="171" spans="2:232" outlineLevel="1" x14ac:dyDescent="0.25">
      <c r="B171" s="32"/>
      <c r="C171" s="333">
        <f>MAX(C164:C165)+1</f>
        <v>22</v>
      </c>
      <c r="D171" s="164" t="s">
        <v>21</v>
      </c>
      <c r="E171" s="34"/>
      <c r="F171" s="165" t="s">
        <v>529</v>
      </c>
      <c r="G171" s="165" t="s">
        <v>529</v>
      </c>
      <c r="H171" s="259" t="s">
        <v>98</v>
      </c>
      <c r="I171" s="176" t="s">
        <v>198</v>
      </c>
      <c r="J171" s="165" t="s">
        <v>171</v>
      </c>
      <c r="K171" s="165">
        <v>2031</v>
      </c>
      <c r="L171" s="165">
        <v>5</v>
      </c>
      <c r="M171" s="165"/>
      <c r="N171" s="165"/>
      <c r="O171" s="165"/>
      <c r="P171" s="165"/>
      <c r="Q171" s="165"/>
      <c r="R171" s="165"/>
      <c r="S171" s="165"/>
      <c r="T171" s="165"/>
      <c r="V171" s="11" t="s">
        <v>283</v>
      </c>
      <c r="W171" s="12"/>
      <c r="X171" s="12"/>
      <c r="Y171" s="12"/>
      <c r="Z171" s="12"/>
      <c r="AA171" s="12"/>
      <c r="AB171" s="12"/>
      <c r="AC171" s="14"/>
      <c r="AD171" s="166">
        <f>$C171</f>
        <v>22</v>
      </c>
      <c r="AE171" s="358" t="s">
        <v>175</v>
      </c>
      <c r="AF171" s="358"/>
      <c r="AG171" s="358"/>
      <c r="AH171" s="158"/>
      <c r="AI171" s="337"/>
      <c r="AJ171" s="338"/>
      <c r="AK171" s="166"/>
      <c r="AL171" s="358"/>
      <c r="AM171" s="358"/>
      <c r="AN171" s="358"/>
      <c r="AO171" s="32"/>
      <c r="AP171" s="337"/>
      <c r="AQ171" s="338"/>
      <c r="AR171" s="166"/>
      <c r="AS171" s="358"/>
      <c r="AT171" s="358"/>
      <c r="AU171" s="358"/>
      <c r="AV171" s="32"/>
      <c r="AW171" s="337"/>
      <c r="AX171" s="338"/>
      <c r="AY171" s="166"/>
      <c r="AZ171" s="362"/>
      <c r="BA171" s="362"/>
      <c r="BB171" s="362"/>
      <c r="BC171" s="158"/>
      <c r="BD171" s="337"/>
      <c r="BE171" s="338"/>
      <c r="BF171" s="166"/>
      <c r="BG171" s="362"/>
      <c r="BH171" s="362"/>
      <c r="BI171" s="362"/>
      <c r="BJ171" s="158"/>
      <c r="BK171" s="337"/>
      <c r="BL171" s="338"/>
      <c r="BM171" s="166"/>
      <c r="BN171" s="362"/>
      <c r="BO171" s="362"/>
      <c r="BP171" s="362"/>
      <c r="BQ171" s="158"/>
      <c r="BR171" s="337"/>
      <c r="BS171" s="338"/>
      <c r="BT171" s="166"/>
      <c r="BU171" s="362"/>
      <c r="BV171" s="362"/>
      <c r="BW171" s="362"/>
      <c r="BX171" s="158"/>
      <c r="BY171" s="337"/>
      <c r="BZ171" s="338"/>
      <c r="CA171" s="166"/>
      <c r="CB171" s="362"/>
      <c r="CC171" s="362"/>
      <c r="CD171" s="362"/>
      <c r="CE171" s="158"/>
      <c r="CF171" s="337"/>
      <c r="CG171" s="338"/>
      <c r="CH171" s="166"/>
      <c r="CI171" s="362"/>
      <c r="CJ171" s="362"/>
      <c r="CK171" s="362"/>
      <c r="CL171" s="158"/>
      <c r="CM171" s="337"/>
      <c r="CN171" s="338"/>
      <c r="CO171" s="166"/>
      <c r="CP171" s="362"/>
      <c r="CQ171" s="362"/>
      <c r="CR171" s="362"/>
      <c r="CS171" s="158"/>
      <c r="CT171" s="337"/>
      <c r="CU171" s="338"/>
      <c r="CV171" s="166"/>
      <c r="CW171" s="362"/>
      <c r="CX171" s="362"/>
      <c r="CY171" s="362"/>
      <c r="CZ171" s="158"/>
      <c r="DA171" s="337"/>
      <c r="DB171" s="338"/>
      <c r="DC171" s="166"/>
      <c r="DD171" s="362"/>
      <c r="DE171" s="362"/>
      <c r="DF171" s="362"/>
      <c r="DG171" s="158"/>
      <c r="DH171" s="337"/>
      <c r="DI171" s="338"/>
      <c r="DJ171" s="166"/>
      <c r="DK171" s="362"/>
      <c r="DL171" s="362"/>
      <c r="DM171" s="362"/>
      <c r="DN171" s="158"/>
      <c r="DO171" s="337"/>
      <c r="DP171" s="338"/>
      <c r="DQ171" s="166"/>
      <c r="DR171" s="362"/>
      <c r="DS171" s="362"/>
      <c r="DT171" s="362"/>
      <c r="DU171" s="158"/>
      <c r="DV171" s="337"/>
      <c r="DW171" s="338"/>
      <c r="DX171" s="166"/>
      <c r="DY171" s="362"/>
      <c r="DZ171" s="362"/>
      <c r="EA171" s="362"/>
      <c r="EB171" s="158"/>
      <c r="EC171" s="337"/>
      <c r="ED171" s="338"/>
      <c r="EE171" s="166"/>
      <c r="EF171" s="362"/>
      <c r="EG171" s="362"/>
      <c r="EH171" s="362"/>
      <c r="EI171" s="158"/>
      <c r="EJ171" s="337"/>
      <c r="EK171" s="338"/>
      <c r="EL171" s="166"/>
      <c r="EM171" s="362"/>
      <c r="EN171" s="362"/>
      <c r="EO171" s="362"/>
      <c r="EP171" s="158"/>
      <c r="EQ171" s="337"/>
      <c r="ER171" s="338"/>
      <c r="ES171" s="166"/>
      <c r="ET171" s="362"/>
      <c r="EU171" s="362"/>
      <c r="EV171" s="362"/>
      <c r="EW171" s="158"/>
      <c r="EX171" s="337"/>
      <c r="EY171" s="338"/>
      <c r="EZ171" s="166"/>
      <c r="FA171" s="362"/>
      <c r="FB171" s="362"/>
      <c r="FC171" s="362"/>
      <c r="FD171" s="158"/>
      <c r="FE171" s="337"/>
      <c r="FF171" s="338"/>
      <c r="FG171" s="166"/>
      <c r="FH171" s="362"/>
      <c r="FI171" s="362"/>
      <c r="FJ171" s="362"/>
      <c r="FK171" s="158"/>
      <c r="FL171" s="337"/>
      <c r="FM171" s="338"/>
      <c r="FN171" s="166"/>
      <c r="FO171" s="362"/>
      <c r="FP171" s="362"/>
      <c r="FQ171" s="362"/>
      <c r="FR171" s="158"/>
      <c r="FS171" s="337"/>
      <c r="FT171" s="338"/>
      <c r="FU171" s="166"/>
      <c r="FV171" s="362"/>
      <c r="FW171" s="362"/>
      <c r="FX171" s="362"/>
      <c r="FY171" s="158"/>
      <c r="FZ171" s="337"/>
      <c r="GA171" s="338"/>
      <c r="GB171" s="166"/>
      <c r="GC171" s="362"/>
      <c r="GD171" s="362"/>
      <c r="GE171" s="362"/>
      <c r="GF171" s="158"/>
      <c r="GG171" s="337"/>
      <c r="GH171" s="338"/>
      <c r="GI171" s="166"/>
      <c r="GJ171" s="362"/>
      <c r="GK171" s="362"/>
      <c r="GL171" s="362"/>
      <c r="GM171" s="158"/>
      <c r="GN171" s="337"/>
      <c r="GO171" s="338"/>
      <c r="GP171" s="166"/>
      <c r="GQ171" s="362"/>
      <c r="GR171" s="362"/>
      <c r="GS171" s="362"/>
      <c r="GT171" s="158"/>
      <c r="GU171" s="337"/>
      <c r="GV171" s="338"/>
      <c r="GW171" s="166"/>
      <c r="GX171" s="362"/>
      <c r="GY171" s="362"/>
      <c r="GZ171" s="362"/>
      <c r="HA171" s="158"/>
      <c r="HB171" s="337"/>
      <c r="HC171" s="338"/>
      <c r="HD171" s="166"/>
      <c r="HE171" s="362"/>
      <c r="HF171" s="362"/>
      <c r="HG171" s="362"/>
      <c r="HH171" s="158"/>
      <c r="HI171" s="337"/>
      <c r="HJ171" s="338"/>
      <c r="HK171" s="166"/>
      <c r="HL171" s="362"/>
      <c r="HM171" s="362"/>
      <c r="HN171" s="362"/>
      <c r="HO171" s="158"/>
      <c r="HP171" s="337"/>
      <c r="HQ171" s="338"/>
      <c r="HR171" s="166">
        <f>$AD171</f>
        <v>22</v>
      </c>
      <c r="HS171" s="358" t="s">
        <v>175</v>
      </c>
      <c r="HT171" s="358"/>
      <c r="HU171" s="358"/>
      <c r="HV171" s="257"/>
      <c r="HW171" s="337"/>
      <c r="HX171" s="338"/>
    </row>
    <row r="172" spans="2:232" outlineLevel="1" x14ac:dyDescent="0.25">
      <c r="B172" s="32"/>
      <c r="C172" s="167"/>
      <c r="D172" s="167"/>
      <c r="E172" s="34"/>
      <c r="F172" s="168"/>
      <c r="G172" s="167"/>
      <c r="H172" s="55"/>
      <c r="I172" s="177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V172" s="107"/>
      <c r="W172" s="108"/>
      <c r="X172" s="108"/>
      <c r="Y172" s="108"/>
      <c r="Z172" s="108"/>
      <c r="AA172" s="108"/>
      <c r="AB172" s="108"/>
      <c r="AC172" s="109"/>
      <c r="AD172" s="169"/>
      <c r="AE172" s="365"/>
      <c r="AF172" s="365"/>
      <c r="AG172" s="365"/>
      <c r="AH172" s="30"/>
      <c r="AI172" s="340"/>
      <c r="AJ172" s="341"/>
      <c r="AK172" s="169"/>
      <c r="AL172" s="339"/>
      <c r="AM172" s="339"/>
      <c r="AN172" s="339"/>
      <c r="AO172" s="30"/>
      <c r="AP172" s="340"/>
      <c r="AQ172" s="341"/>
      <c r="AR172" s="169"/>
      <c r="AS172" s="339"/>
      <c r="AT172" s="339"/>
      <c r="AU172" s="339"/>
      <c r="AV172" s="30"/>
      <c r="AW172" s="340"/>
      <c r="AX172" s="341"/>
      <c r="AY172" s="169"/>
      <c r="AZ172" s="339"/>
      <c r="BA172" s="339"/>
      <c r="BB172" s="339"/>
      <c r="BC172" s="30"/>
      <c r="BD172" s="340"/>
      <c r="BE172" s="341"/>
      <c r="BF172" s="169"/>
      <c r="BG172" s="339"/>
      <c r="BH172" s="339"/>
      <c r="BI172" s="339"/>
      <c r="BJ172" s="30"/>
      <c r="BK172" s="340"/>
      <c r="BL172" s="341"/>
      <c r="BM172" s="169"/>
      <c r="BN172" s="339"/>
      <c r="BO172" s="339"/>
      <c r="BP172" s="339"/>
      <c r="BQ172" s="30"/>
      <c r="BR172" s="340"/>
      <c r="BS172" s="341"/>
      <c r="BT172" s="169"/>
      <c r="BU172" s="339"/>
      <c r="BV172" s="339"/>
      <c r="BW172" s="339"/>
      <c r="BX172" s="30"/>
      <c r="BY172" s="340"/>
      <c r="BZ172" s="341"/>
      <c r="CA172" s="169"/>
      <c r="CB172" s="339"/>
      <c r="CC172" s="339"/>
      <c r="CD172" s="339"/>
      <c r="CE172" s="30"/>
      <c r="CF172" s="340"/>
      <c r="CG172" s="341"/>
      <c r="CH172" s="169"/>
      <c r="CI172" s="339"/>
      <c r="CJ172" s="339"/>
      <c r="CK172" s="339"/>
      <c r="CL172" s="30"/>
      <c r="CM172" s="340"/>
      <c r="CN172" s="341"/>
      <c r="CO172" s="169"/>
      <c r="CP172" s="339"/>
      <c r="CQ172" s="339"/>
      <c r="CR172" s="339"/>
      <c r="CS172" s="30"/>
      <c r="CT172" s="340"/>
      <c r="CU172" s="341"/>
      <c r="CV172" s="169"/>
      <c r="CW172" s="339"/>
      <c r="CX172" s="339"/>
      <c r="CY172" s="339"/>
      <c r="CZ172" s="30"/>
      <c r="DA172" s="340"/>
      <c r="DB172" s="341"/>
      <c r="DC172" s="169"/>
      <c r="DD172" s="339"/>
      <c r="DE172" s="339"/>
      <c r="DF172" s="339"/>
      <c r="DG172" s="30"/>
      <c r="DH172" s="340"/>
      <c r="DI172" s="341"/>
      <c r="DJ172" s="169"/>
      <c r="DK172" s="339"/>
      <c r="DL172" s="339"/>
      <c r="DM172" s="339"/>
      <c r="DN172" s="30"/>
      <c r="DO172" s="340"/>
      <c r="DP172" s="341"/>
      <c r="DQ172" s="169"/>
      <c r="DR172" s="339"/>
      <c r="DS172" s="339"/>
      <c r="DT172" s="339"/>
      <c r="DU172" s="30"/>
      <c r="DV172" s="340"/>
      <c r="DW172" s="341"/>
      <c r="DX172" s="169"/>
      <c r="DY172" s="339"/>
      <c r="DZ172" s="339"/>
      <c r="EA172" s="339"/>
      <c r="EB172" s="30"/>
      <c r="EC172" s="340"/>
      <c r="ED172" s="341"/>
      <c r="EE172" s="169"/>
      <c r="EF172" s="339"/>
      <c r="EG172" s="339"/>
      <c r="EH172" s="339"/>
      <c r="EI172" s="30"/>
      <c r="EJ172" s="340"/>
      <c r="EK172" s="341"/>
      <c r="EL172" s="169"/>
      <c r="EM172" s="339"/>
      <c r="EN172" s="339"/>
      <c r="EO172" s="339"/>
      <c r="EP172" s="30"/>
      <c r="EQ172" s="340"/>
      <c r="ER172" s="341"/>
      <c r="ES172" s="169"/>
      <c r="ET172" s="339"/>
      <c r="EU172" s="339"/>
      <c r="EV172" s="339"/>
      <c r="EW172" s="30"/>
      <c r="EX172" s="340"/>
      <c r="EY172" s="341"/>
      <c r="EZ172" s="169"/>
      <c r="FA172" s="339"/>
      <c r="FB172" s="339"/>
      <c r="FC172" s="339"/>
      <c r="FD172" s="30"/>
      <c r="FE172" s="340"/>
      <c r="FF172" s="341"/>
      <c r="FG172" s="169"/>
      <c r="FH172" s="339"/>
      <c r="FI172" s="339"/>
      <c r="FJ172" s="339"/>
      <c r="FK172" s="30"/>
      <c r="FL172" s="340"/>
      <c r="FM172" s="341"/>
      <c r="FN172" s="169"/>
      <c r="FO172" s="339"/>
      <c r="FP172" s="339"/>
      <c r="FQ172" s="339"/>
      <c r="FR172" s="30"/>
      <c r="FS172" s="340"/>
      <c r="FT172" s="341"/>
      <c r="FU172" s="169"/>
      <c r="FV172" s="339"/>
      <c r="FW172" s="339"/>
      <c r="FX172" s="339"/>
      <c r="FY172" s="30"/>
      <c r="FZ172" s="340"/>
      <c r="GA172" s="341"/>
      <c r="GB172" s="169"/>
      <c r="GC172" s="339"/>
      <c r="GD172" s="339"/>
      <c r="GE172" s="339"/>
      <c r="GF172" s="30"/>
      <c r="GG172" s="340"/>
      <c r="GH172" s="341"/>
      <c r="GI172" s="169"/>
      <c r="GJ172" s="339"/>
      <c r="GK172" s="339"/>
      <c r="GL172" s="339"/>
      <c r="GM172" s="30"/>
      <c r="GN172" s="340"/>
      <c r="GO172" s="341"/>
      <c r="GP172" s="169"/>
      <c r="GQ172" s="339"/>
      <c r="GR172" s="339"/>
      <c r="GS172" s="339"/>
      <c r="GT172" s="30"/>
      <c r="GU172" s="340"/>
      <c r="GV172" s="341"/>
      <c r="GW172" s="169"/>
      <c r="GX172" s="339"/>
      <c r="GY172" s="339"/>
      <c r="GZ172" s="339"/>
      <c r="HA172" s="30"/>
      <c r="HB172" s="340"/>
      <c r="HC172" s="341"/>
      <c r="HD172" s="169"/>
      <c r="HE172" s="339"/>
      <c r="HF172" s="339"/>
      <c r="HG172" s="339"/>
      <c r="HH172" s="30"/>
      <c r="HI172" s="340"/>
      <c r="HJ172" s="341"/>
      <c r="HK172" s="169"/>
      <c r="HL172" s="339"/>
      <c r="HM172" s="339"/>
      <c r="HN172" s="339"/>
      <c r="HO172" s="30"/>
      <c r="HP172" s="340"/>
      <c r="HQ172" s="341"/>
      <c r="HR172" s="169"/>
      <c r="HS172" s="365"/>
      <c r="HT172" s="365"/>
      <c r="HU172" s="365"/>
      <c r="HV172" s="258"/>
      <c r="HW172" s="340"/>
      <c r="HX172" s="341"/>
    </row>
    <row r="173" spans="2:232" outlineLevel="1" x14ac:dyDescent="0.25">
      <c r="B173" s="147"/>
      <c r="C173" s="147"/>
      <c r="D173" s="147"/>
      <c r="E173" s="147"/>
      <c r="F173" s="157"/>
      <c r="G173" s="147"/>
      <c r="H173" s="157"/>
      <c r="I173" s="175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V173" s="150" t="s">
        <v>170</v>
      </c>
      <c r="W173" s="151"/>
      <c r="X173" s="151"/>
      <c r="Y173" s="151"/>
      <c r="Z173" s="151"/>
      <c r="AA173" s="151"/>
      <c r="AB173" s="369"/>
      <c r="AC173" s="370"/>
      <c r="AD173" s="342" t="s">
        <v>217</v>
      </c>
      <c r="AE173" s="343"/>
      <c r="AF173" s="343"/>
      <c r="AG173" s="343"/>
      <c r="AH173" s="343"/>
      <c r="AI173" s="152"/>
      <c r="AJ173" s="155">
        <f>COUNTA(AD178:AD179)</f>
        <v>1</v>
      </c>
      <c r="AK173" s="156"/>
      <c r="AL173" s="152"/>
      <c r="AM173" s="153"/>
      <c r="AN173" s="152"/>
      <c r="AO173" s="154"/>
      <c r="AP173" s="152"/>
      <c r="AQ173" s="155">
        <f>COUNTA(AK178:AK179)</f>
        <v>0</v>
      </c>
      <c r="AR173" s="156"/>
      <c r="AS173" s="152"/>
      <c r="AT173" s="153"/>
      <c r="AU173" s="152"/>
      <c r="AV173" s="154"/>
      <c r="AW173" s="152"/>
      <c r="AX173" s="155">
        <f>COUNTA(AR178:AR179)</f>
        <v>0</v>
      </c>
      <c r="AY173" s="156"/>
      <c r="AZ173" s="152"/>
      <c r="BA173" s="153"/>
      <c r="BB173" s="152"/>
      <c r="BC173" s="154"/>
      <c r="BD173" s="152"/>
      <c r="BE173" s="155">
        <f>COUNTA(AY178:AY179)</f>
        <v>0</v>
      </c>
      <c r="BF173" s="156"/>
      <c r="BG173" s="152"/>
      <c r="BH173" s="153"/>
      <c r="BI173" s="152"/>
      <c r="BJ173" s="154"/>
      <c r="BK173" s="152"/>
      <c r="BL173" s="155">
        <f>COUNTA(BF178:BF179)</f>
        <v>0</v>
      </c>
      <c r="BM173" s="156"/>
      <c r="BN173" s="152"/>
      <c r="BO173" s="153"/>
      <c r="BP173" s="152"/>
      <c r="BQ173" s="154"/>
      <c r="BR173" s="152"/>
      <c r="BS173" s="155">
        <f>COUNTA(BM178:BM179)</f>
        <v>0</v>
      </c>
      <c r="BT173" s="156"/>
      <c r="BU173" s="152"/>
      <c r="BV173" s="153"/>
      <c r="BW173" s="152"/>
      <c r="BX173" s="154"/>
      <c r="BY173" s="152"/>
      <c r="BZ173" s="155">
        <f>COUNTA(BT178:BT179)</f>
        <v>0</v>
      </c>
      <c r="CA173" s="156"/>
      <c r="CB173" s="152"/>
      <c r="CC173" s="153"/>
      <c r="CD173" s="152"/>
      <c r="CE173" s="154"/>
      <c r="CF173" s="152"/>
      <c r="CG173" s="155">
        <f>COUNTA(CA178:CA179)</f>
        <v>0</v>
      </c>
      <c r="CH173" s="156"/>
      <c r="CI173" s="152"/>
      <c r="CJ173" s="153"/>
      <c r="CK173" s="152"/>
      <c r="CL173" s="154"/>
      <c r="CM173" s="152"/>
      <c r="CN173" s="155">
        <f>COUNTA(CH178:CH179)</f>
        <v>0</v>
      </c>
      <c r="CO173" s="156"/>
      <c r="CP173" s="152"/>
      <c r="CQ173" s="153"/>
      <c r="CR173" s="152"/>
      <c r="CS173" s="154"/>
      <c r="CT173" s="152"/>
      <c r="CU173" s="155">
        <f>COUNTA(CO178:CO179)</f>
        <v>0</v>
      </c>
      <c r="CV173" s="156"/>
      <c r="CW173" s="152"/>
      <c r="CX173" s="153"/>
      <c r="CY173" s="152"/>
      <c r="CZ173" s="154"/>
      <c r="DA173" s="152"/>
      <c r="DB173" s="155">
        <f>COUNTA(CV178:CV179)</f>
        <v>0</v>
      </c>
      <c r="DC173" s="156"/>
      <c r="DD173" s="152"/>
      <c r="DE173" s="153"/>
      <c r="DF173" s="152"/>
      <c r="DG173" s="154"/>
      <c r="DH173" s="152"/>
      <c r="DI173" s="155">
        <f>COUNTA(DC178:DC179)</f>
        <v>0</v>
      </c>
      <c r="DJ173" s="156"/>
      <c r="DK173" s="152"/>
      <c r="DL173" s="153"/>
      <c r="DM173" s="152"/>
      <c r="DN173" s="154"/>
      <c r="DO173" s="152"/>
      <c r="DP173" s="155">
        <f>COUNTA(DJ178:DJ179)</f>
        <v>0</v>
      </c>
      <c r="DQ173" s="156"/>
      <c r="DR173" s="152"/>
      <c r="DS173" s="153"/>
      <c r="DT173" s="152"/>
      <c r="DU173" s="154"/>
      <c r="DV173" s="152"/>
      <c r="DW173" s="155">
        <f>COUNTA(DQ178:DQ179)</f>
        <v>0</v>
      </c>
      <c r="DX173" s="156"/>
      <c r="DY173" s="152"/>
      <c r="DZ173" s="153"/>
      <c r="EA173" s="152"/>
      <c r="EB173" s="154"/>
      <c r="EC173" s="152"/>
      <c r="ED173" s="155">
        <f>COUNTA(DX178:DX179)</f>
        <v>0</v>
      </c>
      <c r="EE173" s="156"/>
      <c r="EF173" s="152"/>
      <c r="EG173" s="153"/>
      <c r="EH173" s="152"/>
      <c r="EI173" s="154"/>
      <c r="EJ173" s="152"/>
      <c r="EK173" s="155">
        <f>COUNTA(EE178:EE179)</f>
        <v>0</v>
      </c>
      <c r="EL173" s="156"/>
      <c r="EM173" s="152"/>
      <c r="EN173" s="153"/>
      <c r="EO173" s="152"/>
      <c r="EP173" s="154"/>
      <c r="EQ173" s="152"/>
      <c r="ER173" s="155">
        <f>COUNTA(EL178:EL179)</f>
        <v>0</v>
      </c>
      <c r="ES173" s="156"/>
      <c r="ET173" s="152"/>
      <c r="EU173" s="153"/>
      <c r="EV173" s="152"/>
      <c r="EW173" s="154"/>
      <c r="EX173" s="152"/>
      <c r="EY173" s="155">
        <f>COUNTA(ES178:ES179)</f>
        <v>0</v>
      </c>
      <c r="EZ173" s="156"/>
      <c r="FA173" s="152"/>
      <c r="FB173" s="153"/>
      <c r="FC173" s="152"/>
      <c r="FD173" s="154"/>
      <c r="FE173" s="152"/>
      <c r="FF173" s="155">
        <f>COUNTA(EZ178:EZ179)</f>
        <v>0</v>
      </c>
      <c r="FG173" s="156"/>
      <c r="FH173" s="152"/>
      <c r="FI173" s="153"/>
      <c r="FJ173" s="152"/>
      <c r="FK173" s="154"/>
      <c r="FL173" s="152"/>
      <c r="FM173" s="155">
        <f>COUNTA(FG178:FG179)</f>
        <v>0</v>
      </c>
      <c r="FN173" s="156"/>
      <c r="FO173" s="152"/>
      <c r="FP173" s="153"/>
      <c r="FQ173" s="152"/>
      <c r="FR173" s="154"/>
      <c r="FS173" s="152"/>
      <c r="FT173" s="155">
        <f>COUNTA(FN178:FN179)</f>
        <v>0</v>
      </c>
      <c r="FU173" s="156"/>
      <c r="FV173" s="152"/>
      <c r="FW173" s="153"/>
      <c r="FX173" s="152"/>
      <c r="FY173" s="154"/>
      <c r="FZ173" s="152"/>
      <c r="GA173" s="155">
        <f>COUNTA(FU178:FU179)</f>
        <v>0</v>
      </c>
      <c r="GB173" s="156"/>
      <c r="GC173" s="152"/>
      <c r="GD173" s="153"/>
      <c r="GE173" s="152"/>
      <c r="GF173" s="154"/>
      <c r="GG173" s="152"/>
      <c r="GH173" s="155">
        <f>COUNTA(GB178:GB179)</f>
        <v>0</v>
      </c>
      <c r="GI173" s="156"/>
      <c r="GJ173" s="152"/>
      <c r="GK173" s="153"/>
      <c r="GL173" s="152"/>
      <c r="GM173" s="154"/>
      <c r="GN173" s="152"/>
      <c r="GO173" s="155">
        <f>COUNTA(GI178:GI179)</f>
        <v>0</v>
      </c>
      <c r="GP173" s="156"/>
      <c r="GQ173" s="152"/>
      <c r="GR173" s="153"/>
      <c r="GS173" s="152"/>
      <c r="GT173" s="154"/>
      <c r="GU173" s="152"/>
      <c r="GV173" s="155">
        <f>COUNTA(GP178:GP179)</f>
        <v>0</v>
      </c>
      <c r="GW173" s="156"/>
      <c r="GX173" s="152"/>
      <c r="GY173" s="153"/>
      <c r="GZ173" s="152"/>
      <c r="HA173" s="154"/>
      <c r="HB173" s="152"/>
      <c r="HC173" s="155">
        <f>COUNTA(GW178:GW179)</f>
        <v>0</v>
      </c>
      <c r="HD173" s="156"/>
      <c r="HE173" s="152"/>
      <c r="HF173" s="153"/>
      <c r="HG173" s="152"/>
      <c r="HH173" s="154"/>
      <c r="HI173" s="152"/>
      <c r="HJ173" s="155">
        <f>COUNTA(HD178:HD179)</f>
        <v>0</v>
      </c>
      <c r="HK173" s="156"/>
      <c r="HL173" s="152"/>
      <c r="HM173" s="153"/>
      <c r="HN173" s="152"/>
      <c r="HO173" s="154"/>
      <c r="HP173" s="152"/>
      <c r="HQ173" s="155">
        <f>COUNTA(HK178:HK179)</f>
        <v>0</v>
      </c>
      <c r="HR173" s="342" t="s">
        <v>217</v>
      </c>
      <c r="HS173" s="343"/>
      <c r="HT173" s="343"/>
      <c r="HU173" s="343"/>
      <c r="HV173" s="343"/>
      <c r="HW173" s="152"/>
      <c r="HX173" s="155">
        <f>COUNTA(HR178:HR179)</f>
        <v>1</v>
      </c>
    </row>
    <row r="174" spans="2:232" ht="15" customHeight="1" outlineLevel="1" x14ac:dyDescent="0.25">
      <c r="B174" s="147"/>
      <c r="C174" s="147"/>
      <c r="D174" s="147"/>
      <c r="E174" s="147"/>
      <c r="F174" s="157"/>
      <c r="G174" s="147"/>
      <c r="H174" s="157"/>
      <c r="I174" s="175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V174" s="185" t="s">
        <v>224</v>
      </c>
      <c r="W174" s="186"/>
      <c r="X174" s="186"/>
      <c r="Y174" s="186"/>
      <c r="Z174" s="186"/>
      <c r="AA174" s="186"/>
      <c r="AB174" s="187"/>
      <c r="AC174" s="188"/>
      <c r="AD174" s="344" t="s">
        <v>533</v>
      </c>
      <c r="AE174" s="345"/>
      <c r="AF174" s="345"/>
      <c r="AG174" s="181" t="s">
        <v>75</v>
      </c>
      <c r="AH174" s="346" t="s">
        <v>306</v>
      </c>
      <c r="AI174" s="346"/>
      <c r="AJ174" s="349"/>
      <c r="AK174" s="180"/>
      <c r="AL174" s="181"/>
      <c r="AM174" s="182"/>
      <c r="AN174" s="181"/>
      <c r="AO174" s="183"/>
      <c r="AP174" s="181"/>
      <c r="AQ174" s="184"/>
      <c r="AR174" s="180"/>
      <c r="AS174" s="181"/>
      <c r="AT174" s="182"/>
      <c r="AU174" s="181"/>
      <c r="AV174" s="183"/>
      <c r="AW174" s="181"/>
      <c r="AX174" s="184"/>
      <c r="AY174" s="180"/>
      <c r="AZ174" s="181"/>
      <c r="BA174" s="182"/>
      <c r="BB174" s="181"/>
      <c r="BC174" s="183"/>
      <c r="BD174" s="181"/>
      <c r="BE174" s="184"/>
      <c r="BF174" s="180"/>
      <c r="BG174" s="181"/>
      <c r="BH174" s="182"/>
      <c r="BI174" s="181"/>
      <c r="BJ174" s="183"/>
      <c r="BK174" s="181"/>
      <c r="BL174" s="184"/>
      <c r="BM174" s="180"/>
      <c r="BN174" s="181"/>
      <c r="BO174" s="182"/>
      <c r="BP174" s="181"/>
      <c r="BQ174" s="183"/>
      <c r="BR174" s="181"/>
      <c r="BS174" s="184"/>
      <c r="BT174" s="180"/>
      <c r="BU174" s="181"/>
      <c r="BV174" s="182"/>
      <c r="BW174" s="181"/>
      <c r="BX174" s="183"/>
      <c r="BY174" s="181"/>
      <c r="BZ174" s="184"/>
      <c r="CA174" s="180"/>
      <c r="CB174" s="181"/>
      <c r="CC174" s="182"/>
      <c r="CD174" s="181"/>
      <c r="CE174" s="183"/>
      <c r="CF174" s="181"/>
      <c r="CG174" s="184"/>
      <c r="CH174" s="180"/>
      <c r="CI174" s="181"/>
      <c r="CJ174" s="182"/>
      <c r="CK174" s="181"/>
      <c r="CL174" s="183"/>
      <c r="CM174" s="181"/>
      <c r="CN174" s="184"/>
      <c r="CO174" s="180"/>
      <c r="CP174" s="181"/>
      <c r="CQ174" s="182"/>
      <c r="CR174" s="181"/>
      <c r="CS174" s="183"/>
      <c r="CT174" s="181"/>
      <c r="CU174" s="184"/>
      <c r="CV174" s="180"/>
      <c r="CW174" s="181"/>
      <c r="CX174" s="182"/>
      <c r="CY174" s="181"/>
      <c r="CZ174" s="183"/>
      <c r="DA174" s="181"/>
      <c r="DB174" s="184"/>
      <c r="DC174" s="180"/>
      <c r="DD174" s="181"/>
      <c r="DE174" s="182"/>
      <c r="DF174" s="181"/>
      <c r="DG174" s="183"/>
      <c r="DH174" s="181"/>
      <c r="DI174" s="184"/>
      <c r="DJ174" s="180"/>
      <c r="DK174" s="181"/>
      <c r="DL174" s="182"/>
      <c r="DM174" s="181"/>
      <c r="DN174" s="183"/>
      <c r="DO174" s="181"/>
      <c r="DP174" s="184"/>
      <c r="DQ174" s="180"/>
      <c r="DR174" s="181"/>
      <c r="DS174" s="182"/>
      <c r="DT174" s="181"/>
      <c r="DU174" s="183"/>
      <c r="DV174" s="181"/>
      <c r="DW174" s="184"/>
      <c r="DX174" s="180"/>
      <c r="DY174" s="181"/>
      <c r="DZ174" s="182"/>
      <c r="EA174" s="181"/>
      <c r="EB174" s="183"/>
      <c r="EC174" s="181"/>
      <c r="ED174" s="184"/>
      <c r="EE174" s="180"/>
      <c r="EF174" s="181"/>
      <c r="EG174" s="182"/>
      <c r="EH174" s="181"/>
      <c r="EI174" s="183"/>
      <c r="EJ174" s="181"/>
      <c r="EK174" s="184"/>
      <c r="EL174" s="180"/>
      <c r="EM174" s="181"/>
      <c r="EN174" s="182"/>
      <c r="EO174" s="181"/>
      <c r="EP174" s="183"/>
      <c r="EQ174" s="181"/>
      <c r="ER174" s="184"/>
      <c r="ES174" s="180"/>
      <c r="ET174" s="181"/>
      <c r="EU174" s="182"/>
      <c r="EV174" s="181"/>
      <c r="EW174" s="183"/>
      <c r="EX174" s="181"/>
      <c r="EY174" s="184"/>
      <c r="EZ174" s="180"/>
      <c r="FA174" s="181"/>
      <c r="FB174" s="182"/>
      <c r="FC174" s="181"/>
      <c r="FD174" s="183"/>
      <c r="FE174" s="181"/>
      <c r="FF174" s="184"/>
      <c r="FG174" s="180"/>
      <c r="FH174" s="181"/>
      <c r="FI174" s="182"/>
      <c r="FJ174" s="181"/>
      <c r="FK174" s="183"/>
      <c r="FL174" s="181"/>
      <c r="FM174" s="184"/>
      <c r="FN174" s="180"/>
      <c r="FO174" s="181"/>
      <c r="FP174" s="182"/>
      <c r="FQ174" s="181"/>
      <c r="FR174" s="183"/>
      <c r="FS174" s="181"/>
      <c r="FT174" s="184"/>
      <c r="FU174" s="180"/>
      <c r="FV174" s="181"/>
      <c r="FW174" s="182"/>
      <c r="FX174" s="181"/>
      <c r="FY174" s="183"/>
      <c r="FZ174" s="181"/>
      <c r="GA174" s="184"/>
      <c r="GB174" s="180"/>
      <c r="GC174" s="181"/>
      <c r="GD174" s="182"/>
      <c r="GE174" s="181"/>
      <c r="GF174" s="183"/>
      <c r="GG174" s="181"/>
      <c r="GH174" s="184"/>
      <c r="GI174" s="180"/>
      <c r="GJ174" s="181"/>
      <c r="GK174" s="182"/>
      <c r="GL174" s="181"/>
      <c r="GM174" s="183"/>
      <c r="GN174" s="181"/>
      <c r="GO174" s="184"/>
      <c r="GP174" s="180"/>
      <c r="GQ174" s="181"/>
      <c r="GR174" s="182"/>
      <c r="GS174" s="181"/>
      <c r="GT174" s="183"/>
      <c r="GU174" s="181"/>
      <c r="GV174" s="184"/>
      <c r="GW174" s="180"/>
      <c r="GX174" s="181"/>
      <c r="GY174" s="182"/>
      <c r="GZ174" s="181"/>
      <c r="HA174" s="183"/>
      <c r="HB174" s="181"/>
      <c r="HC174" s="184"/>
      <c r="HD174" s="180"/>
      <c r="HE174" s="181"/>
      <c r="HF174" s="182"/>
      <c r="HG174" s="181"/>
      <c r="HH174" s="183"/>
      <c r="HI174" s="181"/>
      <c r="HJ174" s="184"/>
      <c r="HK174" s="180"/>
      <c r="HL174" s="181"/>
      <c r="HM174" s="182"/>
      <c r="HN174" s="181"/>
      <c r="HO174" s="183"/>
      <c r="HP174" s="181"/>
      <c r="HQ174" s="184"/>
      <c r="HR174" s="344" t="s">
        <v>533</v>
      </c>
      <c r="HS174" s="345"/>
      <c r="HT174" s="345"/>
      <c r="HU174" s="181" t="s">
        <v>75</v>
      </c>
      <c r="HV174" s="376" t="s">
        <v>306</v>
      </c>
      <c r="HW174" s="376"/>
      <c r="HX174" s="377"/>
    </row>
    <row r="175" spans="2:232" outlineLevel="1" x14ac:dyDescent="0.25">
      <c r="B175" s="147"/>
      <c r="C175" s="147"/>
      <c r="D175" s="147"/>
      <c r="E175" s="147"/>
      <c r="F175" s="157"/>
      <c r="G175" s="147"/>
      <c r="H175" s="157"/>
      <c r="I175" s="175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V175" s="161" t="s">
        <v>199</v>
      </c>
      <c r="W175" s="12"/>
      <c r="X175" s="12"/>
      <c r="Y175" s="12"/>
      <c r="Z175" s="12"/>
      <c r="AA175" s="12"/>
      <c r="AB175" s="12"/>
      <c r="AC175" s="14"/>
      <c r="AD175" s="350" t="s">
        <v>22</v>
      </c>
      <c r="AE175" s="337"/>
      <c r="AF175" s="337"/>
      <c r="AG175" s="1" t="s">
        <v>57</v>
      </c>
      <c r="AH175" s="337" t="s">
        <v>218</v>
      </c>
      <c r="AI175" s="337"/>
      <c r="AJ175" s="338"/>
      <c r="AK175" s="350"/>
      <c r="AL175" s="337"/>
      <c r="AM175" s="337"/>
      <c r="AO175" s="337"/>
      <c r="AP175" s="337"/>
      <c r="AQ175" s="338"/>
      <c r="AR175" s="350"/>
      <c r="AS175" s="337"/>
      <c r="AT175" s="337"/>
      <c r="AV175" s="337"/>
      <c r="AW175" s="337"/>
      <c r="AX175" s="338"/>
      <c r="AY175" s="350"/>
      <c r="AZ175" s="337"/>
      <c r="BA175" s="337"/>
      <c r="BC175" s="337"/>
      <c r="BD175" s="337"/>
      <c r="BE175" s="338"/>
      <c r="BF175" s="350"/>
      <c r="BG175" s="337"/>
      <c r="BH175" s="337"/>
      <c r="BJ175" s="337"/>
      <c r="BK175" s="337"/>
      <c r="BL175" s="338"/>
      <c r="BM175" s="350"/>
      <c r="BN175" s="337"/>
      <c r="BO175" s="337"/>
      <c r="BQ175" s="337"/>
      <c r="BR175" s="337"/>
      <c r="BS175" s="338"/>
      <c r="BT175" s="350"/>
      <c r="BU175" s="337"/>
      <c r="BV175" s="337"/>
      <c r="BX175" s="337"/>
      <c r="BY175" s="337"/>
      <c r="BZ175" s="338"/>
      <c r="CA175" s="350"/>
      <c r="CB175" s="337"/>
      <c r="CC175" s="337"/>
      <c r="CE175" s="337"/>
      <c r="CF175" s="337"/>
      <c r="CG175" s="338"/>
      <c r="CH175" s="350"/>
      <c r="CI175" s="337"/>
      <c r="CJ175" s="337"/>
      <c r="CL175" s="337"/>
      <c r="CM175" s="337"/>
      <c r="CN175" s="338"/>
      <c r="CO175" s="350"/>
      <c r="CP175" s="337"/>
      <c r="CQ175" s="337"/>
      <c r="CS175" s="337"/>
      <c r="CT175" s="337"/>
      <c r="CU175" s="338"/>
      <c r="CV175" s="350"/>
      <c r="CW175" s="337"/>
      <c r="CX175" s="337"/>
      <c r="CZ175" s="337"/>
      <c r="DA175" s="337"/>
      <c r="DB175" s="338"/>
      <c r="DC175" s="350"/>
      <c r="DD175" s="337"/>
      <c r="DE175" s="337"/>
      <c r="DG175" s="337"/>
      <c r="DH175" s="337"/>
      <c r="DI175" s="338"/>
      <c r="DJ175" s="350"/>
      <c r="DK175" s="337"/>
      <c r="DL175" s="337"/>
      <c r="DN175" s="337"/>
      <c r="DO175" s="337"/>
      <c r="DP175" s="338"/>
      <c r="DQ175" s="350"/>
      <c r="DR175" s="337"/>
      <c r="DS175" s="337"/>
      <c r="DU175" s="337"/>
      <c r="DV175" s="337"/>
      <c r="DW175" s="338"/>
      <c r="DX175" s="350"/>
      <c r="DY175" s="337"/>
      <c r="DZ175" s="337"/>
      <c r="EB175" s="337"/>
      <c r="EC175" s="337"/>
      <c r="ED175" s="338"/>
      <c r="EE175" s="350"/>
      <c r="EF175" s="337"/>
      <c r="EG175" s="337"/>
      <c r="EI175" s="337"/>
      <c r="EJ175" s="337"/>
      <c r="EK175" s="338"/>
      <c r="EL175" s="350"/>
      <c r="EM175" s="337"/>
      <c r="EN175" s="337"/>
      <c r="EP175" s="337"/>
      <c r="EQ175" s="337"/>
      <c r="ER175" s="338"/>
      <c r="ES175" s="350"/>
      <c r="ET175" s="337"/>
      <c r="EU175" s="337"/>
      <c r="EW175" s="337"/>
      <c r="EX175" s="337"/>
      <c r="EY175" s="338"/>
      <c r="EZ175" s="350"/>
      <c r="FA175" s="337"/>
      <c r="FB175" s="337"/>
      <c r="FD175" s="337"/>
      <c r="FE175" s="337"/>
      <c r="FF175" s="338"/>
      <c r="FG175" s="350"/>
      <c r="FH175" s="337"/>
      <c r="FI175" s="337"/>
      <c r="FK175" s="337"/>
      <c r="FL175" s="337"/>
      <c r="FM175" s="338"/>
      <c r="FN175" s="350"/>
      <c r="FO175" s="337"/>
      <c r="FP175" s="337"/>
      <c r="FR175" s="337"/>
      <c r="FS175" s="337"/>
      <c r="FT175" s="338"/>
      <c r="FU175" s="350"/>
      <c r="FV175" s="337"/>
      <c r="FW175" s="337"/>
      <c r="FY175" s="337"/>
      <c r="FZ175" s="337"/>
      <c r="GA175" s="338"/>
      <c r="GB175" s="350"/>
      <c r="GC175" s="337"/>
      <c r="GD175" s="337"/>
      <c r="GF175" s="337"/>
      <c r="GG175" s="337"/>
      <c r="GH175" s="338"/>
      <c r="GI175" s="350"/>
      <c r="GJ175" s="337"/>
      <c r="GK175" s="337"/>
      <c r="GM175" s="337"/>
      <c r="GN175" s="337"/>
      <c r="GO175" s="338"/>
      <c r="GP175" s="350"/>
      <c r="GQ175" s="337"/>
      <c r="GR175" s="337"/>
      <c r="GT175" s="337"/>
      <c r="GU175" s="337"/>
      <c r="GV175" s="338"/>
      <c r="GW175" s="350"/>
      <c r="GX175" s="337"/>
      <c r="GY175" s="337"/>
      <c r="HA175" s="337"/>
      <c r="HB175" s="337"/>
      <c r="HC175" s="338"/>
      <c r="HD175" s="350"/>
      <c r="HE175" s="337"/>
      <c r="HF175" s="337"/>
      <c r="HH175" s="337"/>
      <c r="HI175" s="337"/>
      <c r="HJ175" s="338"/>
      <c r="HK175" s="350"/>
      <c r="HL175" s="337"/>
      <c r="HM175" s="337"/>
      <c r="HO175" s="337"/>
      <c r="HP175" s="337"/>
      <c r="HQ175" s="338"/>
      <c r="HR175" s="350" t="s">
        <v>218</v>
      </c>
      <c r="HS175" s="337"/>
      <c r="HT175" s="337"/>
      <c r="HU175" s="191"/>
      <c r="HV175" s="337"/>
      <c r="HW175" s="337"/>
      <c r="HX175" s="338"/>
    </row>
    <row r="176" spans="2:232" outlineLevel="1" x14ac:dyDescent="0.25">
      <c r="B176" s="147"/>
      <c r="C176" s="147"/>
      <c r="D176" s="147"/>
      <c r="E176" s="147"/>
      <c r="F176" s="157"/>
      <c r="G176" s="147"/>
      <c r="H176" s="157"/>
      <c r="I176" s="175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V176" s="161" t="s">
        <v>200</v>
      </c>
      <c r="W176" s="12"/>
      <c r="X176" s="12"/>
      <c r="Y176" s="12"/>
      <c r="Z176" s="12"/>
      <c r="AA176" s="12"/>
      <c r="AB176" s="12"/>
      <c r="AC176" s="14"/>
      <c r="AD176" s="352" t="s">
        <v>22</v>
      </c>
      <c r="AE176" s="353"/>
      <c r="AF176" s="353"/>
      <c r="AG176" s="1" t="s">
        <v>57</v>
      </c>
      <c r="AH176" s="353" t="s">
        <v>219</v>
      </c>
      <c r="AI176" s="353"/>
      <c r="AJ176" s="355"/>
      <c r="AK176" s="352"/>
      <c r="AL176" s="353"/>
      <c r="AM176" s="353"/>
      <c r="AO176" s="353"/>
      <c r="AP176" s="353"/>
      <c r="AQ176" s="355"/>
      <c r="AR176" s="352"/>
      <c r="AS176" s="353"/>
      <c r="AT176" s="353"/>
      <c r="AV176" s="353"/>
      <c r="AW176" s="353"/>
      <c r="AX176" s="355"/>
      <c r="AY176" s="352"/>
      <c r="AZ176" s="353"/>
      <c r="BA176" s="353"/>
      <c r="BC176" s="353"/>
      <c r="BD176" s="353"/>
      <c r="BE176" s="355"/>
      <c r="BF176" s="352"/>
      <c r="BG176" s="353"/>
      <c r="BH176" s="353"/>
      <c r="BJ176" s="353"/>
      <c r="BK176" s="353"/>
      <c r="BL176" s="355"/>
      <c r="BM176" s="352"/>
      <c r="BN176" s="353"/>
      <c r="BO176" s="353"/>
      <c r="BQ176" s="353"/>
      <c r="BR176" s="353"/>
      <c r="BS176" s="355"/>
      <c r="BT176" s="352"/>
      <c r="BU176" s="353"/>
      <c r="BV176" s="353"/>
      <c r="BX176" s="353"/>
      <c r="BY176" s="353"/>
      <c r="BZ176" s="355"/>
      <c r="CA176" s="352"/>
      <c r="CB176" s="353"/>
      <c r="CC176" s="353"/>
      <c r="CE176" s="353"/>
      <c r="CF176" s="353"/>
      <c r="CG176" s="355"/>
      <c r="CH176" s="352"/>
      <c r="CI176" s="353"/>
      <c r="CJ176" s="353"/>
      <c r="CL176" s="353"/>
      <c r="CM176" s="353"/>
      <c r="CN176" s="355"/>
      <c r="CO176" s="352"/>
      <c r="CP176" s="353"/>
      <c r="CQ176" s="353"/>
      <c r="CS176" s="353"/>
      <c r="CT176" s="353"/>
      <c r="CU176" s="355"/>
      <c r="CV176" s="352"/>
      <c r="CW176" s="353"/>
      <c r="CX176" s="353"/>
      <c r="CZ176" s="353"/>
      <c r="DA176" s="353"/>
      <c r="DB176" s="355"/>
      <c r="DC176" s="352"/>
      <c r="DD176" s="353"/>
      <c r="DE176" s="353"/>
      <c r="DG176" s="353"/>
      <c r="DH176" s="353"/>
      <c r="DI176" s="355"/>
      <c r="DJ176" s="352"/>
      <c r="DK176" s="353"/>
      <c r="DL176" s="353"/>
      <c r="DN176" s="353"/>
      <c r="DO176" s="353"/>
      <c r="DP176" s="355"/>
      <c r="DQ176" s="352"/>
      <c r="DR176" s="353"/>
      <c r="DS176" s="353"/>
      <c r="DU176" s="353"/>
      <c r="DV176" s="353"/>
      <c r="DW176" s="355"/>
      <c r="DX176" s="352"/>
      <c r="DY176" s="353"/>
      <c r="DZ176" s="353"/>
      <c r="EB176" s="353"/>
      <c r="EC176" s="353"/>
      <c r="ED176" s="355"/>
      <c r="EE176" s="352"/>
      <c r="EF176" s="353"/>
      <c r="EG176" s="353"/>
      <c r="EI176" s="353"/>
      <c r="EJ176" s="353"/>
      <c r="EK176" s="355"/>
      <c r="EL176" s="352"/>
      <c r="EM176" s="353"/>
      <c r="EN176" s="353"/>
      <c r="EP176" s="353"/>
      <c r="EQ176" s="353"/>
      <c r="ER176" s="355"/>
      <c r="ES176" s="352"/>
      <c r="ET176" s="353"/>
      <c r="EU176" s="353"/>
      <c r="EW176" s="353"/>
      <c r="EX176" s="353"/>
      <c r="EY176" s="355"/>
      <c r="EZ176" s="352"/>
      <c r="FA176" s="353"/>
      <c r="FB176" s="353"/>
      <c r="FD176" s="353"/>
      <c r="FE176" s="353"/>
      <c r="FF176" s="355"/>
      <c r="FG176" s="352"/>
      <c r="FH176" s="353"/>
      <c r="FI176" s="353"/>
      <c r="FK176" s="353"/>
      <c r="FL176" s="353"/>
      <c r="FM176" s="355"/>
      <c r="FN176" s="352"/>
      <c r="FO176" s="353"/>
      <c r="FP176" s="353"/>
      <c r="FR176" s="353"/>
      <c r="FS176" s="353"/>
      <c r="FT176" s="355"/>
      <c r="FU176" s="352"/>
      <c r="FV176" s="353"/>
      <c r="FW176" s="353"/>
      <c r="FY176" s="353"/>
      <c r="FZ176" s="353"/>
      <c r="GA176" s="355"/>
      <c r="GB176" s="352"/>
      <c r="GC176" s="353"/>
      <c r="GD176" s="353"/>
      <c r="GF176" s="353"/>
      <c r="GG176" s="353"/>
      <c r="GH176" s="355"/>
      <c r="GI176" s="352"/>
      <c r="GJ176" s="353"/>
      <c r="GK176" s="353"/>
      <c r="GM176" s="353"/>
      <c r="GN176" s="353"/>
      <c r="GO176" s="355"/>
      <c r="GP176" s="352"/>
      <c r="GQ176" s="353"/>
      <c r="GR176" s="353"/>
      <c r="GT176" s="353"/>
      <c r="GU176" s="353"/>
      <c r="GV176" s="355"/>
      <c r="GW176" s="352"/>
      <c r="GX176" s="353"/>
      <c r="GY176" s="353"/>
      <c r="HA176" s="353"/>
      <c r="HB176" s="353"/>
      <c r="HC176" s="355"/>
      <c r="HD176" s="352"/>
      <c r="HE176" s="353"/>
      <c r="HF176" s="353"/>
      <c r="HH176" s="353"/>
      <c r="HI176" s="353"/>
      <c r="HJ176" s="355"/>
      <c r="HK176" s="352"/>
      <c r="HL176" s="353"/>
      <c r="HM176" s="353"/>
      <c r="HO176" s="353"/>
      <c r="HP176" s="353"/>
      <c r="HQ176" s="355"/>
      <c r="HR176" s="352" t="s">
        <v>219</v>
      </c>
      <c r="HS176" s="353"/>
      <c r="HT176" s="353"/>
      <c r="HV176" s="353"/>
      <c r="HW176" s="353"/>
      <c r="HX176" s="355"/>
    </row>
    <row r="177" spans="2:232" outlineLevel="1" x14ac:dyDescent="0.25">
      <c r="B177" s="147"/>
      <c r="C177" s="147"/>
      <c r="D177" s="147"/>
      <c r="E177" s="147"/>
      <c r="F177" s="157"/>
      <c r="G177" s="147"/>
      <c r="H177" s="157"/>
      <c r="I177" s="175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V177" s="162"/>
      <c r="W177" s="159"/>
      <c r="X177" s="159"/>
      <c r="Y177" s="159"/>
      <c r="Z177" s="159"/>
      <c r="AA177" s="159"/>
      <c r="AB177" s="159"/>
      <c r="AC177" s="160"/>
      <c r="AD177" s="361"/>
      <c r="AE177" s="356"/>
      <c r="AF177" s="356"/>
      <c r="AG177" s="163"/>
      <c r="AH177" s="356"/>
      <c r="AI177" s="356"/>
      <c r="AJ177" s="357"/>
      <c r="AK177" s="361"/>
      <c r="AL177" s="356"/>
      <c r="AM177" s="356"/>
      <c r="AN177" s="163"/>
      <c r="AO177" s="356"/>
      <c r="AP177" s="356"/>
      <c r="AQ177" s="357"/>
      <c r="AR177" s="361"/>
      <c r="AS177" s="356"/>
      <c r="AT177" s="356"/>
      <c r="AU177" s="163"/>
      <c r="AV177" s="356"/>
      <c r="AW177" s="356"/>
      <c r="AX177" s="357"/>
      <c r="AY177" s="361"/>
      <c r="AZ177" s="356"/>
      <c r="BA177" s="356"/>
      <c r="BB177" s="163"/>
      <c r="BC177" s="356"/>
      <c r="BD177" s="356"/>
      <c r="BE177" s="357"/>
      <c r="BF177" s="361"/>
      <c r="BG177" s="356"/>
      <c r="BH177" s="356"/>
      <c r="BI177" s="163"/>
      <c r="BJ177" s="356"/>
      <c r="BK177" s="356"/>
      <c r="BL177" s="357"/>
      <c r="BM177" s="361"/>
      <c r="BN177" s="356"/>
      <c r="BO177" s="356"/>
      <c r="BP177" s="163"/>
      <c r="BQ177" s="356"/>
      <c r="BR177" s="356"/>
      <c r="BS177" s="357"/>
      <c r="BT177" s="361"/>
      <c r="BU177" s="356"/>
      <c r="BV177" s="356"/>
      <c r="BW177" s="163"/>
      <c r="BX177" s="356"/>
      <c r="BY177" s="356"/>
      <c r="BZ177" s="357"/>
      <c r="CA177" s="361"/>
      <c r="CB177" s="356"/>
      <c r="CC177" s="356"/>
      <c r="CD177" s="163"/>
      <c r="CE177" s="356"/>
      <c r="CF177" s="356"/>
      <c r="CG177" s="357"/>
      <c r="CH177" s="361"/>
      <c r="CI177" s="356"/>
      <c r="CJ177" s="356"/>
      <c r="CK177" s="163"/>
      <c r="CL177" s="356"/>
      <c r="CM177" s="356"/>
      <c r="CN177" s="357"/>
      <c r="CO177" s="361"/>
      <c r="CP177" s="356"/>
      <c r="CQ177" s="356"/>
      <c r="CR177" s="163"/>
      <c r="CS177" s="356"/>
      <c r="CT177" s="356"/>
      <c r="CU177" s="357"/>
      <c r="CV177" s="361"/>
      <c r="CW177" s="356"/>
      <c r="CX177" s="356"/>
      <c r="CY177" s="163"/>
      <c r="CZ177" s="356"/>
      <c r="DA177" s="356"/>
      <c r="DB177" s="357"/>
      <c r="DC177" s="361"/>
      <c r="DD177" s="356"/>
      <c r="DE177" s="356"/>
      <c r="DF177" s="163"/>
      <c r="DG177" s="356"/>
      <c r="DH177" s="356"/>
      <c r="DI177" s="357"/>
      <c r="DJ177" s="361"/>
      <c r="DK177" s="356"/>
      <c r="DL177" s="356"/>
      <c r="DM177" s="163"/>
      <c r="DN177" s="356"/>
      <c r="DO177" s="356"/>
      <c r="DP177" s="357"/>
      <c r="DQ177" s="361"/>
      <c r="DR177" s="356"/>
      <c r="DS177" s="356"/>
      <c r="DT177" s="163"/>
      <c r="DU177" s="356"/>
      <c r="DV177" s="356"/>
      <c r="DW177" s="357"/>
      <c r="DX177" s="361"/>
      <c r="DY177" s="356"/>
      <c r="DZ177" s="356"/>
      <c r="EA177" s="163"/>
      <c r="EB177" s="356"/>
      <c r="EC177" s="356"/>
      <c r="ED177" s="357"/>
      <c r="EE177" s="361"/>
      <c r="EF177" s="356"/>
      <c r="EG177" s="356"/>
      <c r="EH177" s="163"/>
      <c r="EI177" s="356"/>
      <c r="EJ177" s="356"/>
      <c r="EK177" s="357"/>
      <c r="EL177" s="361"/>
      <c r="EM177" s="356"/>
      <c r="EN177" s="356"/>
      <c r="EO177" s="163"/>
      <c r="EP177" s="356"/>
      <c r="EQ177" s="356"/>
      <c r="ER177" s="357"/>
      <c r="ES177" s="361"/>
      <c r="ET177" s="356"/>
      <c r="EU177" s="356"/>
      <c r="EV177" s="163"/>
      <c r="EW177" s="356"/>
      <c r="EX177" s="356"/>
      <c r="EY177" s="357"/>
      <c r="EZ177" s="361"/>
      <c r="FA177" s="356"/>
      <c r="FB177" s="356"/>
      <c r="FC177" s="163"/>
      <c r="FD177" s="356"/>
      <c r="FE177" s="356"/>
      <c r="FF177" s="357"/>
      <c r="FG177" s="361"/>
      <c r="FH177" s="356"/>
      <c r="FI177" s="356"/>
      <c r="FJ177" s="163"/>
      <c r="FK177" s="356"/>
      <c r="FL177" s="356"/>
      <c r="FM177" s="357"/>
      <c r="FN177" s="361"/>
      <c r="FO177" s="356"/>
      <c r="FP177" s="356"/>
      <c r="FQ177" s="163"/>
      <c r="FR177" s="356"/>
      <c r="FS177" s="356"/>
      <c r="FT177" s="357"/>
      <c r="FU177" s="361"/>
      <c r="FV177" s="356"/>
      <c r="FW177" s="356"/>
      <c r="FX177" s="163"/>
      <c r="FY177" s="356"/>
      <c r="FZ177" s="356"/>
      <c r="GA177" s="357"/>
      <c r="GB177" s="361"/>
      <c r="GC177" s="356"/>
      <c r="GD177" s="356"/>
      <c r="GE177" s="163"/>
      <c r="GF177" s="356"/>
      <c r="GG177" s="356"/>
      <c r="GH177" s="357"/>
      <c r="GI177" s="361"/>
      <c r="GJ177" s="356"/>
      <c r="GK177" s="356"/>
      <c r="GL177" s="163"/>
      <c r="GM177" s="356"/>
      <c r="GN177" s="356"/>
      <c r="GO177" s="357"/>
      <c r="GP177" s="361"/>
      <c r="GQ177" s="356"/>
      <c r="GR177" s="356"/>
      <c r="GS177" s="163"/>
      <c r="GT177" s="356"/>
      <c r="GU177" s="356"/>
      <c r="GV177" s="357"/>
      <c r="GW177" s="361"/>
      <c r="GX177" s="356"/>
      <c r="GY177" s="356"/>
      <c r="GZ177" s="163"/>
      <c r="HA177" s="356"/>
      <c r="HB177" s="356"/>
      <c r="HC177" s="357"/>
      <c r="HD177" s="361"/>
      <c r="HE177" s="356"/>
      <c r="HF177" s="356"/>
      <c r="HG177" s="163"/>
      <c r="HH177" s="356"/>
      <c r="HI177" s="356"/>
      <c r="HJ177" s="357"/>
      <c r="HK177" s="361"/>
      <c r="HL177" s="356"/>
      <c r="HM177" s="356"/>
      <c r="HN177" s="163"/>
      <c r="HO177" s="356"/>
      <c r="HP177" s="356"/>
      <c r="HQ177" s="357"/>
      <c r="HR177" s="361"/>
      <c r="HS177" s="356"/>
      <c r="HT177" s="356"/>
      <c r="HU177" s="163"/>
      <c r="HV177" s="356"/>
      <c r="HW177" s="356"/>
      <c r="HX177" s="357"/>
    </row>
    <row r="178" spans="2:232" outlineLevel="1" x14ac:dyDescent="0.25">
      <c r="B178" s="32"/>
      <c r="C178" s="333">
        <f>MAX(C171:C172)+1</f>
        <v>23</v>
      </c>
      <c r="D178" s="164" t="s">
        <v>21</v>
      </c>
      <c r="E178" s="34"/>
      <c r="F178" s="165" t="s">
        <v>529</v>
      </c>
      <c r="G178" s="165" t="s">
        <v>529</v>
      </c>
      <c r="H178" s="259" t="s">
        <v>92</v>
      </c>
      <c r="I178" s="176" t="s">
        <v>190</v>
      </c>
      <c r="J178" s="165" t="s">
        <v>171</v>
      </c>
      <c r="K178" s="165">
        <v>2031</v>
      </c>
      <c r="L178" s="165">
        <v>6</v>
      </c>
      <c r="M178" s="165"/>
      <c r="N178" s="165"/>
      <c r="O178" s="165"/>
      <c r="P178" s="165"/>
      <c r="Q178" s="165"/>
      <c r="R178" s="165"/>
      <c r="S178" s="165"/>
      <c r="T178" s="165"/>
      <c r="V178" s="11" t="s">
        <v>283</v>
      </c>
      <c r="W178" s="12"/>
      <c r="X178" s="12"/>
      <c r="Y178" s="12"/>
      <c r="Z178" s="12"/>
      <c r="AA178" s="12"/>
      <c r="AB178" s="12"/>
      <c r="AC178" s="14"/>
      <c r="AD178" s="166">
        <f>$C178</f>
        <v>23</v>
      </c>
      <c r="AE178" s="358" t="s">
        <v>175</v>
      </c>
      <c r="AF178" s="358"/>
      <c r="AG178" s="358"/>
      <c r="AH178" s="158"/>
      <c r="AI178" s="337"/>
      <c r="AJ178" s="338"/>
      <c r="AK178" s="166"/>
      <c r="AL178" s="358"/>
      <c r="AM178" s="358"/>
      <c r="AN178" s="358"/>
      <c r="AO178" s="32"/>
      <c r="AP178" s="337"/>
      <c r="AQ178" s="338"/>
      <c r="AR178" s="166"/>
      <c r="AS178" s="358"/>
      <c r="AT178" s="358"/>
      <c r="AU178" s="358"/>
      <c r="AV178" s="32"/>
      <c r="AW178" s="337"/>
      <c r="AX178" s="338"/>
      <c r="AY178" s="166"/>
      <c r="AZ178" s="362"/>
      <c r="BA178" s="362"/>
      <c r="BB178" s="362"/>
      <c r="BC178" s="158"/>
      <c r="BD178" s="337"/>
      <c r="BE178" s="338"/>
      <c r="BF178" s="166"/>
      <c r="BG178" s="362"/>
      <c r="BH178" s="362"/>
      <c r="BI178" s="362"/>
      <c r="BJ178" s="158"/>
      <c r="BK178" s="337"/>
      <c r="BL178" s="338"/>
      <c r="BM178" s="166"/>
      <c r="BN178" s="362"/>
      <c r="BO178" s="362"/>
      <c r="BP178" s="362"/>
      <c r="BQ178" s="158"/>
      <c r="BR178" s="337"/>
      <c r="BS178" s="338"/>
      <c r="BT178" s="166"/>
      <c r="BU178" s="362"/>
      <c r="BV178" s="362"/>
      <c r="BW178" s="362"/>
      <c r="BX178" s="158"/>
      <c r="BY178" s="337"/>
      <c r="BZ178" s="338"/>
      <c r="CA178" s="166"/>
      <c r="CB178" s="362"/>
      <c r="CC178" s="362"/>
      <c r="CD178" s="362"/>
      <c r="CE178" s="158"/>
      <c r="CF178" s="337"/>
      <c r="CG178" s="338"/>
      <c r="CH178" s="166"/>
      <c r="CI178" s="362"/>
      <c r="CJ178" s="362"/>
      <c r="CK178" s="362"/>
      <c r="CL178" s="158"/>
      <c r="CM178" s="337"/>
      <c r="CN178" s="338"/>
      <c r="CO178" s="166"/>
      <c r="CP178" s="362"/>
      <c r="CQ178" s="362"/>
      <c r="CR178" s="362"/>
      <c r="CS178" s="158"/>
      <c r="CT178" s="337"/>
      <c r="CU178" s="338"/>
      <c r="CV178" s="166"/>
      <c r="CW178" s="362"/>
      <c r="CX178" s="362"/>
      <c r="CY178" s="362"/>
      <c r="CZ178" s="158"/>
      <c r="DA178" s="337"/>
      <c r="DB178" s="338"/>
      <c r="DC178" s="166"/>
      <c r="DD178" s="362"/>
      <c r="DE178" s="362"/>
      <c r="DF178" s="362"/>
      <c r="DG178" s="158"/>
      <c r="DH178" s="337"/>
      <c r="DI178" s="338"/>
      <c r="DJ178" s="166"/>
      <c r="DK178" s="362"/>
      <c r="DL178" s="362"/>
      <c r="DM178" s="362"/>
      <c r="DN178" s="158"/>
      <c r="DO178" s="337"/>
      <c r="DP178" s="338"/>
      <c r="DQ178" s="166"/>
      <c r="DR178" s="362"/>
      <c r="DS178" s="362"/>
      <c r="DT178" s="362"/>
      <c r="DU178" s="158"/>
      <c r="DV178" s="337"/>
      <c r="DW178" s="338"/>
      <c r="DX178" s="166"/>
      <c r="DY178" s="362"/>
      <c r="DZ178" s="362"/>
      <c r="EA178" s="362"/>
      <c r="EB178" s="158"/>
      <c r="EC178" s="337"/>
      <c r="ED178" s="338"/>
      <c r="EE178" s="166"/>
      <c r="EF178" s="362"/>
      <c r="EG178" s="362"/>
      <c r="EH178" s="362"/>
      <c r="EI178" s="158"/>
      <c r="EJ178" s="337"/>
      <c r="EK178" s="338"/>
      <c r="EL178" s="166"/>
      <c r="EM178" s="362"/>
      <c r="EN178" s="362"/>
      <c r="EO178" s="362"/>
      <c r="EP178" s="158"/>
      <c r="EQ178" s="337"/>
      <c r="ER178" s="338"/>
      <c r="ES178" s="166"/>
      <c r="ET178" s="362"/>
      <c r="EU178" s="362"/>
      <c r="EV178" s="362"/>
      <c r="EW178" s="158"/>
      <c r="EX178" s="337"/>
      <c r="EY178" s="338"/>
      <c r="EZ178" s="166"/>
      <c r="FA178" s="362"/>
      <c r="FB178" s="362"/>
      <c r="FC178" s="362"/>
      <c r="FD178" s="158"/>
      <c r="FE178" s="337"/>
      <c r="FF178" s="338"/>
      <c r="FG178" s="166"/>
      <c r="FH178" s="362"/>
      <c r="FI178" s="362"/>
      <c r="FJ178" s="362"/>
      <c r="FK178" s="158"/>
      <c r="FL178" s="337"/>
      <c r="FM178" s="338"/>
      <c r="FN178" s="166"/>
      <c r="FO178" s="362"/>
      <c r="FP178" s="362"/>
      <c r="FQ178" s="362"/>
      <c r="FR178" s="158"/>
      <c r="FS178" s="337"/>
      <c r="FT178" s="338"/>
      <c r="FU178" s="166"/>
      <c r="FV178" s="362"/>
      <c r="FW178" s="362"/>
      <c r="FX178" s="362"/>
      <c r="FY178" s="158"/>
      <c r="FZ178" s="337"/>
      <c r="GA178" s="338"/>
      <c r="GB178" s="166"/>
      <c r="GC178" s="362"/>
      <c r="GD178" s="362"/>
      <c r="GE178" s="362"/>
      <c r="GF178" s="158"/>
      <c r="GG178" s="337"/>
      <c r="GH178" s="338"/>
      <c r="GI178" s="166"/>
      <c r="GJ178" s="362"/>
      <c r="GK178" s="362"/>
      <c r="GL178" s="362"/>
      <c r="GM178" s="158"/>
      <c r="GN178" s="337"/>
      <c r="GO178" s="338"/>
      <c r="GP178" s="166"/>
      <c r="GQ178" s="362"/>
      <c r="GR178" s="362"/>
      <c r="GS178" s="362"/>
      <c r="GT178" s="158"/>
      <c r="GU178" s="337"/>
      <c r="GV178" s="338"/>
      <c r="GW178" s="166"/>
      <c r="GX178" s="362"/>
      <c r="GY178" s="362"/>
      <c r="GZ178" s="362"/>
      <c r="HA178" s="158"/>
      <c r="HB178" s="337"/>
      <c r="HC178" s="338"/>
      <c r="HD178" s="166"/>
      <c r="HE178" s="362"/>
      <c r="HF178" s="362"/>
      <c r="HG178" s="362"/>
      <c r="HH178" s="158"/>
      <c r="HI178" s="337"/>
      <c r="HJ178" s="338"/>
      <c r="HK178" s="166"/>
      <c r="HL178" s="362"/>
      <c r="HM178" s="362"/>
      <c r="HN178" s="362"/>
      <c r="HO178" s="158"/>
      <c r="HP178" s="337"/>
      <c r="HQ178" s="338"/>
      <c r="HR178" s="166">
        <f>$AD178</f>
        <v>23</v>
      </c>
      <c r="HS178" s="358" t="s">
        <v>175</v>
      </c>
      <c r="HT178" s="358"/>
      <c r="HU178" s="358"/>
      <c r="HV178" s="257"/>
      <c r="HW178" s="337"/>
      <c r="HX178" s="338"/>
    </row>
    <row r="179" spans="2:232" outlineLevel="1" x14ac:dyDescent="0.25">
      <c r="B179" s="32"/>
      <c r="C179" s="167"/>
      <c r="D179" s="167"/>
      <c r="E179" s="34"/>
      <c r="F179" s="168"/>
      <c r="G179" s="167"/>
      <c r="H179" s="55"/>
      <c r="I179" s="177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V179" s="107"/>
      <c r="W179" s="108"/>
      <c r="X179" s="108"/>
      <c r="Y179" s="108"/>
      <c r="Z179" s="108"/>
      <c r="AA179" s="108"/>
      <c r="AB179" s="108"/>
      <c r="AC179" s="109"/>
      <c r="AD179" s="169"/>
      <c r="AE179" s="365"/>
      <c r="AF179" s="365"/>
      <c r="AG179" s="365"/>
      <c r="AH179" s="30"/>
      <c r="AI179" s="340"/>
      <c r="AJ179" s="341"/>
      <c r="AK179" s="169"/>
      <c r="AL179" s="339"/>
      <c r="AM179" s="339"/>
      <c r="AN179" s="339"/>
      <c r="AO179" s="30"/>
      <c r="AP179" s="340"/>
      <c r="AQ179" s="341"/>
      <c r="AR179" s="169"/>
      <c r="AS179" s="339"/>
      <c r="AT179" s="339"/>
      <c r="AU179" s="339"/>
      <c r="AV179" s="30"/>
      <c r="AW179" s="340"/>
      <c r="AX179" s="341"/>
      <c r="AY179" s="169"/>
      <c r="AZ179" s="339"/>
      <c r="BA179" s="339"/>
      <c r="BB179" s="339"/>
      <c r="BC179" s="30"/>
      <c r="BD179" s="340"/>
      <c r="BE179" s="341"/>
      <c r="BF179" s="169"/>
      <c r="BG179" s="339"/>
      <c r="BH179" s="339"/>
      <c r="BI179" s="339"/>
      <c r="BJ179" s="30"/>
      <c r="BK179" s="340"/>
      <c r="BL179" s="341"/>
      <c r="BM179" s="169"/>
      <c r="BN179" s="339"/>
      <c r="BO179" s="339"/>
      <c r="BP179" s="339"/>
      <c r="BQ179" s="30"/>
      <c r="BR179" s="340"/>
      <c r="BS179" s="341"/>
      <c r="BT179" s="169"/>
      <c r="BU179" s="339"/>
      <c r="BV179" s="339"/>
      <c r="BW179" s="339"/>
      <c r="BX179" s="30"/>
      <c r="BY179" s="340"/>
      <c r="BZ179" s="341"/>
      <c r="CA179" s="169"/>
      <c r="CB179" s="339"/>
      <c r="CC179" s="339"/>
      <c r="CD179" s="339"/>
      <c r="CE179" s="30"/>
      <c r="CF179" s="340"/>
      <c r="CG179" s="341"/>
      <c r="CH179" s="169"/>
      <c r="CI179" s="339"/>
      <c r="CJ179" s="339"/>
      <c r="CK179" s="339"/>
      <c r="CL179" s="30"/>
      <c r="CM179" s="340"/>
      <c r="CN179" s="341"/>
      <c r="CO179" s="169"/>
      <c r="CP179" s="339"/>
      <c r="CQ179" s="339"/>
      <c r="CR179" s="339"/>
      <c r="CS179" s="30"/>
      <c r="CT179" s="340"/>
      <c r="CU179" s="341"/>
      <c r="CV179" s="169"/>
      <c r="CW179" s="339"/>
      <c r="CX179" s="339"/>
      <c r="CY179" s="339"/>
      <c r="CZ179" s="30"/>
      <c r="DA179" s="340"/>
      <c r="DB179" s="341"/>
      <c r="DC179" s="169"/>
      <c r="DD179" s="339"/>
      <c r="DE179" s="339"/>
      <c r="DF179" s="339"/>
      <c r="DG179" s="30"/>
      <c r="DH179" s="340"/>
      <c r="DI179" s="341"/>
      <c r="DJ179" s="169"/>
      <c r="DK179" s="339"/>
      <c r="DL179" s="339"/>
      <c r="DM179" s="339"/>
      <c r="DN179" s="30"/>
      <c r="DO179" s="340"/>
      <c r="DP179" s="341"/>
      <c r="DQ179" s="169"/>
      <c r="DR179" s="339"/>
      <c r="DS179" s="339"/>
      <c r="DT179" s="339"/>
      <c r="DU179" s="30"/>
      <c r="DV179" s="340"/>
      <c r="DW179" s="341"/>
      <c r="DX179" s="169"/>
      <c r="DY179" s="339"/>
      <c r="DZ179" s="339"/>
      <c r="EA179" s="339"/>
      <c r="EB179" s="30"/>
      <c r="EC179" s="340"/>
      <c r="ED179" s="341"/>
      <c r="EE179" s="169"/>
      <c r="EF179" s="339"/>
      <c r="EG179" s="339"/>
      <c r="EH179" s="339"/>
      <c r="EI179" s="30"/>
      <c r="EJ179" s="340"/>
      <c r="EK179" s="341"/>
      <c r="EL179" s="169"/>
      <c r="EM179" s="339"/>
      <c r="EN179" s="339"/>
      <c r="EO179" s="339"/>
      <c r="EP179" s="30"/>
      <c r="EQ179" s="340"/>
      <c r="ER179" s="341"/>
      <c r="ES179" s="169"/>
      <c r="ET179" s="339"/>
      <c r="EU179" s="339"/>
      <c r="EV179" s="339"/>
      <c r="EW179" s="30"/>
      <c r="EX179" s="340"/>
      <c r="EY179" s="341"/>
      <c r="EZ179" s="169"/>
      <c r="FA179" s="339"/>
      <c r="FB179" s="339"/>
      <c r="FC179" s="339"/>
      <c r="FD179" s="30"/>
      <c r="FE179" s="340"/>
      <c r="FF179" s="341"/>
      <c r="FG179" s="169"/>
      <c r="FH179" s="339"/>
      <c r="FI179" s="339"/>
      <c r="FJ179" s="339"/>
      <c r="FK179" s="30"/>
      <c r="FL179" s="340"/>
      <c r="FM179" s="341"/>
      <c r="FN179" s="169"/>
      <c r="FO179" s="339"/>
      <c r="FP179" s="339"/>
      <c r="FQ179" s="339"/>
      <c r="FR179" s="30"/>
      <c r="FS179" s="340"/>
      <c r="FT179" s="341"/>
      <c r="FU179" s="169"/>
      <c r="FV179" s="339"/>
      <c r="FW179" s="339"/>
      <c r="FX179" s="339"/>
      <c r="FY179" s="30"/>
      <c r="FZ179" s="340"/>
      <c r="GA179" s="341"/>
      <c r="GB179" s="169"/>
      <c r="GC179" s="339"/>
      <c r="GD179" s="339"/>
      <c r="GE179" s="339"/>
      <c r="GF179" s="30"/>
      <c r="GG179" s="340"/>
      <c r="GH179" s="341"/>
      <c r="GI179" s="169"/>
      <c r="GJ179" s="339"/>
      <c r="GK179" s="339"/>
      <c r="GL179" s="339"/>
      <c r="GM179" s="30"/>
      <c r="GN179" s="340"/>
      <c r="GO179" s="341"/>
      <c r="GP179" s="169"/>
      <c r="GQ179" s="339"/>
      <c r="GR179" s="339"/>
      <c r="GS179" s="339"/>
      <c r="GT179" s="30"/>
      <c r="GU179" s="340"/>
      <c r="GV179" s="341"/>
      <c r="GW179" s="169"/>
      <c r="GX179" s="339"/>
      <c r="GY179" s="339"/>
      <c r="GZ179" s="339"/>
      <c r="HA179" s="30"/>
      <c r="HB179" s="340"/>
      <c r="HC179" s="341"/>
      <c r="HD179" s="169"/>
      <c r="HE179" s="339"/>
      <c r="HF179" s="339"/>
      <c r="HG179" s="339"/>
      <c r="HH179" s="30"/>
      <c r="HI179" s="340"/>
      <c r="HJ179" s="341"/>
      <c r="HK179" s="169"/>
      <c r="HL179" s="339"/>
      <c r="HM179" s="339"/>
      <c r="HN179" s="339"/>
      <c r="HO179" s="30"/>
      <c r="HP179" s="340"/>
      <c r="HQ179" s="341"/>
      <c r="HR179" s="169"/>
      <c r="HS179" s="365"/>
      <c r="HT179" s="365"/>
      <c r="HU179" s="365"/>
      <c r="HV179" s="258"/>
      <c r="HW179" s="340"/>
      <c r="HX179" s="341"/>
    </row>
    <row r="180" spans="2:232" outlineLevel="1" x14ac:dyDescent="0.25">
      <c r="B180" s="147"/>
      <c r="C180" s="147"/>
      <c r="D180" s="147"/>
      <c r="E180" s="147"/>
      <c r="F180" s="157"/>
      <c r="G180" s="147"/>
      <c r="H180" s="157"/>
      <c r="I180" s="175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V180" s="150" t="s">
        <v>170</v>
      </c>
      <c r="W180" s="151"/>
      <c r="X180" s="151"/>
      <c r="Y180" s="151"/>
      <c r="Z180" s="151"/>
      <c r="AA180" s="151"/>
      <c r="AB180" s="369"/>
      <c r="AC180" s="370"/>
      <c r="AD180" s="342" t="s">
        <v>217</v>
      </c>
      <c r="AE180" s="343"/>
      <c r="AF180" s="343"/>
      <c r="AG180" s="343"/>
      <c r="AH180" s="343"/>
      <c r="AI180" s="152"/>
      <c r="AJ180" s="155">
        <f>COUNTA(AD185:AD186)</f>
        <v>1</v>
      </c>
      <c r="AK180" s="156"/>
      <c r="AL180" s="152"/>
      <c r="AM180" s="153"/>
      <c r="AN180" s="152"/>
      <c r="AO180" s="154"/>
      <c r="AP180" s="152"/>
      <c r="AQ180" s="155">
        <f>COUNTA(AK185:AK186)</f>
        <v>0</v>
      </c>
      <c r="AR180" s="156"/>
      <c r="AS180" s="152"/>
      <c r="AT180" s="153"/>
      <c r="AU180" s="152"/>
      <c r="AV180" s="154"/>
      <c r="AW180" s="152"/>
      <c r="AX180" s="155">
        <f>COUNTA(AR185:AR186)</f>
        <v>0</v>
      </c>
      <c r="AY180" s="156"/>
      <c r="AZ180" s="152"/>
      <c r="BA180" s="153"/>
      <c r="BB180" s="152"/>
      <c r="BC180" s="154"/>
      <c r="BD180" s="152"/>
      <c r="BE180" s="155">
        <f>COUNTA(AY185:AY186)</f>
        <v>0</v>
      </c>
      <c r="BF180" s="156"/>
      <c r="BG180" s="152"/>
      <c r="BH180" s="153"/>
      <c r="BI180" s="152"/>
      <c r="BJ180" s="154"/>
      <c r="BK180" s="152"/>
      <c r="BL180" s="155">
        <f>COUNTA(BF185:BF186)</f>
        <v>0</v>
      </c>
      <c r="BM180" s="156"/>
      <c r="BN180" s="152"/>
      <c r="BO180" s="153"/>
      <c r="BP180" s="152"/>
      <c r="BQ180" s="154"/>
      <c r="BR180" s="152"/>
      <c r="BS180" s="155">
        <f>COUNTA(BM185:BM186)</f>
        <v>0</v>
      </c>
      <c r="BT180" s="156"/>
      <c r="BU180" s="152"/>
      <c r="BV180" s="153"/>
      <c r="BW180" s="152"/>
      <c r="BX180" s="154"/>
      <c r="BY180" s="152"/>
      <c r="BZ180" s="155">
        <f>COUNTA(BT185:BT186)</f>
        <v>0</v>
      </c>
      <c r="CA180" s="156"/>
      <c r="CB180" s="152"/>
      <c r="CC180" s="153"/>
      <c r="CD180" s="152"/>
      <c r="CE180" s="154"/>
      <c r="CF180" s="152"/>
      <c r="CG180" s="155">
        <f>COUNTA(CA185:CA186)</f>
        <v>0</v>
      </c>
      <c r="CH180" s="156"/>
      <c r="CI180" s="152"/>
      <c r="CJ180" s="153"/>
      <c r="CK180" s="152"/>
      <c r="CL180" s="154"/>
      <c r="CM180" s="152"/>
      <c r="CN180" s="155">
        <f>COUNTA(CH185:CH186)</f>
        <v>0</v>
      </c>
      <c r="CO180" s="156"/>
      <c r="CP180" s="152"/>
      <c r="CQ180" s="153"/>
      <c r="CR180" s="152"/>
      <c r="CS180" s="154"/>
      <c r="CT180" s="152"/>
      <c r="CU180" s="155">
        <f>COUNTA(CO185:CO186)</f>
        <v>0</v>
      </c>
      <c r="CV180" s="156"/>
      <c r="CW180" s="152"/>
      <c r="CX180" s="153"/>
      <c r="CY180" s="152"/>
      <c r="CZ180" s="154"/>
      <c r="DA180" s="152"/>
      <c r="DB180" s="155">
        <f>COUNTA(CV185:CV186)</f>
        <v>0</v>
      </c>
      <c r="DC180" s="156"/>
      <c r="DD180" s="152"/>
      <c r="DE180" s="153"/>
      <c r="DF180" s="152"/>
      <c r="DG180" s="154"/>
      <c r="DH180" s="152"/>
      <c r="DI180" s="155">
        <f>COUNTA(DC185:DC186)</f>
        <v>0</v>
      </c>
      <c r="DJ180" s="156"/>
      <c r="DK180" s="152"/>
      <c r="DL180" s="153"/>
      <c r="DM180" s="152"/>
      <c r="DN180" s="154"/>
      <c r="DO180" s="152"/>
      <c r="DP180" s="155">
        <f>COUNTA(DJ185:DJ186)</f>
        <v>0</v>
      </c>
      <c r="DQ180" s="156"/>
      <c r="DR180" s="152"/>
      <c r="DS180" s="153"/>
      <c r="DT180" s="152"/>
      <c r="DU180" s="154"/>
      <c r="DV180" s="152"/>
      <c r="DW180" s="155">
        <f>COUNTA(DQ185:DQ186)</f>
        <v>0</v>
      </c>
      <c r="DX180" s="156"/>
      <c r="DY180" s="152"/>
      <c r="DZ180" s="153"/>
      <c r="EA180" s="152"/>
      <c r="EB180" s="154"/>
      <c r="EC180" s="152"/>
      <c r="ED180" s="155">
        <f>COUNTA(DX185:DX186)</f>
        <v>0</v>
      </c>
      <c r="EE180" s="156"/>
      <c r="EF180" s="152"/>
      <c r="EG180" s="153"/>
      <c r="EH180" s="152"/>
      <c r="EI180" s="154"/>
      <c r="EJ180" s="152"/>
      <c r="EK180" s="155">
        <f>COUNTA(EE185:EE186)</f>
        <v>0</v>
      </c>
      <c r="EL180" s="156"/>
      <c r="EM180" s="152"/>
      <c r="EN180" s="153"/>
      <c r="EO180" s="152"/>
      <c r="EP180" s="154"/>
      <c r="EQ180" s="152"/>
      <c r="ER180" s="155">
        <f>COUNTA(EL185:EL186)</f>
        <v>0</v>
      </c>
      <c r="ES180" s="156"/>
      <c r="ET180" s="152"/>
      <c r="EU180" s="153"/>
      <c r="EV180" s="152"/>
      <c r="EW180" s="154"/>
      <c r="EX180" s="152"/>
      <c r="EY180" s="155">
        <f>COUNTA(ES185:ES186)</f>
        <v>0</v>
      </c>
      <c r="EZ180" s="156"/>
      <c r="FA180" s="152"/>
      <c r="FB180" s="153"/>
      <c r="FC180" s="152"/>
      <c r="FD180" s="154"/>
      <c r="FE180" s="152"/>
      <c r="FF180" s="155">
        <f>COUNTA(EZ185:EZ186)</f>
        <v>0</v>
      </c>
      <c r="FG180" s="156"/>
      <c r="FH180" s="152"/>
      <c r="FI180" s="153"/>
      <c r="FJ180" s="152"/>
      <c r="FK180" s="154"/>
      <c r="FL180" s="152"/>
      <c r="FM180" s="155">
        <f>COUNTA(FG185:FG186)</f>
        <v>0</v>
      </c>
      <c r="FN180" s="156"/>
      <c r="FO180" s="152"/>
      <c r="FP180" s="153"/>
      <c r="FQ180" s="152"/>
      <c r="FR180" s="154"/>
      <c r="FS180" s="152"/>
      <c r="FT180" s="155">
        <f>COUNTA(FN185:FN186)</f>
        <v>0</v>
      </c>
      <c r="FU180" s="156"/>
      <c r="FV180" s="152"/>
      <c r="FW180" s="153"/>
      <c r="FX180" s="152"/>
      <c r="FY180" s="154"/>
      <c r="FZ180" s="152"/>
      <c r="GA180" s="155">
        <f>COUNTA(FU185:FU186)</f>
        <v>0</v>
      </c>
      <c r="GB180" s="156"/>
      <c r="GC180" s="152"/>
      <c r="GD180" s="153"/>
      <c r="GE180" s="152"/>
      <c r="GF180" s="154"/>
      <c r="GG180" s="152"/>
      <c r="GH180" s="155">
        <f>COUNTA(GB185:GB186)</f>
        <v>0</v>
      </c>
      <c r="GI180" s="156"/>
      <c r="GJ180" s="152"/>
      <c r="GK180" s="153"/>
      <c r="GL180" s="152"/>
      <c r="GM180" s="154"/>
      <c r="GN180" s="152"/>
      <c r="GO180" s="155">
        <f>COUNTA(GI185:GI186)</f>
        <v>0</v>
      </c>
      <c r="GP180" s="156"/>
      <c r="GQ180" s="152"/>
      <c r="GR180" s="153"/>
      <c r="GS180" s="152"/>
      <c r="GT180" s="154"/>
      <c r="GU180" s="152"/>
      <c r="GV180" s="155">
        <f>COUNTA(GP185:GP186)</f>
        <v>0</v>
      </c>
      <c r="GW180" s="156"/>
      <c r="GX180" s="152"/>
      <c r="GY180" s="153"/>
      <c r="GZ180" s="152"/>
      <c r="HA180" s="154"/>
      <c r="HB180" s="152"/>
      <c r="HC180" s="155">
        <f>COUNTA(GW185:GW186)</f>
        <v>0</v>
      </c>
      <c r="HD180" s="156"/>
      <c r="HE180" s="152"/>
      <c r="HF180" s="153"/>
      <c r="HG180" s="152"/>
      <c r="HH180" s="154"/>
      <c r="HI180" s="152"/>
      <c r="HJ180" s="155">
        <f>COUNTA(HD185:HD186)</f>
        <v>0</v>
      </c>
      <c r="HK180" s="156"/>
      <c r="HL180" s="152"/>
      <c r="HM180" s="153"/>
      <c r="HN180" s="152"/>
      <c r="HO180" s="154"/>
      <c r="HP180" s="152"/>
      <c r="HQ180" s="155">
        <f>COUNTA(HK185:HK186)</f>
        <v>0</v>
      </c>
      <c r="HR180" s="342" t="s">
        <v>217</v>
      </c>
      <c r="HS180" s="343"/>
      <c r="HT180" s="343"/>
      <c r="HU180" s="343"/>
      <c r="HV180" s="343"/>
      <c r="HW180" s="152"/>
      <c r="HX180" s="155">
        <f>COUNTA(HR185:HR186)</f>
        <v>1</v>
      </c>
    </row>
    <row r="181" spans="2:232" ht="15" customHeight="1" outlineLevel="1" x14ac:dyDescent="0.25">
      <c r="B181" s="147"/>
      <c r="C181" s="147"/>
      <c r="D181" s="147"/>
      <c r="E181" s="147"/>
      <c r="F181" s="157"/>
      <c r="G181" s="147"/>
      <c r="H181" s="157"/>
      <c r="I181" s="175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V181" s="185" t="s">
        <v>224</v>
      </c>
      <c r="W181" s="186"/>
      <c r="X181" s="186"/>
      <c r="Y181" s="186"/>
      <c r="Z181" s="186"/>
      <c r="AA181" s="186"/>
      <c r="AB181" s="187"/>
      <c r="AC181" s="188"/>
      <c r="AD181" s="344" t="s">
        <v>533</v>
      </c>
      <c r="AE181" s="345"/>
      <c r="AF181" s="345"/>
      <c r="AG181" s="181" t="s">
        <v>75</v>
      </c>
      <c r="AH181" s="346" t="s">
        <v>307</v>
      </c>
      <c r="AI181" s="346"/>
      <c r="AJ181" s="349"/>
      <c r="AK181" s="180"/>
      <c r="AL181" s="181"/>
      <c r="AM181" s="182"/>
      <c r="AN181" s="181"/>
      <c r="AO181" s="183"/>
      <c r="AP181" s="181"/>
      <c r="AQ181" s="184"/>
      <c r="AR181" s="180"/>
      <c r="AS181" s="181"/>
      <c r="AT181" s="182"/>
      <c r="AU181" s="181"/>
      <c r="AV181" s="183"/>
      <c r="AW181" s="181"/>
      <c r="AX181" s="184"/>
      <c r="AY181" s="180"/>
      <c r="AZ181" s="181"/>
      <c r="BA181" s="182"/>
      <c r="BB181" s="181"/>
      <c r="BC181" s="183"/>
      <c r="BD181" s="181"/>
      <c r="BE181" s="184"/>
      <c r="BF181" s="180"/>
      <c r="BG181" s="181"/>
      <c r="BH181" s="182"/>
      <c r="BI181" s="181"/>
      <c r="BJ181" s="183"/>
      <c r="BK181" s="181"/>
      <c r="BL181" s="184"/>
      <c r="BM181" s="180"/>
      <c r="BN181" s="181"/>
      <c r="BO181" s="182"/>
      <c r="BP181" s="181"/>
      <c r="BQ181" s="183"/>
      <c r="BR181" s="181"/>
      <c r="BS181" s="184"/>
      <c r="BT181" s="180"/>
      <c r="BU181" s="181"/>
      <c r="BV181" s="182"/>
      <c r="BW181" s="181"/>
      <c r="BX181" s="183"/>
      <c r="BY181" s="181"/>
      <c r="BZ181" s="184"/>
      <c r="CA181" s="180"/>
      <c r="CB181" s="181"/>
      <c r="CC181" s="182"/>
      <c r="CD181" s="181"/>
      <c r="CE181" s="183"/>
      <c r="CF181" s="181"/>
      <c r="CG181" s="184"/>
      <c r="CH181" s="180"/>
      <c r="CI181" s="181"/>
      <c r="CJ181" s="182"/>
      <c r="CK181" s="181"/>
      <c r="CL181" s="183"/>
      <c r="CM181" s="181"/>
      <c r="CN181" s="184"/>
      <c r="CO181" s="180"/>
      <c r="CP181" s="181"/>
      <c r="CQ181" s="182"/>
      <c r="CR181" s="181"/>
      <c r="CS181" s="183"/>
      <c r="CT181" s="181"/>
      <c r="CU181" s="184"/>
      <c r="CV181" s="180"/>
      <c r="CW181" s="181"/>
      <c r="CX181" s="182"/>
      <c r="CY181" s="181"/>
      <c r="CZ181" s="183"/>
      <c r="DA181" s="181"/>
      <c r="DB181" s="184"/>
      <c r="DC181" s="180"/>
      <c r="DD181" s="181"/>
      <c r="DE181" s="182"/>
      <c r="DF181" s="181"/>
      <c r="DG181" s="183"/>
      <c r="DH181" s="181"/>
      <c r="DI181" s="184"/>
      <c r="DJ181" s="180"/>
      <c r="DK181" s="181"/>
      <c r="DL181" s="182"/>
      <c r="DM181" s="181"/>
      <c r="DN181" s="183"/>
      <c r="DO181" s="181"/>
      <c r="DP181" s="184"/>
      <c r="DQ181" s="180"/>
      <c r="DR181" s="181"/>
      <c r="DS181" s="182"/>
      <c r="DT181" s="181"/>
      <c r="DU181" s="183"/>
      <c r="DV181" s="181"/>
      <c r="DW181" s="184"/>
      <c r="DX181" s="180"/>
      <c r="DY181" s="181"/>
      <c r="DZ181" s="182"/>
      <c r="EA181" s="181"/>
      <c r="EB181" s="183"/>
      <c r="EC181" s="181"/>
      <c r="ED181" s="184"/>
      <c r="EE181" s="180"/>
      <c r="EF181" s="181"/>
      <c r="EG181" s="182"/>
      <c r="EH181" s="181"/>
      <c r="EI181" s="183"/>
      <c r="EJ181" s="181"/>
      <c r="EK181" s="184"/>
      <c r="EL181" s="180"/>
      <c r="EM181" s="181"/>
      <c r="EN181" s="182"/>
      <c r="EO181" s="181"/>
      <c r="EP181" s="183"/>
      <c r="EQ181" s="181"/>
      <c r="ER181" s="184"/>
      <c r="ES181" s="180"/>
      <c r="ET181" s="181"/>
      <c r="EU181" s="182"/>
      <c r="EV181" s="181"/>
      <c r="EW181" s="183"/>
      <c r="EX181" s="181"/>
      <c r="EY181" s="184"/>
      <c r="EZ181" s="180"/>
      <c r="FA181" s="181"/>
      <c r="FB181" s="182"/>
      <c r="FC181" s="181"/>
      <c r="FD181" s="183"/>
      <c r="FE181" s="181"/>
      <c r="FF181" s="184"/>
      <c r="FG181" s="180"/>
      <c r="FH181" s="181"/>
      <c r="FI181" s="182"/>
      <c r="FJ181" s="181"/>
      <c r="FK181" s="183"/>
      <c r="FL181" s="181"/>
      <c r="FM181" s="184"/>
      <c r="FN181" s="180"/>
      <c r="FO181" s="181"/>
      <c r="FP181" s="182"/>
      <c r="FQ181" s="181"/>
      <c r="FR181" s="183"/>
      <c r="FS181" s="181"/>
      <c r="FT181" s="184"/>
      <c r="FU181" s="180"/>
      <c r="FV181" s="181"/>
      <c r="FW181" s="182"/>
      <c r="FX181" s="181"/>
      <c r="FY181" s="183"/>
      <c r="FZ181" s="181"/>
      <c r="GA181" s="184"/>
      <c r="GB181" s="180"/>
      <c r="GC181" s="181"/>
      <c r="GD181" s="182"/>
      <c r="GE181" s="181"/>
      <c r="GF181" s="183"/>
      <c r="GG181" s="181"/>
      <c r="GH181" s="184"/>
      <c r="GI181" s="180"/>
      <c r="GJ181" s="181"/>
      <c r="GK181" s="182"/>
      <c r="GL181" s="181"/>
      <c r="GM181" s="183"/>
      <c r="GN181" s="181"/>
      <c r="GO181" s="184"/>
      <c r="GP181" s="180"/>
      <c r="GQ181" s="181"/>
      <c r="GR181" s="182"/>
      <c r="GS181" s="181"/>
      <c r="GT181" s="183"/>
      <c r="GU181" s="181"/>
      <c r="GV181" s="184"/>
      <c r="GW181" s="180"/>
      <c r="GX181" s="181"/>
      <c r="GY181" s="182"/>
      <c r="GZ181" s="181"/>
      <c r="HA181" s="183"/>
      <c r="HB181" s="181"/>
      <c r="HC181" s="184"/>
      <c r="HD181" s="180"/>
      <c r="HE181" s="181"/>
      <c r="HF181" s="182"/>
      <c r="HG181" s="181"/>
      <c r="HH181" s="183"/>
      <c r="HI181" s="181"/>
      <c r="HJ181" s="184"/>
      <c r="HK181" s="180"/>
      <c r="HL181" s="181"/>
      <c r="HM181" s="182"/>
      <c r="HN181" s="181"/>
      <c r="HO181" s="183"/>
      <c r="HP181" s="181"/>
      <c r="HQ181" s="184"/>
      <c r="HR181" s="344" t="s">
        <v>533</v>
      </c>
      <c r="HS181" s="345"/>
      <c r="HT181" s="345"/>
      <c r="HU181" s="181" t="s">
        <v>75</v>
      </c>
      <c r="HV181" s="376" t="s">
        <v>307</v>
      </c>
      <c r="HW181" s="376"/>
      <c r="HX181" s="377"/>
    </row>
    <row r="182" spans="2:232" outlineLevel="1" x14ac:dyDescent="0.25">
      <c r="B182" s="147"/>
      <c r="C182" s="147"/>
      <c r="D182" s="147"/>
      <c r="E182" s="147"/>
      <c r="F182" s="157"/>
      <c r="G182" s="147"/>
      <c r="H182" s="157"/>
      <c r="I182" s="175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V182" s="161" t="s">
        <v>199</v>
      </c>
      <c r="W182" s="12"/>
      <c r="X182" s="12"/>
      <c r="Y182" s="12"/>
      <c r="Z182" s="12"/>
      <c r="AA182" s="12"/>
      <c r="AB182" s="12"/>
      <c r="AC182" s="14"/>
      <c r="AD182" s="350" t="s">
        <v>22</v>
      </c>
      <c r="AE182" s="337"/>
      <c r="AF182" s="337"/>
      <c r="AG182" s="1" t="s">
        <v>57</v>
      </c>
      <c r="AH182" s="337" t="s">
        <v>218</v>
      </c>
      <c r="AI182" s="337"/>
      <c r="AJ182" s="338"/>
      <c r="AK182" s="350"/>
      <c r="AL182" s="337"/>
      <c r="AM182" s="337"/>
      <c r="AO182" s="337"/>
      <c r="AP182" s="337"/>
      <c r="AQ182" s="338"/>
      <c r="AR182" s="350"/>
      <c r="AS182" s="337"/>
      <c r="AT182" s="337"/>
      <c r="AV182" s="337"/>
      <c r="AW182" s="337"/>
      <c r="AX182" s="338"/>
      <c r="AY182" s="350"/>
      <c r="AZ182" s="337"/>
      <c r="BA182" s="337"/>
      <c r="BC182" s="337"/>
      <c r="BD182" s="337"/>
      <c r="BE182" s="338"/>
      <c r="BF182" s="350"/>
      <c r="BG182" s="337"/>
      <c r="BH182" s="337"/>
      <c r="BJ182" s="337"/>
      <c r="BK182" s="337"/>
      <c r="BL182" s="338"/>
      <c r="BM182" s="350"/>
      <c r="BN182" s="337"/>
      <c r="BO182" s="337"/>
      <c r="BQ182" s="337"/>
      <c r="BR182" s="337"/>
      <c r="BS182" s="338"/>
      <c r="BT182" s="350"/>
      <c r="BU182" s="337"/>
      <c r="BV182" s="337"/>
      <c r="BX182" s="337"/>
      <c r="BY182" s="337"/>
      <c r="BZ182" s="338"/>
      <c r="CA182" s="350"/>
      <c r="CB182" s="337"/>
      <c r="CC182" s="337"/>
      <c r="CE182" s="337"/>
      <c r="CF182" s="337"/>
      <c r="CG182" s="338"/>
      <c r="CH182" s="350"/>
      <c r="CI182" s="337"/>
      <c r="CJ182" s="337"/>
      <c r="CL182" s="337"/>
      <c r="CM182" s="337"/>
      <c r="CN182" s="338"/>
      <c r="CO182" s="350"/>
      <c r="CP182" s="337"/>
      <c r="CQ182" s="337"/>
      <c r="CS182" s="337"/>
      <c r="CT182" s="337"/>
      <c r="CU182" s="338"/>
      <c r="CV182" s="350"/>
      <c r="CW182" s="337"/>
      <c r="CX182" s="337"/>
      <c r="CZ182" s="337"/>
      <c r="DA182" s="337"/>
      <c r="DB182" s="338"/>
      <c r="DC182" s="350"/>
      <c r="DD182" s="337"/>
      <c r="DE182" s="337"/>
      <c r="DG182" s="337"/>
      <c r="DH182" s="337"/>
      <c r="DI182" s="338"/>
      <c r="DJ182" s="350"/>
      <c r="DK182" s="337"/>
      <c r="DL182" s="337"/>
      <c r="DN182" s="337"/>
      <c r="DO182" s="337"/>
      <c r="DP182" s="338"/>
      <c r="DQ182" s="350"/>
      <c r="DR182" s="337"/>
      <c r="DS182" s="337"/>
      <c r="DU182" s="337"/>
      <c r="DV182" s="337"/>
      <c r="DW182" s="338"/>
      <c r="DX182" s="350"/>
      <c r="DY182" s="337"/>
      <c r="DZ182" s="337"/>
      <c r="EB182" s="337"/>
      <c r="EC182" s="337"/>
      <c r="ED182" s="338"/>
      <c r="EE182" s="350"/>
      <c r="EF182" s="337"/>
      <c r="EG182" s="337"/>
      <c r="EI182" s="337"/>
      <c r="EJ182" s="337"/>
      <c r="EK182" s="338"/>
      <c r="EL182" s="350"/>
      <c r="EM182" s="337"/>
      <c r="EN182" s="337"/>
      <c r="EP182" s="337"/>
      <c r="EQ182" s="337"/>
      <c r="ER182" s="338"/>
      <c r="ES182" s="350"/>
      <c r="ET182" s="337"/>
      <c r="EU182" s="337"/>
      <c r="EW182" s="337"/>
      <c r="EX182" s="337"/>
      <c r="EY182" s="338"/>
      <c r="EZ182" s="350"/>
      <c r="FA182" s="337"/>
      <c r="FB182" s="337"/>
      <c r="FD182" s="337"/>
      <c r="FE182" s="337"/>
      <c r="FF182" s="338"/>
      <c r="FG182" s="350"/>
      <c r="FH182" s="337"/>
      <c r="FI182" s="337"/>
      <c r="FK182" s="337"/>
      <c r="FL182" s="337"/>
      <c r="FM182" s="338"/>
      <c r="FN182" s="350"/>
      <c r="FO182" s="337"/>
      <c r="FP182" s="337"/>
      <c r="FR182" s="337"/>
      <c r="FS182" s="337"/>
      <c r="FT182" s="338"/>
      <c r="FU182" s="350"/>
      <c r="FV182" s="337"/>
      <c r="FW182" s="337"/>
      <c r="FY182" s="337"/>
      <c r="FZ182" s="337"/>
      <c r="GA182" s="338"/>
      <c r="GB182" s="350"/>
      <c r="GC182" s="337"/>
      <c r="GD182" s="337"/>
      <c r="GF182" s="337"/>
      <c r="GG182" s="337"/>
      <c r="GH182" s="338"/>
      <c r="GI182" s="350"/>
      <c r="GJ182" s="337"/>
      <c r="GK182" s="337"/>
      <c r="GM182" s="337"/>
      <c r="GN182" s="337"/>
      <c r="GO182" s="338"/>
      <c r="GP182" s="350"/>
      <c r="GQ182" s="337"/>
      <c r="GR182" s="337"/>
      <c r="GT182" s="337"/>
      <c r="GU182" s="337"/>
      <c r="GV182" s="338"/>
      <c r="GW182" s="350"/>
      <c r="GX182" s="337"/>
      <c r="GY182" s="337"/>
      <c r="HA182" s="337"/>
      <c r="HB182" s="337"/>
      <c r="HC182" s="338"/>
      <c r="HD182" s="350"/>
      <c r="HE182" s="337"/>
      <c r="HF182" s="337"/>
      <c r="HH182" s="337"/>
      <c r="HI182" s="337"/>
      <c r="HJ182" s="338"/>
      <c r="HK182" s="350"/>
      <c r="HL182" s="337"/>
      <c r="HM182" s="337"/>
      <c r="HO182" s="337"/>
      <c r="HP182" s="337"/>
      <c r="HQ182" s="338"/>
      <c r="HR182" s="350" t="s">
        <v>218</v>
      </c>
      <c r="HS182" s="337"/>
      <c r="HT182" s="337"/>
      <c r="HU182" s="191"/>
      <c r="HV182" s="337"/>
      <c r="HW182" s="337"/>
      <c r="HX182" s="338"/>
    </row>
    <row r="183" spans="2:232" outlineLevel="1" x14ac:dyDescent="0.25">
      <c r="B183" s="147"/>
      <c r="C183" s="147"/>
      <c r="D183" s="147"/>
      <c r="E183" s="147"/>
      <c r="F183" s="157"/>
      <c r="G183" s="147"/>
      <c r="H183" s="157"/>
      <c r="I183" s="175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V183" s="161" t="s">
        <v>200</v>
      </c>
      <c r="W183" s="12"/>
      <c r="X183" s="12"/>
      <c r="Y183" s="12"/>
      <c r="Z183" s="12"/>
      <c r="AA183" s="12"/>
      <c r="AB183" s="12"/>
      <c r="AC183" s="14"/>
      <c r="AD183" s="352" t="s">
        <v>22</v>
      </c>
      <c r="AE183" s="353"/>
      <c r="AF183" s="353"/>
      <c r="AG183" s="1" t="s">
        <v>57</v>
      </c>
      <c r="AH183" s="353" t="s">
        <v>219</v>
      </c>
      <c r="AI183" s="353"/>
      <c r="AJ183" s="355"/>
      <c r="AK183" s="352"/>
      <c r="AL183" s="353"/>
      <c r="AM183" s="353"/>
      <c r="AO183" s="353"/>
      <c r="AP183" s="353"/>
      <c r="AQ183" s="355"/>
      <c r="AR183" s="352"/>
      <c r="AS183" s="353"/>
      <c r="AT183" s="353"/>
      <c r="AV183" s="353"/>
      <c r="AW183" s="353"/>
      <c r="AX183" s="355"/>
      <c r="AY183" s="352"/>
      <c r="AZ183" s="353"/>
      <c r="BA183" s="353"/>
      <c r="BC183" s="353"/>
      <c r="BD183" s="353"/>
      <c r="BE183" s="355"/>
      <c r="BF183" s="352"/>
      <c r="BG183" s="353"/>
      <c r="BH183" s="353"/>
      <c r="BJ183" s="353"/>
      <c r="BK183" s="353"/>
      <c r="BL183" s="355"/>
      <c r="BM183" s="352"/>
      <c r="BN183" s="353"/>
      <c r="BO183" s="353"/>
      <c r="BQ183" s="353"/>
      <c r="BR183" s="353"/>
      <c r="BS183" s="355"/>
      <c r="BT183" s="352"/>
      <c r="BU183" s="353"/>
      <c r="BV183" s="353"/>
      <c r="BX183" s="353"/>
      <c r="BY183" s="353"/>
      <c r="BZ183" s="355"/>
      <c r="CA183" s="352"/>
      <c r="CB183" s="353"/>
      <c r="CC183" s="353"/>
      <c r="CE183" s="353"/>
      <c r="CF183" s="353"/>
      <c r="CG183" s="355"/>
      <c r="CH183" s="352"/>
      <c r="CI183" s="353"/>
      <c r="CJ183" s="353"/>
      <c r="CL183" s="353"/>
      <c r="CM183" s="353"/>
      <c r="CN183" s="355"/>
      <c r="CO183" s="352"/>
      <c r="CP183" s="353"/>
      <c r="CQ183" s="353"/>
      <c r="CS183" s="353"/>
      <c r="CT183" s="353"/>
      <c r="CU183" s="355"/>
      <c r="CV183" s="352"/>
      <c r="CW183" s="353"/>
      <c r="CX183" s="353"/>
      <c r="CZ183" s="353"/>
      <c r="DA183" s="353"/>
      <c r="DB183" s="355"/>
      <c r="DC183" s="352"/>
      <c r="DD183" s="353"/>
      <c r="DE183" s="353"/>
      <c r="DG183" s="353"/>
      <c r="DH183" s="353"/>
      <c r="DI183" s="355"/>
      <c r="DJ183" s="352"/>
      <c r="DK183" s="353"/>
      <c r="DL183" s="353"/>
      <c r="DN183" s="353"/>
      <c r="DO183" s="353"/>
      <c r="DP183" s="355"/>
      <c r="DQ183" s="352"/>
      <c r="DR183" s="353"/>
      <c r="DS183" s="353"/>
      <c r="DU183" s="353"/>
      <c r="DV183" s="353"/>
      <c r="DW183" s="355"/>
      <c r="DX183" s="352"/>
      <c r="DY183" s="353"/>
      <c r="DZ183" s="353"/>
      <c r="EB183" s="353"/>
      <c r="EC183" s="353"/>
      <c r="ED183" s="355"/>
      <c r="EE183" s="352"/>
      <c r="EF183" s="353"/>
      <c r="EG183" s="353"/>
      <c r="EI183" s="353"/>
      <c r="EJ183" s="353"/>
      <c r="EK183" s="355"/>
      <c r="EL183" s="352"/>
      <c r="EM183" s="353"/>
      <c r="EN183" s="353"/>
      <c r="EP183" s="353"/>
      <c r="EQ183" s="353"/>
      <c r="ER183" s="355"/>
      <c r="ES183" s="352"/>
      <c r="ET183" s="353"/>
      <c r="EU183" s="353"/>
      <c r="EW183" s="353"/>
      <c r="EX183" s="353"/>
      <c r="EY183" s="355"/>
      <c r="EZ183" s="352"/>
      <c r="FA183" s="353"/>
      <c r="FB183" s="353"/>
      <c r="FD183" s="353"/>
      <c r="FE183" s="353"/>
      <c r="FF183" s="355"/>
      <c r="FG183" s="352"/>
      <c r="FH183" s="353"/>
      <c r="FI183" s="353"/>
      <c r="FK183" s="353"/>
      <c r="FL183" s="353"/>
      <c r="FM183" s="355"/>
      <c r="FN183" s="352"/>
      <c r="FO183" s="353"/>
      <c r="FP183" s="353"/>
      <c r="FR183" s="353"/>
      <c r="FS183" s="353"/>
      <c r="FT183" s="355"/>
      <c r="FU183" s="352"/>
      <c r="FV183" s="353"/>
      <c r="FW183" s="353"/>
      <c r="FY183" s="353"/>
      <c r="FZ183" s="353"/>
      <c r="GA183" s="355"/>
      <c r="GB183" s="352"/>
      <c r="GC183" s="353"/>
      <c r="GD183" s="353"/>
      <c r="GF183" s="353"/>
      <c r="GG183" s="353"/>
      <c r="GH183" s="355"/>
      <c r="GI183" s="352"/>
      <c r="GJ183" s="353"/>
      <c r="GK183" s="353"/>
      <c r="GM183" s="353"/>
      <c r="GN183" s="353"/>
      <c r="GO183" s="355"/>
      <c r="GP183" s="352"/>
      <c r="GQ183" s="353"/>
      <c r="GR183" s="353"/>
      <c r="GT183" s="353"/>
      <c r="GU183" s="353"/>
      <c r="GV183" s="355"/>
      <c r="GW183" s="352"/>
      <c r="GX183" s="353"/>
      <c r="GY183" s="353"/>
      <c r="HA183" s="353"/>
      <c r="HB183" s="353"/>
      <c r="HC183" s="355"/>
      <c r="HD183" s="352"/>
      <c r="HE183" s="353"/>
      <c r="HF183" s="353"/>
      <c r="HH183" s="353"/>
      <c r="HI183" s="353"/>
      <c r="HJ183" s="355"/>
      <c r="HK183" s="352"/>
      <c r="HL183" s="353"/>
      <c r="HM183" s="353"/>
      <c r="HO183" s="353"/>
      <c r="HP183" s="353"/>
      <c r="HQ183" s="355"/>
      <c r="HR183" s="352" t="s">
        <v>219</v>
      </c>
      <c r="HS183" s="353"/>
      <c r="HT183" s="353"/>
      <c r="HV183" s="353"/>
      <c r="HW183" s="353"/>
      <c r="HX183" s="355"/>
    </row>
    <row r="184" spans="2:232" outlineLevel="1" x14ac:dyDescent="0.25">
      <c r="B184" s="147"/>
      <c r="C184" s="147"/>
      <c r="D184" s="147"/>
      <c r="E184" s="147"/>
      <c r="F184" s="157"/>
      <c r="G184" s="147"/>
      <c r="H184" s="157"/>
      <c r="I184" s="175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V184" s="162"/>
      <c r="W184" s="159"/>
      <c r="X184" s="159"/>
      <c r="Y184" s="159"/>
      <c r="Z184" s="159"/>
      <c r="AA184" s="159"/>
      <c r="AB184" s="159"/>
      <c r="AC184" s="160"/>
      <c r="AD184" s="361"/>
      <c r="AE184" s="356"/>
      <c r="AF184" s="356"/>
      <c r="AG184" s="163"/>
      <c r="AH184" s="356"/>
      <c r="AI184" s="356"/>
      <c r="AJ184" s="357"/>
      <c r="AK184" s="361"/>
      <c r="AL184" s="356"/>
      <c r="AM184" s="356"/>
      <c r="AN184" s="163"/>
      <c r="AO184" s="356"/>
      <c r="AP184" s="356"/>
      <c r="AQ184" s="357"/>
      <c r="AR184" s="361"/>
      <c r="AS184" s="356"/>
      <c r="AT184" s="356"/>
      <c r="AU184" s="163"/>
      <c r="AV184" s="356"/>
      <c r="AW184" s="356"/>
      <c r="AX184" s="357"/>
      <c r="AY184" s="361"/>
      <c r="AZ184" s="356"/>
      <c r="BA184" s="356"/>
      <c r="BB184" s="163"/>
      <c r="BC184" s="356"/>
      <c r="BD184" s="356"/>
      <c r="BE184" s="357"/>
      <c r="BF184" s="361"/>
      <c r="BG184" s="356"/>
      <c r="BH184" s="356"/>
      <c r="BI184" s="163"/>
      <c r="BJ184" s="356"/>
      <c r="BK184" s="356"/>
      <c r="BL184" s="357"/>
      <c r="BM184" s="361"/>
      <c r="BN184" s="356"/>
      <c r="BO184" s="356"/>
      <c r="BP184" s="163"/>
      <c r="BQ184" s="356"/>
      <c r="BR184" s="356"/>
      <c r="BS184" s="357"/>
      <c r="BT184" s="361"/>
      <c r="BU184" s="356"/>
      <c r="BV184" s="356"/>
      <c r="BW184" s="163"/>
      <c r="BX184" s="356"/>
      <c r="BY184" s="356"/>
      <c r="BZ184" s="357"/>
      <c r="CA184" s="361"/>
      <c r="CB184" s="356"/>
      <c r="CC184" s="356"/>
      <c r="CD184" s="163"/>
      <c r="CE184" s="356"/>
      <c r="CF184" s="356"/>
      <c r="CG184" s="357"/>
      <c r="CH184" s="361"/>
      <c r="CI184" s="356"/>
      <c r="CJ184" s="356"/>
      <c r="CK184" s="163"/>
      <c r="CL184" s="356"/>
      <c r="CM184" s="356"/>
      <c r="CN184" s="357"/>
      <c r="CO184" s="361"/>
      <c r="CP184" s="356"/>
      <c r="CQ184" s="356"/>
      <c r="CR184" s="163"/>
      <c r="CS184" s="356"/>
      <c r="CT184" s="356"/>
      <c r="CU184" s="357"/>
      <c r="CV184" s="361"/>
      <c r="CW184" s="356"/>
      <c r="CX184" s="356"/>
      <c r="CY184" s="163"/>
      <c r="CZ184" s="356"/>
      <c r="DA184" s="356"/>
      <c r="DB184" s="357"/>
      <c r="DC184" s="361"/>
      <c r="DD184" s="356"/>
      <c r="DE184" s="356"/>
      <c r="DF184" s="163"/>
      <c r="DG184" s="356"/>
      <c r="DH184" s="356"/>
      <c r="DI184" s="357"/>
      <c r="DJ184" s="361"/>
      <c r="DK184" s="356"/>
      <c r="DL184" s="356"/>
      <c r="DM184" s="163"/>
      <c r="DN184" s="356"/>
      <c r="DO184" s="356"/>
      <c r="DP184" s="357"/>
      <c r="DQ184" s="361"/>
      <c r="DR184" s="356"/>
      <c r="DS184" s="356"/>
      <c r="DT184" s="163"/>
      <c r="DU184" s="356"/>
      <c r="DV184" s="356"/>
      <c r="DW184" s="357"/>
      <c r="DX184" s="361"/>
      <c r="DY184" s="356"/>
      <c r="DZ184" s="356"/>
      <c r="EA184" s="163"/>
      <c r="EB184" s="356"/>
      <c r="EC184" s="356"/>
      <c r="ED184" s="357"/>
      <c r="EE184" s="361"/>
      <c r="EF184" s="356"/>
      <c r="EG184" s="356"/>
      <c r="EH184" s="163"/>
      <c r="EI184" s="356"/>
      <c r="EJ184" s="356"/>
      <c r="EK184" s="357"/>
      <c r="EL184" s="361"/>
      <c r="EM184" s="356"/>
      <c r="EN184" s="356"/>
      <c r="EO184" s="163"/>
      <c r="EP184" s="356"/>
      <c r="EQ184" s="356"/>
      <c r="ER184" s="357"/>
      <c r="ES184" s="361"/>
      <c r="ET184" s="356"/>
      <c r="EU184" s="356"/>
      <c r="EV184" s="163"/>
      <c r="EW184" s="356"/>
      <c r="EX184" s="356"/>
      <c r="EY184" s="357"/>
      <c r="EZ184" s="361"/>
      <c r="FA184" s="356"/>
      <c r="FB184" s="356"/>
      <c r="FC184" s="163"/>
      <c r="FD184" s="356"/>
      <c r="FE184" s="356"/>
      <c r="FF184" s="357"/>
      <c r="FG184" s="361"/>
      <c r="FH184" s="356"/>
      <c r="FI184" s="356"/>
      <c r="FJ184" s="163"/>
      <c r="FK184" s="356"/>
      <c r="FL184" s="356"/>
      <c r="FM184" s="357"/>
      <c r="FN184" s="361"/>
      <c r="FO184" s="356"/>
      <c r="FP184" s="356"/>
      <c r="FQ184" s="163"/>
      <c r="FR184" s="356"/>
      <c r="FS184" s="356"/>
      <c r="FT184" s="357"/>
      <c r="FU184" s="361"/>
      <c r="FV184" s="356"/>
      <c r="FW184" s="356"/>
      <c r="FX184" s="163"/>
      <c r="FY184" s="356"/>
      <c r="FZ184" s="356"/>
      <c r="GA184" s="357"/>
      <c r="GB184" s="361"/>
      <c r="GC184" s="356"/>
      <c r="GD184" s="356"/>
      <c r="GE184" s="163"/>
      <c r="GF184" s="356"/>
      <c r="GG184" s="356"/>
      <c r="GH184" s="357"/>
      <c r="GI184" s="361"/>
      <c r="GJ184" s="356"/>
      <c r="GK184" s="356"/>
      <c r="GL184" s="163"/>
      <c r="GM184" s="356"/>
      <c r="GN184" s="356"/>
      <c r="GO184" s="357"/>
      <c r="GP184" s="361"/>
      <c r="GQ184" s="356"/>
      <c r="GR184" s="356"/>
      <c r="GS184" s="163"/>
      <c r="GT184" s="356"/>
      <c r="GU184" s="356"/>
      <c r="GV184" s="357"/>
      <c r="GW184" s="361"/>
      <c r="GX184" s="356"/>
      <c r="GY184" s="356"/>
      <c r="GZ184" s="163"/>
      <c r="HA184" s="356"/>
      <c r="HB184" s="356"/>
      <c r="HC184" s="357"/>
      <c r="HD184" s="361"/>
      <c r="HE184" s="356"/>
      <c r="HF184" s="356"/>
      <c r="HG184" s="163"/>
      <c r="HH184" s="356"/>
      <c r="HI184" s="356"/>
      <c r="HJ184" s="357"/>
      <c r="HK184" s="361"/>
      <c r="HL184" s="356"/>
      <c r="HM184" s="356"/>
      <c r="HN184" s="163"/>
      <c r="HO184" s="356"/>
      <c r="HP184" s="356"/>
      <c r="HQ184" s="357"/>
      <c r="HR184" s="361"/>
      <c r="HS184" s="356"/>
      <c r="HT184" s="356"/>
      <c r="HU184" s="163"/>
      <c r="HV184" s="356"/>
      <c r="HW184" s="356"/>
      <c r="HX184" s="357"/>
    </row>
    <row r="185" spans="2:232" outlineLevel="1" x14ac:dyDescent="0.25">
      <c r="B185" s="32"/>
      <c r="C185" s="333">
        <f>MAX(C178:C179)+1</f>
        <v>24</v>
      </c>
      <c r="D185" s="164" t="s">
        <v>21</v>
      </c>
      <c r="E185" s="34"/>
      <c r="F185" s="165" t="s">
        <v>529</v>
      </c>
      <c r="G185" s="165" t="s">
        <v>529</v>
      </c>
      <c r="H185" s="259" t="s">
        <v>93</v>
      </c>
      <c r="I185" s="176" t="s">
        <v>190</v>
      </c>
      <c r="J185" s="165" t="s">
        <v>171</v>
      </c>
      <c r="K185" s="165">
        <v>2031</v>
      </c>
      <c r="L185" s="165">
        <v>6</v>
      </c>
      <c r="M185" s="165"/>
      <c r="N185" s="165"/>
      <c r="O185" s="165"/>
      <c r="P185" s="165"/>
      <c r="Q185" s="165"/>
      <c r="R185" s="165"/>
      <c r="S185" s="165"/>
      <c r="T185" s="165"/>
      <c r="V185" s="11" t="s">
        <v>283</v>
      </c>
      <c r="W185" s="12"/>
      <c r="X185" s="12"/>
      <c r="Y185" s="12"/>
      <c r="Z185" s="12"/>
      <c r="AA185" s="12"/>
      <c r="AB185" s="12"/>
      <c r="AC185" s="14"/>
      <c r="AD185" s="166">
        <f>$C185</f>
        <v>24</v>
      </c>
      <c r="AE185" s="358" t="s">
        <v>175</v>
      </c>
      <c r="AF185" s="358"/>
      <c r="AG185" s="358"/>
      <c r="AH185" s="158"/>
      <c r="AI185" s="337"/>
      <c r="AJ185" s="338"/>
      <c r="AK185" s="166"/>
      <c r="AL185" s="358"/>
      <c r="AM185" s="358"/>
      <c r="AN185" s="358"/>
      <c r="AO185" s="32"/>
      <c r="AP185" s="337"/>
      <c r="AQ185" s="338"/>
      <c r="AR185" s="166"/>
      <c r="AS185" s="358"/>
      <c r="AT185" s="358"/>
      <c r="AU185" s="358"/>
      <c r="AV185" s="32"/>
      <c r="AW185" s="337"/>
      <c r="AX185" s="338"/>
      <c r="AY185" s="166"/>
      <c r="AZ185" s="362"/>
      <c r="BA185" s="362"/>
      <c r="BB185" s="362"/>
      <c r="BC185" s="158"/>
      <c r="BD185" s="337"/>
      <c r="BE185" s="338"/>
      <c r="BF185" s="166"/>
      <c r="BG185" s="362"/>
      <c r="BH185" s="362"/>
      <c r="BI185" s="362"/>
      <c r="BJ185" s="158"/>
      <c r="BK185" s="337"/>
      <c r="BL185" s="338"/>
      <c r="BM185" s="166"/>
      <c r="BN185" s="362"/>
      <c r="BO185" s="362"/>
      <c r="BP185" s="362"/>
      <c r="BQ185" s="158"/>
      <c r="BR185" s="337"/>
      <c r="BS185" s="338"/>
      <c r="BT185" s="166"/>
      <c r="BU185" s="362"/>
      <c r="BV185" s="362"/>
      <c r="BW185" s="362"/>
      <c r="BX185" s="158"/>
      <c r="BY185" s="337"/>
      <c r="BZ185" s="338"/>
      <c r="CA185" s="166"/>
      <c r="CB185" s="362"/>
      <c r="CC185" s="362"/>
      <c r="CD185" s="362"/>
      <c r="CE185" s="158"/>
      <c r="CF185" s="337"/>
      <c r="CG185" s="338"/>
      <c r="CH185" s="166"/>
      <c r="CI185" s="362"/>
      <c r="CJ185" s="362"/>
      <c r="CK185" s="362"/>
      <c r="CL185" s="158"/>
      <c r="CM185" s="337"/>
      <c r="CN185" s="338"/>
      <c r="CO185" s="166"/>
      <c r="CP185" s="362"/>
      <c r="CQ185" s="362"/>
      <c r="CR185" s="362"/>
      <c r="CS185" s="158"/>
      <c r="CT185" s="337"/>
      <c r="CU185" s="338"/>
      <c r="CV185" s="166"/>
      <c r="CW185" s="362"/>
      <c r="CX185" s="362"/>
      <c r="CY185" s="362"/>
      <c r="CZ185" s="158"/>
      <c r="DA185" s="337"/>
      <c r="DB185" s="338"/>
      <c r="DC185" s="166"/>
      <c r="DD185" s="362"/>
      <c r="DE185" s="362"/>
      <c r="DF185" s="362"/>
      <c r="DG185" s="158"/>
      <c r="DH185" s="337"/>
      <c r="DI185" s="338"/>
      <c r="DJ185" s="166"/>
      <c r="DK185" s="362"/>
      <c r="DL185" s="362"/>
      <c r="DM185" s="362"/>
      <c r="DN185" s="158"/>
      <c r="DO185" s="337"/>
      <c r="DP185" s="338"/>
      <c r="DQ185" s="166"/>
      <c r="DR185" s="362"/>
      <c r="DS185" s="362"/>
      <c r="DT185" s="362"/>
      <c r="DU185" s="158"/>
      <c r="DV185" s="337"/>
      <c r="DW185" s="338"/>
      <c r="DX185" s="166"/>
      <c r="DY185" s="362"/>
      <c r="DZ185" s="362"/>
      <c r="EA185" s="362"/>
      <c r="EB185" s="158"/>
      <c r="EC185" s="337"/>
      <c r="ED185" s="338"/>
      <c r="EE185" s="166"/>
      <c r="EF185" s="362"/>
      <c r="EG185" s="362"/>
      <c r="EH185" s="362"/>
      <c r="EI185" s="158"/>
      <c r="EJ185" s="337"/>
      <c r="EK185" s="338"/>
      <c r="EL185" s="166"/>
      <c r="EM185" s="362"/>
      <c r="EN185" s="362"/>
      <c r="EO185" s="362"/>
      <c r="EP185" s="158"/>
      <c r="EQ185" s="337"/>
      <c r="ER185" s="338"/>
      <c r="ES185" s="166"/>
      <c r="ET185" s="362"/>
      <c r="EU185" s="362"/>
      <c r="EV185" s="362"/>
      <c r="EW185" s="158"/>
      <c r="EX185" s="337"/>
      <c r="EY185" s="338"/>
      <c r="EZ185" s="166"/>
      <c r="FA185" s="362"/>
      <c r="FB185" s="362"/>
      <c r="FC185" s="362"/>
      <c r="FD185" s="158"/>
      <c r="FE185" s="337"/>
      <c r="FF185" s="338"/>
      <c r="FG185" s="166"/>
      <c r="FH185" s="362"/>
      <c r="FI185" s="362"/>
      <c r="FJ185" s="362"/>
      <c r="FK185" s="158"/>
      <c r="FL185" s="337"/>
      <c r="FM185" s="338"/>
      <c r="FN185" s="166"/>
      <c r="FO185" s="362"/>
      <c r="FP185" s="362"/>
      <c r="FQ185" s="362"/>
      <c r="FR185" s="158"/>
      <c r="FS185" s="337"/>
      <c r="FT185" s="338"/>
      <c r="FU185" s="166"/>
      <c r="FV185" s="362"/>
      <c r="FW185" s="362"/>
      <c r="FX185" s="362"/>
      <c r="FY185" s="158"/>
      <c r="FZ185" s="337"/>
      <c r="GA185" s="338"/>
      <c r="GB185" s="166"/>
      <c r="GC185" s="362"/>
      <c r="GD185" s="362"/>
      <c r="GE185" s="362"/>
      <c r="GF185" s="158"/>
      <c r="GG185" s="337"/>
      <c r="GH185" s="338"/>
      <c r="GI185" s="166"/>
      <c r="GJ185" s="362"/>
      <c r="GK185" s="362"/>
      <c r="GL185" s="362"/>
      <c r="GM185" s="158"/>
      <c r="GN185" s="337"/>
      <c r="GO185" s="338"/>
      <c r="GP185" s="166"/>
      <c r="GQ185" s="362"/>
      <c r="GR185" s="362"/>
      <c r="GS185" s="362"/>
      <c r="GT185" s="158"/>
      <c r="GU185" s="337"/>
      <c r="GV185" s="338"/>
      <c r="GW185" s="166"/>
      <c r="GX185" s="362"/>
      <c r="GY185" s="362"/>
      <c r="GZ185" s="362"/>
      <c r="HA185" s="158"/>
      <c r="HB185" s="337"/>
      <c r="HC185" s="338"/>
      <c r="HD185" s="166"/>
      <c r="HE185" s="362"/>
      <c r="HF185" s="362"/>
      <c r="HG185" s="362"/>
      <c r="HH185" s="158"/>
      <c r="HI185" s="337"/>
      <c r="HJ185" s="338"/>
      <c r="HK185" s="166"/>
      <c r="HL185" s="362"/>
      <c r="HM185" s="362"/>
      <c r="HN185" s="362"/>
      <c r="HO185" s="158"/>
      <c r="HP185" s="337"/>
      <c r="HQ185" s="338"/>
      <c r="HR185" s="166">
        <f>$AD185</f>
        <v>24</v>
      </c>
      <c r="HS185" s="358" t="s">
        <v>175</v>
      </c>
      <c r="HT185" s="358"/>
      <c r="HU185" s="358"/>
      <c r="HV185" s="257"/>
      <c r="HW185" s="337"/>
      <c r="HX185" s="338"/>
    </row>
    <row r="186" spans="2:232" outlineLevel="1" x14ac:dyDescent="0.25">
      <c r="B186" s="32"/>
      <c r="C186" s="167"/>
      <c r="D186" s="167"/>
      <c r="E186" s="34"/>
      <c r="F186" s="168"/>
      <c r="G186" s="167"/>
      <c r="H186" s="55"/>
      <c r="I186" s="177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V186" s="107"/>
      <c r="W186" s="108"/>
      <c r="X186" s="108"/>
      <c r="Y186" s="108"/>
      <c r="Z186" s="108"/>
      <c r="AA186" s="108"/>
      <c r="AB186" s="108"/>
      <c r="AC186" s="109"/>
      <c r="AD186" s="169"/>
      <c r="AE186" s="365"/>
      <c r="AF186" s="365"/>
      <c r="AG186" s="365"/>
      <c r="AH186" s="30"/>
      <c r="AI186" s="340"/>
      <c r="AJ186" s="341"/>
      <c r="AK186" s="169"/>
      <c r="AL186" s="339"/>
      <c r="AM186" s="339"/>
      <c r="AN186" s="339"/>
      <c r="AO186" s="30"/>
      <c r="AP186" s="340"/>
      <c r="AQ186" s="341"/>
      <c r="AR186" s="169"/>
      <c r="AS186" s="339"/>
      <c r="AT186" s="339"/>
      <c r="AU186" s="339"/>
      <c r="AV186" s="30"/>
      <c r="AW186" s="340"/>
      <c r="AX186" s="341"/>
      <c r="AY186" s="169"/>
      <c r="AZ186" s="339"/>
      <c r="BA186" s="339"/>
      <c r="BB186" s="339"/>
      <c r="BC186" s="30"/>
      <c r="BD186" s="340"/>
      <c r="BE186" s="341"/>
      <c r="BF186" s="169"/>
      <c r="BG186" s="339"/>
      <c r="BH186" s="339"/>
      <c r="BI186" s="339"/>
      <c r="BJ186" s="30"/>
      <c r="BK186" s="340"/>
      <c r="BL186" s="341"/>
      <c r="BM186" s="169"/>
      <c r="BN186" s="339"/>
      <c r="BO186" s="339"/>
      <c r="BP186" s="339"/>
      <c r="BQ186" s="30"/>
      <c r="BR186" s="340"/>
      <c r="BS186" s="341"/>
      <c r="BT186" s="169"/>
      <c r="BU186" s="339"/>
      <c r="BV186" s="339"/>
      <c r="BW186" s="339"/>
      <c r="BX186" s="30"/>
      <c r="BY186" s="340"/>
      <c r="BZ186" s="341"/>
      <c r="CA186" s="169"/>
      <c r="CB186" s="339"/>
      <c r="CC186" s="339"/>
      <c r="CD186" s="339"/>
      <c r="CE186" s="30"/>
      <c r="CF186" s="340"/>
      <c r="CG186" s="341"/>
      <c r="CH186" s="169"/>
      <c r="CI186" s="339"/>
      <c r="CJ186" s="339"/>
      <c r="CK186" s="339"/>
      <c r="CL186" s="30"/>
      <c r="CM186" s="340"/>
      <c r="CN186" s="341"/>
      <c r="CO186" s="169"/>
      <c r="CP186" s="339"/>
      <c r="CQ186" s="339"/>
      <c r="CR186" s="339"/>
      <c r="CS186" s="30"/>
      <c r="CT186" s="340"/>
      <c r="CU186" s="341"/>
      <c r="CV186" s="169"/>
      <c r="CW186" s="339"/>
      <c r="CX186" s="339"/>
      <c r="CY186" s="339"/>
      <c r="CZ186" s="30"/>
      <c r="DA186" s="340"/>
      <c r="DB186" s="341"/>
      <c r="DC186" s="169"/>
      <c r="DD186" s="339"/>
      <c r="DE186" s="339"/>
      <c r="DF186" s="339"/>
      <c r="DG186" s="30"/>
      <c r="DH186" s="340"/>
      <c r="DI186" s="341"/>
      <c r="DJ186" s="169"/>
      <c r="DK186" s="339"/>
      <c r="DL186" s="339"/>
      <c r="DM186" s="339"/>
      <c r="DN186" s="30"/>
      <c r="DO186" s="340"/>
      <c r="DP186" s="341"/>
      <c r="DQ186" s="169"/>
      <c r="DR186" s="339"/>
      <c r="DS186" s="339"/>
      <c r="DT186" s="339"/>
      <c r="DU186" s="30"/>
      <c r="DV186" s="340"/>
      <c r="DW186" s="341"/>
      <c r="DX186" s="169"/>
      <c r="DY186" s="339"/>
      <c r="DZ186" s="339"/>
      <c r="EA186" s="339"/>
      <c r="EB186" s="30"/>
      <c r="EC186" s="340"/>
      <c r="ED186" s="341"/>
      <c r="EE186" s="169"/>
      <c r="EF186" s="339"/>
      <c r="EG186" s="339"/>
      <c r="EH186" s="339"/>
      <c r="EI186" s="30"/>
      <c r="EJ186" s="340"/>
      <c r="EK186" s="341"/>
      <c r="EL186" s="169"/>
      <c r="EM186" s="339"/>
      <c r="EN186" s="339"/>
      <c r="EO186" s="339"/>
      <c r="EP186" s="30"/>
      <c r="EQ186" s="340"/>
      <c r="ER186" s="341"/>
      <c r="ES186" s="169"/>
      <c r="ET186" s="339"/>
      <c r="EU186" s="339"/>
      <c r="EV186" s="339"/>
      <c r="EW186" s="30"/>
      <c r="EX186" s="340"/>
      <c r="EY186" s="341"/>
      <c r="EZ186" s="169"/>
      <c r="FA186" s="339"/>
      <c r="FB186" s="339"/>
      <c r="FC186" s="339"/>
      <c r="FD186" s="30"/>
      <c r="FE186" s="340"/>
      <c r="FF186" s="341"/>
      <c r="FG186" s="169"/>
      <c r="FH186" s="339"/>
      <c r="FI186" s="339"/>
      <c r="FJ186" s="339"/>
      <c r="FK186" s="30"/>
      <c r="FL186" s="340"/>
      <c r="FM186" s="341"/>
      <c r="FN186" s="169"/>
      <c r="FO186" s="339"/>
      <c r="FP186" s="339"/>
      <c r="FQ186" s="339"/>
      <c r="FR186" s="30"/>
      <c r="FS186" s="340"/>
      <c r="FT186" s="341"/>
      <c r="FU186" s="169"/>
      <c r="FV186" s="339"/>
      <c r="FW186" s="339"/>
      <c r="FX186" s="339"/>
      <c r="FY186" s="30"/>
      <c r="FZ186" s="340"/>
      <c r="GA186" s="341"/>
      <c r="GB186" s="169"/>
      <c r="GC186" s="339"/>
      <c r="GD186" s="339"/>
      <c r="GE186" s="339"/>
      <c r="GF186" s="30"/>
      <c r="GG186" s="340"/>
      <c r="GH186" s="341"/>
      <c r="GI186" s="169"/>
      <c r="GJ186" s="339"/>
      <c r="GK186" s="339"/>
      <c r="GL186" s="339"/>
      <c r="GM186" s="30"/>
      <c r="GN186" s="340"/>
      <c r="GO186" s="341"/>
      <c r="GP186" s="169"/>
      <c r="GQ186" s="339"/>
      <c r="GR186" s="339"/>
      <c r="GS186" s="339"/>
      <c r="GT186" s="30"/>
      <c r="GU186" s="340"/>
      <c r="GV186" s="341"/>
      <c r="GW186" s="169"/>
      <c r="GX186" s="339"/>
      <c r="GY186" s="339"/>
      <c r="GZ186" s="339"/>
      <c r="HA186" s="30"/>
      <c r="HB186" s="340"/>
      <c r="HC186" s="341"/>
      <c r="HD186" s="169"/>
      <c r="HE186" s="339"/>
      <c r="HF186" s="339"/>
      <c r="HG186" s="339"/>
      <c r="HH186" s="30"/>
      <c r="HI186" s="340"/>
      <c r="HJ186" s="341"/>
      <c r="HK186" s="169"/>
      <c r="HL186" s="339"/>
      <c r="HM186" s="339"/>
      <c r="HN186" s="339"/>
      <c r="HO186" s="30"/>
      <c r="HP186" s="340"/>
      <c r="HQ186" s="341"/>
      <c r="HR186" s="169"/>
      <c r="HS186" s="365"/>
      <c r="HT186" s="365"/>
      <c r="HU186" s="365"/>
      <c r="HV186" s="258"/>
      <c r="HW186" s="340"/>
      <c r="HX186" s="341"/>
    </row>
    <row r="187" spans="2:232" outlineLevel="1" x14ac:dyDescent="0.25">
      <c r="B187" s="147"/>
      <c r="C187" s="147"/>
      <c r="D187" s="147"/>
      <c r="E187" s="147"/>
      <c r="F187" s="157"/>
      <c r="G187" s="147"/>
      <c r="H187" s="157"/>
      <c r="I187" s="175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V187" s="150" t="s">
        <v>170</v>
      </c>
      <c r="W187" s="151"/>
      <c r="X187" s="151"/>
      <c r="Y187" s="151"/>
      <c r="Z187" s="151"/>
      <c r="AA187" s="151"/>
      <c r="AB187" s="369"/>
      <c r="AC187" s="370"/>
      <c r="AD187" s="342" t="s">
        <v>217</v>
      </c>
      <c r="AE187" s="343"/>
      <c r="AF187" s="343"/>
      <c r="AG187" s="343"/>
      <c r="AH187" s="343"/>
      <c r="AI187" s="152"/>
      <c r="AJ187" s="155">
        <f>COUNTA(AD192:AD193)</f>
        <v>1</v>
      </c>
      <c r="AK187" s="156"/>
      <c r="AL187" s="152"/>
      <c r="AM187" s="153"/>
      <c r="AN187" s="152"/>
      <c r="AO187" s="154"/>
      <c r="AP187" s="152"/>
      <c r="AQ187" s="155">
        <f>COUNTA(AK192:AK193)</f>
        <v>0</v>
      </c>
      <c r="AR187" s="156"/>
      <c r="AS187" s="152"/>
      <c r="AT187" s="153"/>
      <c r="AU187" s="152"/>
      <c r="AV187" s="154"/>
      <c r="AW187" s="152"/>
      <c r="AX187" s="155">
        <f>COUNTA(AR192:AR193)</f>
        <v>0</v>
      </c>
      <c r="AY187" s="156"/>
      <c r="AZ187" s="152"/>
      <c r="BA187" s="153"/>
      <c r="BB187" s="152"/>
      <c r="BC187" s="154"/>
      <c r="BD187" s="152"/>
      <c r="BE187" s="155">
        <f>COUNTA(AY192:AY193)</f>
        <v>0</v>
      </c>
      <c r="BF187" s="156"/>
      <c r="BG187" s="152"/>
      <c r="BH187" s="153"/>
      <c r="BI187" s="152"/>
      <c r="BJ187" s="154"/>
      <c r="BK187" s="152"/>
      <c r="BL187" s="155">
        <f>COUNTA(BF192:BF193)</f>
        <v>0</v>
      </c>
      <c r="BM187" s="156"/>
      <c r="BN187" s="152"/>
      <c r="BO187" s="153"/>
      <c r="BP187" s="152"/>
      <c r="BQ187" s="154"/>
      <c r="BR187" s="152"/>
      <c r="BS187" s="155">
        <f>COUNTA(BM192:BM193)</f>
        <v>0</v>
      </c>
      <c r="BT187" s="156"/>
      <c r="BU187" s="152"/>
      <c r="BV187" s="153"/>
      <c r="BW187" s="152"/>
      <c r="BX187" s="154"/>
      <c r="BY187" s="152"/>
      <c r="BZ187" s="155">
        <f>COUNTA(BT192:BT193)</f>
        <v>0</v>
      </c>
      <c r="CA187" s="156"/>
      <c r="CB187" s="152"/>
      <c r="CC187" s="153"/>
      <c r="CD187" s="152"/>
      <c r="CE187" s="154"/>
      <c r="CF187" s="152"/>
      <c r="CG187" s="155">
        <f>COUNTA(CA192:CA193)</f>
        <v>0</v>
      </c>
      <c r="CH187" s="156"/>
      <c r="CI187" s="152"/>
      <c r="CJ187" s="153"/>
      <c r="CK187" s="152"/>
      <c r="CL187" s="154"/>
      <c r="CM187" s="152"/>
      <c r="CN187" s="155">
        <f>COUNTA(CH192:CH193)</f>
        <v>0</v>
      </c>
      <c r="CO187" s="156"/>
      <c r="CP187" s="152"/>
      <c r="CQ187" s="153"/>
      <c r="CR187" s="152"/>
      <c r="CS187" s="154"/>
      <c r="CT187" s="152"/>
      <c r="CU187" s="155">
        <f>COUNTA(CO192:CO193)</f>
        <v>0</v>
      </c>
      <c r="CV187" s="156"/>
      <c r="CW187" s="152"/>
      <c r="CX187" s="153"/>
      <c r="CY187" s="152"/>
      <c r="CZ187" s="154"/>
      <c r="DA187" s="152"/>
      <c r="DB187" s="155">
        <f>COUNTA(CV192:CV193)</f>
        <v>0</v>
      </c>
      <c r="DC187" s="156"/>
      <c r="DD187" s="152"/>
      <c r="DE187" s="153"/>
      <c r="DF187" s="152"/>
      <c r="DG187" s="154"/>
      <c r="DH187" s="152"/>
      <c r="DI187" s="155">
        <f>COUNTA(DC192:DC193)</f>
        <v>0</v>
      </c>
      <c r="DJ187" s="156"/>
      <c r="DK187" s="152"/>
      <c r="DL187" s="153"/>
      <c r="DM187" s="152"/>
      <c r="DN187" s="154"/>
      <c r="DO187" s="152"/>
      <c r="DP187" s="155">
        <f>COUNTA(DJ192:DJ193)</f>
        <v>0</v>
      </c>
      <c r="DQ187" s="156"/>
      <c r="DR187" s="152"/>
      <c r="DS187" s="153"/>
      <c r="DT187" s="152"/>
      <c r="DU187" s="154"/>
      <c r="DV187" s="152"/>
      <c r="DW187" s="155">
        <f>COUNTA(DQ192:DQ193)</f>
        <v>0</v>
      </c>
      <c r="DX187" s="156"/>
      <c r="DY187" s="152"/>
      <c r="DZ187" s="153"/>
      <c r="EA187" s="152"/>
      <c r="EB187" s="154"/>
      <c r="EC187" s="152"/>
      <c r="ED187" s="155">
        <f>COUNTA(DX192:DX193)</f>
        <v>0</v>
      </c>
      <c r="EE187" s="156"/>
      <c r="EF187" s="152"/>
      <c r="EG187" s="153"/>
      <c r="EH187" s="152"/>
      <c r="EI187" s="154"/>
      <c r="EJ187" s="152"/>
      <c r="EK187" s="155">
        <f>COUNTA(EE192:EE193)</f>
        <v>0</v>
      </c>
      <c r="EL187" s="156"/>
      <c r="EM187" s="152"/>
      <c r="EN187" s="153"/>
      <c r="EO187" s="152"/>
      <c r="EP187" s="154"/>
      <c r="EQ187" s="152"/>
      <c r="ER187" s="155">
        <f>COUNTA(EL192:EL193)</f>
        <v>0</v>
      </c>
      <c r="ES187" s="156"/>
      <c r="ET187" s="152"/>
      <c r="EU187" s="153"/>
      <c r="EV187" s="152"/>
      <c r="EW187" s="154"/>
      <c r="EX187" s="152"/>
      <c r="EY187" s="155">
        <f>COUNTA(ES192:ES193)</f>
        <v>0</v>
      </c>
      <c r="EZ187" s="156"/>
      <c r="FA187" s="152"/>
      <c r="FB187" s="153"/>
      <c r="FC187" s="152"/>
      <c r="FD187" s="154"/>
      <c r="FE187" s="152"/>
      <c r="FF187" s="155">
        <f>COUNTA(EZ192:EZ193)</f>
        <v>0</v>
      </c>
      <c r="FG187" s="156"/>
      <c r="FH187" s="152"/>
      <c r="FI187" s="153"/>
      <c r="FJ187" s="152"/>
      <c r="FK187" s="154"/>
      <c r="FL187" s="152"/>
      <c r="FM187" s="155">
        <f>COUNTA(FG192:FG193)</f>
        <v>0</v>
      </c>
      <c r="FN187" s="156"/>
      <c r="FO187" s="152"/>
      <c r="FP187" s="153"/>
      <c r="FQ187" s="152"/>
      <c r="FR187" s="154"/>
      <c r="FS187" s="152"/>
      <c r="FT187" s="155">
        <f>COUNTA(FN192:FN193)</f>
        <v>0</v>
      </c>
      <c r="FU187" s="156"/>
      <c r="FV187" s="152"/>
      <c r="FW187" s="153"/>
      <c r="FX187" s="152"/>
      <c r="FY187" s="154"/>
      <c r="FZ187" s="152"/>
      <c r="GA187" s="155">
        <f>COUNTA(FU192:FU193)</f>
        <v>0</v>
      </c>
      <c r="GB187" s="156"/>
      <c r="GC187" s="152"/>
      <c r="GD187" s="153"/>
      <c r="GE187" s="152"/>
      <c r="GF187" s="154"/>
      <c r="GG187" s="152"/>
      <c r="GH187" s="155">
        <f>COUNTA(GB192:GB193)</f>
        <v>0</v>
      </c>
      <c r="GI187" s="156"/>
      <c r="GJ187" s="152"/>
      <c r="GK187" s="153"/>
      <c r="GL187" s="152"/>
      <c r="GM187" s="154"/>
      <c r="GN187" s="152"/>
      <c r="GO187" s="155">
        <f>COUNTA(GI192:GI193)</f>
        <v>0</v>
      </c>
      <c r="GP187" s="156"/>
      <c r="GQ187" s="152"/>
      <c r="GR187" s="153"/>
      <c r="GS187" s="152"/>
      <c r="GT187" s="154"/>
      <c r="GU187" s="152"/>
      <c r="GV187" s="155">
        <f>COUNTA(GP192:GP193)</f>
        <v>0</v>
      </c>
      <c r="GW187" s="156"/>
      <c r="GX187" s="152"/>
      <c r="GY187" s="153"/>
      <c r="GZ187" s="152"/>
      <c r="HA187" s="154"/>
      <c r="HB187" s="152"/>
      <c r="HC187" s="155">
        <f>COUNTA(GW192:GW193)</f>
        <v>0</v>
      </c>
      <c r="HD187" s="156"/>
      <c r="HE187" s="152"/>
      <c r="HF187" s="153"/>
      <c r="HG187" s="152"/>
      <c r="HH187" s="154"/>
      <c r="HI187" s="152"/>
      <c r="HJ187" s="155">
        <f>COUNTA(HD192:HD193)</f>
        <v>0</v>
      </c>
      <c r="HK187" s="156"/>
      <c r="HL187" s="152"/>
      <c r="HM187" s="153"/>
      <c r="HN187" s="152"/>
      <c r="HO187" s="154"/>
      <c r="HP187" s="152"/>
      <c r="HQ187" s="155">
        <f>COUNTA(HK192:HK193)</f>
        <v>0</v>
      </c>
      <c r="HR187" s="342" t="s">
        <v>217</v>
      </c>
      <c r="HS187" s="343"/>
      <c r="HT187" s="343"/>
      <c r="HU187" s="343"/>
      <c r="HV187" s="343"/>
      <c r="HW187" s="152"/>
      <c r="HX187" s="155">
        <f>COUNTA(HR192:HR193)</f>
        <v>1</v>
      </c>
    </row>
    <row r="188" spans="2:232" ht="15" customHeight="1" outlineLevel="1" x14ac:dyDescent="0.25">
      <c r="B188" s="147"/>
      <c r="C188" s="147"/>
      <c r="D188" s="147"/>
      <c r="E188" s="147"/>
      <c r="F188" s="157"/>
      <c r="G188" s="147"/>
      <c r="H188" s="157"/>
      <c r="I188" s="175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V188" s="185" t="s">
        <v>224</v>
      </c>
      <c r="W188" s="186"/>
      <c r="X188" s="186"/>
      <c r="Y188" s="186"/>
      <c r="Z188" s="186"/>
      <c r="AA188" s="186"/>
      <c r="AB188" s="187"/>
      <c r="AC188" s="188"/>
      <c r="AD188" s="344" t="s">
        <v>533</v>
      </c>
      <c r="AE188" s="345"/>
      <c r="AF188" s="345"/>
      <c r="AG188" s="181" t="s">
        <v>75</v>
      </c>
      <c r="AH188" s="346" t="s">
        <v>308</v>
      </c>
      <c r="AI188" s="346"/>
      <c r="AJ188" s="349"/>
      <c r="AK188" s="180"/>
      <c r="AL188" s="181"/>
      <c r="AM188" s="182"/>
      <c r="AN188" s="181"/>
      <c r="AO188" s="183"/>
      <c r="AP188" s="181"/>
      <c r="AQ188" s="184"/>
      <c r="AR188" s="180"/>
      <c r="AS188" s="181"/>
      <c r="AT188" s="182"/>
      <c r="AU188" s="181"/>
      <c r="AV188" s="183"/>
      <c r="AW188" s="181"/>
      <c r="AX188" s="184"/>
      <c r="AY188" s="180"/>
      <c r="AZ188" s="181"/>
      <c r="BA188" s="182"/>
      <c r="BB188" s="181"/>
      <c r="BC188" s="183"/>
      <c r="BD188" s="181"/>
      <c r="BE188" s="184"/>
      <c r="BF188" s="180"/>
      <c r="BG188" s="181"/>
      <c r="BH188" s="182"/>
      <c r="BI188" s="181"/>
      <c r="BJ188" s="183"/>
      <c r="BK188" s="181"/>
      <c r="BL188" s="184"/>
      <c r="BM188" s="180"/>
      <c r="BN188" s="181"/>
      <c r="BO188" s="182"/>
      <c r="BP188" s="181"/>
      <c r="BQ188" s="183"/>
      <c r="BR188" s="181"/>
      <c r="BS188" s="184"/>
      <c r="BT188" s="180"/>
      <c r="BU188" s="181"/>
      <c r="BV188" s="182"/>
      <c r="BW188" s="181"/>
      <c r="BX188" s="183"/>
      <c r="BY188" s="181"/>
      <c r="BZ188" s="184"/>
      <c r="CA188" s="180"/>
      <c r="CB188" s="181"/>
      <c r="CC188" s="182"/>
      <c r="CD188" s="181"/>
      <c r="CE188" s="183"/>
      <c r="CF188" s="181"/>
      <c r="CG188" s="184"/>
      <c r="CH188" s="180"/>
      <c r="CI188" s="181"/>
      <c r="CJ188" s="182"/>
      <c r="CK188" s="181"/>
      <c r="CL188" s="183"/>
      <c r="CM188" s="181"/>
      <c r="CN188" s="184"/>
      <c r="CO188" s="180"/>
      <c r="CP188" s="181"/>
      <c r="CQ188" s="182"/>
      <c r="CR188" s="181"/>
      <c r="CS188" s="183"/>
      <c r="CT188" s="181"/>
      <c r="CU188" s="184"/>
      <c r="CV188" s="180"/>
      <c r="CW188" s="181"/>
      <c r="CX188" s="182"/>
      <c r="CY188" s="181"/>
      <c r="CZ188" s="183"/>
      <c r="DA188" s="181"/>
      <c r="DB188" s="184"/>
      <c r="DC188" s="180"/>
      <c r="DD188" s="181"/>
      <c r="DE188" s="182"/>
      <c r="DF188" s="181"/>
      <c r="DG188" s="183"/>
      <c r="DH188" s="181"/>
      <c r="DI188" s="184"/>
      <c r="DJ188" s="180"/>
      <c r="DK188" s="181"/>
      <c r="DL188" s="182"/>
      <c r="DM188" s="181"/>
      <c r="DN188" s="183"/>
      <c r="DO188" s="181"/>
      <c r="DP188" s="184"/>
      <c r="DQ188" s="180"/>
      <c r="DR188" s="181"/>
      <c r="DS188" s="182"/>
      <c r="DT188" s="181"/>
      <c r="DU188" s="183"/>
      <c r="DV188" s="181"/>
      <c r="DW188" s="184"/>
      <c r="DX188" s="180"/>
      <c r="DY188" s="181"/>
      <c r="DZ188" s="182"/>
      <c r="EA188" s="181"/>
      <c r="EB188" s="183"/>
      <c r="EC188" s="181"/>
      <c r="ED188" s="184"/>
      <c r="EE188" s="180"/>
      <c r="EF188" s="181"/>
      <c r="EG188" s="182"/>
      <c r="EH188" s="181"/>
      <c r="EI188" s="183"/>
      <c r="EJ188" s="181"/>
      <c r="EK188" s="184"/>
      <c r="EL188" s="180"/>
      <c r="EM188" s="181"/>
      <c r="EN188" s="182"/>
      <c r="EO188" s="181"/>
      <c r="EP188" s="183"/>
      <c r="EQ188" s="181"/>
      <c r="ER188" s="184"/>
      <c r="ES188" s="180"/>
      <c r="ET188" s="181"/>
      <c r="EU188" s="182"/>
      <c r="EV188" s="181"/>
      <c r="EW188" s="183"/>
      <c r="EX188" s="181"/>
      <c r="EY188" s="184"/>
      <c r="EZ188" s="180"/>
      <c r="FA188" s="181"/>
      <c r="FB188" s="182"/>
      <c r="FC188" s="181"/>
      <c r="FD188" s="183"/>
      <c r="FE188" s="181"/>
      <c r="FF188" s="184"/>
      <c r="FG188" s="180"/>
      <c r="FH188" s="181"/>
      <c r="FI188" s="182"/>
      <c r="FJ188" s="181"/>
      <c r="FK188" s="183"/>
      <c r="FL188" s="181"/>
      <c r="FM188" s="184"/>
      <c r="FN188" s="180"/>
      <c r="FO188" s="181"/>
      <c r="FP188" s="182"/>
      <c r="FQ188" s="181"/>
      <c r="FR188" s="183"/>
      <c r="FS188" s="181"/>
      <c r="FT188" s="184"/>
      <c r="FU188" s="180"/>
      <c r="FV188" s="181"/>
      <c r="FW188" s="182"/>
      <c r="FX188" s="181"/>
      <c r="FY188" s="183"/>
      <c r="FZ188" s="181"/>
      <c r="GA188" s="184"/>
      <c r="GB188" s="180"/>
      <c r="GC188" s="181"/>
      <c r="GD188" s="182"/>
      <c r="GE188" s="181"/>
      <c r="GF188" s="183"/>
      <c r="GG188" s="181"/>
      <c r="GH188" s="184"/>
      <c r="GI188" s="180"/>
      <c r="GJ188" s="181"/>
      <c r="GK188" s="182"/>
      <c r="GL188" s="181"/>
      <c r="GM188" s="183"/>
      <c r="GN188" s="181"/>
      <c r="GO188" s="184"/>
      <c r="GP188" s="180"/>
      <c r="GQ188" s="181"/>
      <c r="GR188" s="182"/>
      <c r="GS188" s="181"/>
      <c r="GT188" s="183"/>
      <c r="GU188" s="181"/>
      <c r="GV188" s="184"/>
      <c r="GW188" s="180"/>
      <c r="GX188" s="181"/>
      <c r="GY188" s="182"/>
      <c r="GZ188" s="181"/>
      <c r="HA188" s="183"/>
      <c r="HB188" s="181"/>
      <c r="HC188" s="184"/>
      <c r="HD188" s="180"/>
      <c r="HE188" s="181"/>
      <c r="HF188" s="182"/>
      <c r="HG188" s="181"/>
      <c r="HH188" s="183"/>
      <c r="HI188" s="181"/>
      <c r="HJ188" s="184"/>
      <c r="HK188" s="180"/>
      <c r="HL188" s="181"/>
      <c r="HM188" s="182"/>
      <c r="HN188" s="181"/>
      <c r="HO188" s="183"/>
      <c r="HP188" s="181"/>
      <c r="HQ188" s="184"/>
      <c r="HR188" s="344" t="s">
        <v>533</v>
      </c>
      <c r="HS188" s="345"/>
      <c r="HT188" s="345"/>
      <c r="HU188" s="181" t="s">
        <v>75</v>
      </c>
      <c r="HV188" s="376" t="s">
        <v>308</v>
      </c>
      <c r="HW188" s="376"/>
      <c r="HX188" s="377"/>
    </row>
    <row r="189" spans="2:232" outlineLevel="1" x14ac:dyDescent="0.25">
      <c r="B189" s="147"/>
      <c r="C189" s="147"/>
      <c r="D189" s="147"/>
      <c r="E189" s="147"/>
      <c r="F189" s="157"/>
      <c r="G189" s="147"/>
      <c r="H189" s="157"/>
      <c r="I189" s="175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V189" s="161" t="s">
        <v>199</v>
      </c>
      <c r="W189" s="12"/>
      <c r="X189" s="12"/>
      <c r="Y189" s="12"/>
      <c r="Z189" s="12"/>
      <c r="AA189" s="12"/>
      <c r="AB189" s="12"/>
      <c r="AC189" s="14"/>
      <c r="AD189" s="350" t="s">
        <v>22</v>
      </c>
      <c r="AE189" s="337"/>
      <c r="AF189" s="337"/>
      <c r="AG189" s="1" t="s">
        <v>57</v>
      </c>
      <c r="AH189" s="337" t="s">
        <v>218</v>
      </c>
      <c r="AI189" s="337"/>
      <c r="AJ189" s="338"/>
      <c r="AK189" s="350"/>
      <c r="AL189" s="337"/>
      <c r="AM189" s="337"/>
      <c r="AO189" s="337"/>
      <c r="AP189" s="337"/>
      <c r="AQ189" s="338"/>
      <c r="AR189" s="350"/>
      <c r="AS189" s="337"/>
      <c r="AT189" s="337"/>
      <c r="AV189" s="337"/>
      <c r="AW189" s="337"/>
      <c r="AX189" s="338"/>
      <c r="AY189" s="350"/>
      <c r="AZ189" s="337"/>
      <c r="BA189" s="337"/>
      <c r="BC189" s="337"/>
      <c r="BD189" s="337"/>
      <c r="BE189" s="338"/>
      <c r="BF189" s="350"/>
      <c r="BG189" s="337"/>
      <c r="BH189" s="337"/>
      <c r="BJ189" s="337"/>
      <c r="BK189" s="337"/>
      <c r="BL189" s="338"/>
      <c r="BM189" s="350"/>
      <c r="BN189" s="337"/>
      <c r="BO189" s="337"/>
      <c r="BQ189" s="337"/>
      <c r="BR189" s="337"/>
      <c r="BS189" s="338"/>
      <c r="BT189" s="350"/>
      <c r="BU189" s="337"/>
      <c r="BV189" s="337"/>
      <c r="BX189" s="337"/>
      <c r="BY189" s="337"/>
      <c r="BZ189" s="338"/>
      <c r="CA189" s="350"/>
      <c r="CB189" s="337"/>
      <c r="CC189" s="337"/>
      <c r="CE189" s="337"/>
      <c r="CF189" s="337"/>
      <c r="CG189" s="338"/>
      <c r="CH189" s="350"/>
      <c r="CI189" s="337"/>
      <c r="CJ189" s="337"/>
      <c r="CL189" s="337"/>
      <c r="CM189" s="337"/>
      <c r="CN189" s="338"/>
      <c r="CO189" s="350"/>
      <c r="CP189" s="337"/>
      <c r="CQ189" s="337"/>
      <c r="CS189" s="337"/>
      <c r="CT189" s="337"/>
      <c r="CU189" s="338"/>
      <c r="CV189" s="350"/>
      <c r="CW189" s="337"/>
      <c r="CX189" s="337"/>
      <c r="CZ189" s="337"/>
      <c r="DA189" s="337"/>
      <c r="DB189" s="338"/>
      <c r="DC189" s="350"/>
      <c r="DD189" s="337"/>
      <c r="DE189" s="337"/>
      <c r="DG189" s="337"/>
      <c r="DH189" s="337"/>
      <c r="DI189" s="338"/>
      <c r="DJ189" s="350"/>
      <c r="DK189" s="337"/>
      <c r="DL189" s="337"/>
      <c r="DN189" s="337"/>
      <c r="DO189" s="337"/>
      <c r="DP189" s="338"/>
      <c r="DQ189" s="350"/>
      <c r="DR189" s="337"/>
      <c r="DS189" s="337"/>
      <c r="DU189" s="337"/>
      <c r="DV189" s="337"/>
      <c r="DW189" s="338"/>
      <c r="DX189" s="350"/>
      <c r="DY189" s="337"/>
      <c r="DZ189" s="337"/>
      <c r="EB189" s="337"/>
      <c r="EC189" s="337"/>
      <c r="ED189" s="338"/>
      <c r="EE189" s="350"/>
      <c r="EF189" s="337"/>
      <c r="EG189" s="337"/>
      <c r="EI189" s="337"/>
      <c r="EJ189" s="337"/>
      <c r="EK189" s="338"/>
      <c r="EL189" s="350"/>
      <c r="EM189" s="337"/>
      <c r="EN189" s="337"/>
      <c r="EP189" s="337"/>
      <c r="EQ189" s="337"/>
      <c r="ER189" s="338"/>
      <c r="ES189" s="350"/>
      <c r="ET189" s="337"/>
      <c r="EU189" s="337"/>
      <c r="EW189" s="337"/>
      <c r="EX189" s="337"/>
      <c r="EY189" s="338"/>
      <c r="EZ189" s="350"/>
      <c r="FA189" s="337"/>
      <c r="FB189" s="337"/>
      <c r="FD189" s="337"/>
      <c r="FE189" s="337"/>
      <c r="FF189" s="338"/>
      <c r="FG189" s="350"/>
      <c r="FH189" s="337"/>
      <c r="FI189" s="337"/>
      <c r="FK189" s="337"/>
      <c r="FL189" s="337"/>
      <c r="FM189" s="338"/>
      <c r="FN189" s="350"/>
      <c r="FO189" s="337"/>
      <c r="FP189" s="337"/>
      <c r="FR189" s="337"/>
      <c r="FS189" s="337"/>
      <c r="FT189" s="338"/>
      <c r="FU189" s="350"/>
      <c r="FV189" s="337"/>
      <c r="FW189" s="337"/>
      <c r="FY189" s="337"/>
      <c r="FZ189" s="337"/>
      <c r="GA189" s="338"/>
      <c r="GB189" s="350"/>
      <c r="GC189" s="337"/>
      <c r="GD189" s="337"/>
      <c r="GF189" s="337"/>
      <c r="GG189" s="337"/>
      <c r="GH189" s="338"/>
      <c r="GI189" s="350"/>
      <c r="GJ189" s="337"/>
      <c r="GK189" s="337"/>
      <c r="GM189" s="337"/>
      <c r="GN189" s="337"/>
      <c r="GO189" s="338"/>
      <c r="GP189" s="350"/>
      <c r="GQ189" s="337"/>
      <c r="GR189" s="337"/>
      <c r="GT189" s="337"/>
      <c r="GU189" s="337"/>
      <c r="GV189" s="338"/>
      <c r="GW189" s="350"/>
      <c r="GX189" s="337"/>
      <c r="GY189" s="337"/>
      <c r="HA189" s="337"/>
      <c r="HB189" s="337"/>
      <c r="HC189" s="338"/>
      <c r="HD189" s="350"/>
      <c r="HE189" s="337"/>
      <c r="HF189" s="337"/>
      <c r="HH189" s="337"/>
      <c r="HI189" s="337"/>
      <c r="HJ189" s="338"/>
      <c r="HK189" s="350"/>
      <c r="HL189" s="337"/>
      <c r="HM189" s="337"/>
      <c r="HO189" s="337"/>
      <c r="HP189" s="337"/>
      <c r="HQ189" s="338"/>
      <c r="HR189" s="350" t="s">
        <v>218</v>
      </c>
      <c r="HS189" s="337"/>
      <c r="HT189" s="337"/>
      <c r="HU189" s="191"/>
      <c r="HV189" s="337"/>
      <c r="HW189" s="337"/>
      <c r="HX189" s="338"/>
    </row>
    <row r="190" spans="2:232" outlineLevel="1" x14ac:dyDescent="0.25">
      <c r="B190" s="147"/>
      <c r="C190" s="147"/>
      <c r="D190" s="147"/>
      <c r="E190" s="147"/>
      <c r="F190" s="157"/>
      <c r="G190" s="147"/>
      <c r="H190" s="157"/>
      <c r="I190" s="175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V190" s="161" t="s">
        <v>200</v>
      </c>
      <c r="W190" s="12"/>
      <c r="X190" s="12"/>
      <c r="Y190" s="12"/>
      <c r="Z190" s="12"/>
      <c r="AA190" s="12"/>
      <c r="AB190" s="12"/>
      <c r="AC190" s="14"/>
      <c r="AD190" s="352" t="s">
        <v>22</v>
      </c>
      <c r="AE190" s="353"/>
      <c r="AF190" s="353"/>
      <c r="AG190" s="1" t="s">
        <v>57</v>
      </c>
      <c r="AH190" s="353" t="s">
        <v>219</v>
      </c>
      <c r="AI190" s="353"/>
      <c r="AJ190" s="355"/>
      <c r="AK190" s="352"/>
      <c r="AL190" s="353"/>
      <c r="AM190" s="353"/>
      <c r="AO190" s="353"/>
      <c r="AP190" s="353"/>
      <c r="AQ190" s="355"/>
      <c r="AR190" s="352"/>
      <c r="AS190" s="353"/>
      <c r="AT190" s="353"/>
      <c r="AV190" s="353"/>
      <c r="AW190" s="353"/>
      <c r="AX190" s="355"/>
      <c r="AY190" s="352"/>
      <c r="AZ190" s="353"/>
      <c r="BA190" s="353"/>
      <c r="BC190" s="353"/>
      <c r="BD190" s="353"/>
      <c r="BE190" s="355"/>
      <c r="BF190" s="352"/>
      <c r="BG190" s="353"/>
      <c r="BH190" s="353"/>
      <c r="BJ190" s="353"/>
      <c r="BK190" s="353"/>
      <c r="BL190" s="355"/>
      <c r="BM190" s="352"/>
      <c r="BN190" s="353"/>
      <c r="BO190" s="353"/>
      <c r="BQ190" s="353"/>
      <c r="BR190" s="353"/>
      <c r="BS190" s="355"/>
      <c r="BT190" s="352"/>
      <c r="BU190" s="353"/>
      <c r="BV190" s="353"/>
      <c r="BX190" s="353"/>
      <c r="BY190" s="353"/>
      <c r="BZ190" s="355"/>
      <c r="CA190" s="352"/>
      <c r="CB190" s="353"/>
      <c r="CC190" s="353"/>
      <c r="CE190" s="353"/>
      <c r="CF190" s="353"/>
      <c r="CG190" s="355"/>
      <c r="CH190" s="352"/>
      <c r="CI190" s="353"/>
      <c r="CJ190" s="353"/>
      <c r="CL190" s="353"/>
      <c r="CM190" s="353"/>
      <c r="CN190" s="355"/>
      <c r="CO190" s="352"/>
      <c r="CP190" s="353"/>
      <c r="CQ190" s="353"/>
      <c r="CS190" s="353"/>
      <c r="CT190" s="353"/>
      <c r="CU190" s="355"/>
      <c r="CV190" s="352"/>
      <c r="CW190" s="353"/>
      <c r="CX190" s="353"/>
      <c r="CZ190" s="353"/>
      <c r="DA190" s="353"/>
      <c r="DB190" s="355"/>
      <c r="DC190" s="352"/>
      <c r="DD190" s="353"/>
      <c r="DE190" s="353"/>
      <c r="DG190" s="353"/>
      <c r="DH190" s="353"/>
      <c r="DI190" s="355"/>
      <c r="DJ190" s="352"/>
      <c r="DK190" s="353"/>
      <c r="DL190" s="353"/>
      <c r="DN190" s="353"/>
      <c r="DO190" s="353"/>
      <c r="DP190" s="355"/>
      <c r="DQ190" s="352"/>
      <c r="DR190" s="353"/>
      <c r="DS190" s="353"/>
      <c r="DU190" s="353"/>
      <c r="DV190" s="353"/>
      <c r="DW190" s="355"/>
      <c r="DX190" s="352"/>
      <c r="DY190" s="353"/>
      <c r="DZ190" s="353"/>
      <c r="EB190" s="353"/>
      <c r="EC190" s="353"/>
      <c r="ED190" s="355"/>
      <c r="EE190" s="352"/>
      <c r="EF190" s="353"/>
      <c r="EG190" s="353"/>
      <c r="EI190" s="353"/>
      <c r="EJ190" s="353"/>
      <c r="EK190" s="355"/>
      <c r="EL190" s="352"/>
      <c r="EM190" s="353"/>
      <c r="EN190" s="353"/>
      <c r="EP190" s="353"/>
      <c r="EQ190" s="353"/>
      <c r="ER190" s="355"/>
      <c r="ES190" s="352"/>
      <c r="ET190" s="353"/>
      <c r="EU190" s="353"/>
      <c r="EW190" s="353"/>
      <c r="EX190" s="353"/>
      <c r="EY190" s="355"/>
      <c r="EZ190" s="352"/>
      <c r="FA190" s="353"/>
      <c r="FB190" s="353"/>
      <c r="FD190" s="353"/>
      <c r="FE190" s="353"/>
      <c r="FF190" s="355"/>
      <c r="FG190" s="352"/>
      <c r="FH190" s="353"/>
      <c r="FI190" s="353"/>
      <c r="FK190" s="353"/>
      <c r="FL190" s="353"/>
      <c r="FM190" s="355"/>
      <c r="FN190" s="352"/>
      <c r="FO190" s="353"/>
      <c r="FP190" s="353"/>
      <c r="FR190" s="353"/>
      <c r="FS190" s="353"/>
      <c r="FT190" s="355"/>
      <c r="FU190" s="352"/>
      <c r="FV190" s="353"/>
      <c r="FW190" s="353"/>
      <c r="FY190" s="353"/>
      <c r="FZ190" s="353"/>
      <c r="GA190" s="355"/>
      <c r="GB190" s="352"/>
      <c r="GC190" s="353"/>
      <c r="GD190" s="353"/>
      <c r="GF190" s="353"/>
      <c r="GG190" s="353"/>
      <c r="GH190" s="355"/>
      <c r="GI190" s="352"/>
      <c r="GJ190" s="353"/>
      <c r="GK190" s="353"/>
      <c r="GM190" s="353"/>
      <c r="GN190" s="353"/>
      <c r="GO190" s="355"/>
      <c r="GP190" s="352"/>
      <c r="GQ190" s="353"/>
      <c r="GR190" s="353"/>
      <c r="GT190" s="353"/>
      <c r="GU190" s="353"/>
      <c r="GV190" s="355"/>
      <c r="GW190" s="352"/>
      <c r="GX190" s="353"/>
      <c r="GY190" s="353"/>
      <c r="HA190" s="353"/>
      <c r="HB190" s="353"/>
      <c r="HC190" s="355"/>
      <c r="HD190" s="352"/>
      <c r="HE190" s="353"/>
      <c r="HF190" s="353"/>
      <c r="HH190" s="353"/>
      <c r="HI190" s="353"/>
      <c r="HJ190" s="355"/>
      <c r="HK190" s="352"/>
      <c r="HL190" s="353"/>
      <c r="HM190" s="353"/>
      <c r="HO190" s="353"/>
      <c r="HP190" s="353"/>
      <c r="HQ190" s="355"/>
      <c r="HR190" s="352" t="s">
        <v>219</v>
      </c>
      <c r="HS190" s="353"/>
      <c r="HT190" s="353"/>
      <c r="HV190" s="353"/>
      <c r="HW190" s="353"/>
      <c r="HX190" s="355"/>
    </row>
    <row r="191" spans="2:232" outlineLevel="1" x14ac:dyDescent="0.25">
      <c r="B191" s="147"/>
      <c r="C191" s="147"/>
      <c r="D191" s="147"/>
      <c r="E191" s="147"/>
      <c r="F191" s="157"/>
      <c r="G191" s="147"/>
      <c r="H191" s="157"/>
      <c r="I191" s="175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V191" s="162"/>
      <c r="W191" s="159"/>
      <c r="X191" s="159"/>
      <c r="Y191" s="159"/>
      <c r="Z191" s="159"/>
      <c r="AA191" s="159"/>
      <c r="AB191" s="159"/>
      <c r="AC191" s="160"/>
      <c r="AD191" s="361"/>
      <c r="AE191" s="356"/>
      <c r="AF191" s="356"/>
      <c r="AG191" s="163"/>
      <c r="AH191" s="356"/>
      <c r="AI191" s="356"/>
      <c r="AJ191" s="357"/>
      <c r="AK191" s="361"/>
      <c r="AL191" s="356"/>
      <c r="AM191" s="356"/>
      <c r="AN191" s="163"/>
      <c r="AO191" s="356"/>
      <c r="AP191" s="356"/>
      <c r="AQ191" s="357"/>
      <c r="AR191" s="361"/>
      <c r="AS191" s="356"/>
      <c r="AT191" s="356"/>
      <c r="AU191" s="163"/>
      <c r="AV191" s="356"/>
      <c r="AW191" s="356"/>
      <c r="AX191" s="357"/>
      <c r="AY191" s="361"/>
      <c r="AZ191" s="356"/>
      <c r="BA191" s="356"/>
      <c r="BB191" s="163"/>
      <c r="BC191" s="356"/>
      <c r="BD191" s="356"/>
      <c r="BE191" s="357"/>
      <c r="BF191" s="361"/>
      <c r="BG191" s="356"/>
      <c r="BH191" s="356"/>
      <c r="BI191" s="163"/>
      <c r="BJ191" s="356"/>
      <c r="BK191" s="356"/>
      <c r="BL191" s="357"/>
      <c r="BM191" s="361"/>
      <c r="BN191" s="356"/>
      <c r="BO191" s="356"/>
      <c r="BP191" s="163"/>
      <c r="BQ191" s="356"/>
      <c r="BR191" s="356"/>
      <c r="BS191" s="357"/>
      <c r="BT191" s="361"/>
      <c r="BU191" s="356"/>
      <c r="BV191" s="356"/>
      <c r="BW191" s="163"/>
      <c r="BX191" s="356"/>
      <c r="BY191" s="356"/>
      <c r="BZ191" s="357"/>
      <c r="CA191" s="361"/>
      <c r="CB191" s="356"/>
      <c r="CC191" s="356"/>
      <c r="CD191" s="163"/>
      <c r="CE191" s="356"/>
      <c r="CF191" s="356"/>
      <c r="CG191" s="357"/>
      <c r="CH191" s="361"/>
      <c r="CI191" s="356"/>
      <c r="CJ191" s="356"/>
      <c r="CK191" s="163"/>
      <c r="CL191" s="356"/>
      <c r="CM191" s="356"/>
      <c r="CN191" s="357"/>
      <c r="CO191" s="361"/>
      <c r="CP191" s="356"/>
      <c r="CQ191" s="356"/>
      <c r="CR191" s="163"/>
      <c r="CS191" s="356"/>
      <c r="CT191" s="356"/>
      <c r="CU191" s="357"/>
      <c r="CV191" s="361"/>
      <c r="CW191" s="356"/>
      <c r="CX191" s="356"/>
      <c r="CY191" s="163"/>
      <c r="CZ191" s="356"/>
      <c r="DA191" s="356"/>
      <c r="DB191" s="357"/>
      <c r="DC191" s="361"/>
      <c r="DD191" s="356"/>
      <c r="DE191" s="356"/>
      <c r="DF191" s="163"/>
      <c r="DG191" s="356"/>
      <c r="DH191" s="356"/>
      <c r="DI191" s="357"/>
      <c r="DJ191" s="361"/>
      <c r="DK191" s="356"/>
      <c r="DL191" s="356"/>
      <c r="DM191" s="163"/>
      <c r="DN191" s="356"/>
      <c r="DO191" s="356"/>
      <c r="DP191" s="357"/>
      <c r="DQ191" s="361"/>
      <c r="DR191" s="356"/>
      <c r="DS191" s="356"/>
      <c r="DT191" s="163"/>
      <c r="DU191" s="356"/>
      <c r="DV191" s="356"/>
      <c r="DW191" s="357"/>
      <c r="DX191" s="361"/>
      <c r="DY191" s="356"/>
      <c r="DZ191" s="356"/>
      <c r="EA191" s="163"/>
      <c r="EB191" s="356"/>
      <c r="EC191" s="356"/>
      <c r="ED191" s="357"/>
      <c r="EE191" s="361"/>
      <c r="EF191" s="356"/>
      <c r="EG191" s="356"/>
      <c r="EH191" s="163"/>
      <c r="EI191" s="356"/>
      <c r="EJ191" s="356"/>
      <c r="EK191" s="357"/>
      <c r="EL191" s="361"/>
      <c r="EM191" s="356"/>
      <c r="EN191" s="356"/>
      <c r="EO191" s="163"/>
      <c r="EP191" s="356"/>
      <c r="EQ191" s="356"/>
      <c r="ER191" s="357"/>
      <c r="ES191" s="361"/>
      <c r="ET191" s="356"/>
      <c r="EU191" s="356"/>
      <c r="EV191" s="163"/>
      <c r="EW191" s="356"/>
      <c r="EX191" s="356"/>
      <c r="EY191" s="357"/>
      <c r="EZ191" s="361"/>
      <c r="FA191" s="356"/>
      <c r="FB191" s="356"/>
      <c r="FC191" s="163"/>
      <c r="FD191" s="356"/>
      <c r="FE191" s="356"/>
      <c r="FF191" s="357"/>
      <c r="FG191" s="361"/>
      <c r="FH191" s="356"/>
      <c r="FI191" s="356"/>
      <c r="FJ191" s="163"/>
      <c r="FK191" s="356"/>
      <c r="FL191" s="356"/>
      <c r="FM191" s="357"/>
      <c r="FN191" s="361"/>
      <c r="FO191" s="356"/>
      <c r="FP191" s="356"/>
      <c r="FQ191" s="163"/>
      <c r="FR191" s="356"/>
      <c r="FS191" s="356"/>
      <c r="FT191" s="357"/>
      <c r="FU191" s="361"/>
      <c r="FV191" s="356"/>
      <c r="FW191" s="356"/>
      <c r="FX191" s="163"/>
      <c r="FY191" s="356"/>
      <c r="FZ191" s="356"/>
      <c r="GA191" s="357"/>
      <c r="GB191" s="361"/>
      <c r="GC191" s="356"/>
      <c r="GD191" s="356"/>
      <c r="GE191" s="163"/>
      <c r="GF191" s="356"/>
      <c r="GG191" s="356"/>
      <c r="GH191" s="357"/>
      <c r="GI191" s="361"/>
      <c r="GJ191" s="356"/>
      <c r="GK191" s="356"/>
      <c r="GL191" s="163"/>
      <c r="GM191" s="356"/>
      <c r="GN191" s="356"/>
      <c r="GO191" s="357"/>
      <c r="GP191" s="361"/>
      <c r="GQ191" s="356"/>
      <c r="GR191" s="356"/>
      <c r="GS191" s="163"/>
      <c r="GT191" s="356"/>
      <c r="GU191" s="356"/>
      <c r="GV191" s="357"/>
      <c r="GW191" s="361"/>
      <c r="GX191" s="356"/>
      <c r="GY191" s="356"/>
      <c r="GZ191" s="163"/>
      <c r="HA191" s="356"/>
      <c r="HB191" s="356"/>
      <c r="HC191" s="357"/>
      <c r="HD191" s="361"/>
      <c r="HE191" s="356"/>
      <c r="HF191" s="356"/>
      <c r="HG191" s="163"/>
      <c r="HH191" s="356"/>
      <c r="HI191" s="356"/>
      <c r="HJ191" s="357"/>
      <c r="HK191" s="361"/>
      <c r="HL191" s="356"/>
      <c r="HM191" s="356"/>
      <c r="HN191" s="163"/>
      <c r="HO191" s="356"/>
      <c r="HP191" s="356"/>
      <c r="HQ191" s="357"/>
      <c r="HR191" s="361"/>
      <c r="HS191" s="356"/>
      <c r="HT191" s="356"/>
      <c r="HU191" s="163"/>
      <c r="HV191" s="356"/>
      <c r="HW191" s="356"/>
      <c r="HX191" s="357"/>
    </row>
    <row r="192" spans="2:232" outlineLevel="1" x14ac:dyDescent="0.25">
      <c r="B192" s="32"/>
      <c r="C192" s="333">
        <f>MAX(C185:C186)+1</f>
        <v>25</v>
      </c>
      <c r="D192" s="164" t="s">
        <v>21</v>
      </c>
      <c r="E192" s="34"/>
      <c r="F192" s="165" t="s">
        <v>529</v>
      </c>
      <c r="G192" s="165" t="s">
        <v>529</v>
      </c>
      <c r="H192" s="259" t="s">
        <v>94</v>
      </c>
      <c r="I192" s="176" t="s">
        <v>211</v>
      </c>
      <c r="J192" s="165" t="s">
        <v>171</v>
      </c>
      <c r="K192" s="165">
        <v>2031</v>
      </c>
      <c r="L192" s="165">
        <v>6</v>
      </c>
      <c r="M192" s="165"/>
      <c r="N192" s="165"/>
      <c r="O192" s="165"/>
      <c r="P192" s="165"/>
      <c r="Q192" s="165"/>
      <c r="R192" s="165"/>
      <c r="S192" s="165"/>
      <c r="T192" s="165"/>
      <c r="V192" s="11" t="s">
        <v>283</v>
      </c>
      <c r="W192" s="12"/>
      <c r="X192" s="12"/>
      <c r="Y192" s="12"/>
      <c r="Z192" s="12"/>
      <c r="AA192" s="12"/>
      <c r="AB192" s="12"/>
      <c r="AC192" s="14"/>
      <c r="AD192" s="166">
        <f>$C192</f>
        <v>25</v>
      </c>
      <c r="AE192" s="358" t="s">
        <v>175</v>
      </c>
      <c r="AF192" s="358"/>
      <c r="AG192" s="358"/>
      <c r="AH192" s="158"/>
      <c r="AI192" s="337"/>
      <c r="AJ192" s="338"/>
      <c r="AK192" s="166"/>
      <c r="AL192" s="358"/>
      <c r="AM192" s="358"/>
      <c r="AN192" s="358"/>
      <c r="AO192" s="32"/>
      <c r="AP192" s="337"/>
      <c r="AQ192" s="338"/>
      <c r="AR192" s="166"/>
      <c r="AS192" s="358"/>
      <c r="AT192" s="358"/>
      <c r="AU192" s="358"/>
      <c r="AV192" s="32"/>
      <c r="AW192" s="337"/>
      <c r="AX192" s="338"/>
      <c r="AY192" s="166"/>
      <c r="AZ192" s="362"/>
      <c r="BA192" s="362"/>
      <c r="BB192" s="362"/>
      <c r="BC192" s="158"/>
      <c r="BD192" s="337"/>
      <c r="BE192" s="338"/>
      <c r="BF192" s="166"/>
      <c r="BG192" s="362"/>
      <c r="BH192" s="362"/>
      <c r="BI192" s="362"/>
      <c r="BJ192" s="158"/>
      <c r="BK192" s="337"/>
      <c r="BL192" s="338"/>
      <c r="BM192" s="166"/>
      <c r="BN192" s="362"/>
      <c r="BO192" s="362"/>
      <c r="BP192" s="362"/>
      <c r="BQ192" s="158"/>
      <c r="BR192" s="337"/>
      <c r="BS192" s="338"/>
      <c r="BT192" s="166"/>
      <c r="BU192" s="362"/>
      <c r="BV192" s="362"/>
      <c r="BW192" s="362"/>
      <c r="BX192" s="158"/>
      <c r="BY192" s="337"/>
      <c r="BZ192" s="338"/>
      <c r="CA192" s="166"/>
      <c r="CB192" s="362"/>
      <c r="CC192" s="362"/>
      <c r="CD192" s="362"/>
      <c r="CE192" s="158"/>
      <c r="CF192" s="337"/>
      <c r="CG192" s="338"/>
      <c r="CH192" s="166"/>
      <c r="CI192" s="362"/>
      <c r="CJ192" s="362"/>
      <c r="CK192" s="362"/>
      <c r="CL192" s="158"/>
      <c r="CM192" s="337"/>
      <c r="CN192" s="338"/>
      <c r="CO192" s="166"/>
      <c r="CP192" s="362"/>
      <c r="CQ192" s="362"/>
      <c r="CR192" s="362"/>
      <c r="CS192" s="158"/>
      <c r="CT192" s="337"/>
      <c r="CU192" s="338"/>
      <c r="CV192" s="166"/>
      <c r="CW192" s="362"/>
      <c r="CX192" s="362"/>
      <c r="CY192" s="362"/>
      <c r="CZ192" s="158"/>
      <c r="DA192" s="337"/>
      <c r="DB192" s="338"/>
      <c r="DC192" s="166"/>
      <c r="DD192" s="362"/>
      <c r="DE192" s="362"/>
      <c r="DF192" s="362"/>
      <c r="DG192" s="158"/>
      <c r="DH192" s="337"/>
      <c r="DI192" s="338"/>
      <c r="DJ192" s="166"/>
      <c r="DK192" s="362"/>
      <c r="DL192" s="362"/>
      <c r="DM192" s="362"/>
      <c r="DN192" s="158"/>
      <c r="DO192" s="337"/>
      <c r="DP192" s="338"/>
      <c r="DQ192" s="166"/>
      <c r="DR192" s="362"/>
      <c r="DS192" s="362"/>
      <c r="DT192" s="362"/>
      <c r="DU192" s="158"/>
      <c r="DV192" s="337"/>
      <c r="DW192" s="338"/>
      <c r="DX192" s="166"/>
      <c r="DY192" s="362"/>
      <c r="DZ192" s="362"/>
      <c r="EA192" s="362"/>
      <c r="EB192" s="158"/>
      <c r="EC192" s="337"/>
      <c r="ED192" s="338"/>
      <c r="EE192" s="166"/>
      <c r="EF192" s="362"/>
      <c r="EG192" s="362"/>
      <c r="EH192" s="362"/>
      <c r="EI192" s="158"/>
      <c r="EJ192" s="337"/>
      <c r="EK192" s="338"/>
      <c r="EL192" s="166"/>
      <c r="EM192" s="362"/>
      <c r="EN192" s="362"/>
      <c r="EO192" s="362"/>
      <c r="EP192" s="158"/>
      <c r="EQ192" s="337"/>
      <c r="ER192" s="338"/>
      <c r="ES192" s="166"/>
      <c r="ET192" s="362"/>
      <c r="EU192" s="362"/>
      <c r="EV192" s="362"/>
      <c r="EW192" s="158"/>
      <c r="EX192" s="337"/>
      <c r="EY192" s="338"/>
      <c r="EZ192" s="166"/>
      <c r="FA192" s="362"/>
      <c r="FB192" s="362"/>
      <c r="FC192" s="362"/>
      <c r="FD192" s="158"/>
      <c r="FE192" s="337"/>
      <c r="FF192" s="338"/>
      <c r="FG192" s="166"/>
      <c r="FH192" s="362"/>
      <c r="FI192" s="362"/>
      <c r="FJ192" s="362"/>
      <c r="FK192" s="158"/>
      <c r="FL192" s="337"/>
      <c r="FM192" s="338"/>
      <c r="FN192" s="166"/>
      <c r="FO192" s="362"/>
      <c r="FP192" s="362"/>
      <c r="FQ192" s="362"/>
      <c r="FR192" s="158"/>
      <c r="FS192" s="337"/>
      <c r="FT192" s="338"/>
      <c r="FU192" s="166"/>
      <c r="FV192" s="362"/>
      <c r="FW192" s="362"/>
      <c r="FX192" s="362"/>
      <c r="FY192" s="158"/>
      <c r="FZ192" s="337"/>
      <c r="GA192" s="338"/>
      <c r="GB192" s="166"/>
      <c r="GC192" s="362"/>
      <c r="GD192" s="362"/>
      <c r="GE192" s="362"/>
      <c r="GF192" s="158"/>
      <c r="GG192" s="337"/>
      <c r="GH192" s="338"/>
      <c r="GI192" s="166"/>
      <c r="GJ192" s="362"/>
      <c r="GK192" s="362"/>
      <c r="GL192" s="362"/>
      <c r="GM192" s="158"/>
      <c r="GN192" s="337"/>
      <c r="GO192" s="338"/>
      <c r="GP192" s="166"/>
      <c r="GQ192" s="362"/>
      <c r="GR192" s="362"/>
      <c r="GS192" s="362"/>
      <c r="GT192" s="158"/>
      <c r="GU192" s="337"/>
      <c r="GV192" s="338"/>
      <c r="GW192" s="166"/>
      <c r="GX192" s="362"/>
      <c r="GY192" s="362"/>
      <c r="GZ192" s="362"/>
      <c r="HA192" s="158"/>
      <c r="HB192" s="337"/>
      <c r="HC192" s="338"/>
      <c r="HD192" s="166"/>
      <c r="HE192" s="362"/>
      <c r="HF192" s="362"/>
      <c r="HG192" s="362"/>
      <c r="HH192" s="158"/>
      <c r="HI192" s="337"/>
      <c r="HJ192" s="338"/>
      <c r="HK192" s="166"/>
      <c r="HL192" s="362"/>
      <c r="HM192" s="362"/>
      <c r="HN192" s="362"/>
      <c r="HO192" s="158"/>
      <c r="HP192" s="337"/>
      <c r="HQ192" s="338"/>
      <c r="HR192" s="166">
        <f>$AD192</f>
        <v>25</v>
      </c>
      <c r="HS192" s="358" t="s">
        <v>175</v>
      </c>
      <c r="HT192" s="358"/>
      <c r="HU192" s="358"/>
      <c r="HV192" s="257"/>
      <c r="HW192" s="337"/>
      <c r="HX192" s="338"/>
    </row>
    <row r="193" spans="2:232" outlineLevel="1" x14ac:dyDescent="0.25">
      <c r="B193" s="32"/>
      <c r="C193" s="167"/>
      <c r="D193" s="167"/>
      <c r="E193" s="34"/>
      <c r="F193" s="168"/>
      <c r="G193" s="167"/>
      <c r="H193" s="55"/>
      <c r="I193" s="177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V193" s="107"/>
      <c r="W193" s="108"/>
      <c r="X193" s="108"/>
      <c r="Y193" s="108"/>
      <c r="Z193" s="108"/>
      <c r="AA193" s="108"/>
      <c r="AB193" s="108"/>
      <c r="AC193" s="109"/>
      <c r="AD193" s="169"/>
      <c r="AE193" s="365"/>
      <c r="AF193" s="365"/>
      <c r="AG193" s="365"/>
      <c r="AH193" s="30"/>
      <c r="AI193" s="340"/>
      <c r="AJ193" s="341"/>
      <c r="AK193" s="169"/>
      <c r="AL193" s="339"/>
      <c r="AM193" s="339"/>
      <c r="AN193" s="339"/>
      <c r="AO193" s="30"/>
      <c r="AP193" s="340"/>
      <c r="AQ193" s="341"/>
      <c r="AR193" s="169"/>
      <c r="AS193" s="339"/>
      <c r="AT193" s="339"/>
      <c r="AU193" s="339"/>
      <c r="AV193" s="30"/>
      <c r="AW193" s="340"/>
      <c r="AX193" s="341"/>
      <c r="AY193" s="169"/>
      <c r="AZ193" s="339"/>
      <c r="BA193" s="339"/>
      <c r="BB193" s="339"/>
      <c r="BC193" s="30"/>
      <c r="BD193" s="340"/>
      <c r="BE193" s="341"/>
      <c r="BF193" s="169"/>
      <c r="BG193" s="339"/>
      <c r="BH193" s="339"/>
      <c r="BI193" s="339"/>
      <c r="BJ193" s="30"/>
      <c r="BK193" s="340"/>
      <c r="BL193" s="341"/>
      <c r="BM193" s="169"/>
      <c r="BN193" s="339"/>
      <c r="BO193" s="339"/>
      <c r="BP193" s="339"/>
      <c r="BQ193" s="30"/>
      <c r="BR193" s="340"/>
      <c r="BS193" s="341"/>
      <c r="BT193" s="169"/>
      <c r="BU193" s="339"/>
      <c r="BV193" s="339"/>
      <c r="BW193" s="339"/>
      <c r="BX193" s="30"/>
      <c r="BY193" s="340"/>
      <c r="BZ193" s="341"/>
      <c r="CA193" s="169"/>
      <c r="CB193" s="339"/>
      <c r="CC193" s="339"/>
      <c r="CD193" s="339"/>
      <c r="CE193" s="30"/>
      <c r="CF193" s="340"/>
      <c r="CG193" s="341"/>
      <c r="CH193" s="169"/>
      <c r="CI193" s="339"/>
      <c r="CJ193" s="339"/>
      <c r="CK193" s="339"/>
      <c r="CL193" s="30"/>
      <c r="CM193" s="340"/>
      <c r="CN193" s="341"/>
      <c r="CO193" s="169"/>
      <c r="CP193" s="339"/>
      <c r="CQ193" s="339"/>
      <c r="CR193" s="339"/>
      <c r="CS193" s="30"/>
      <c r="CT193" s="340"/>
      <c r="CU193" s="341"/>
      <c r="CV193" s="169"/>
      <c r="CW193" s="339"/>
      <c r="CX193" s="339"/>
      <c r="CY193" s="339"/>
      <c r="CZ193" s="30"/>
      <c r="DA193" s="340"/>
      <c r="DB193" s="341"/>
      <c r="DC193" s="169"/>
      <c r="DD193" s="339"/>
      <c r="DE193" s="339"/>
      <c r="DF193" s="339"/>
      <c r="DG193" s="30"/>
      <c r="DH193" s="340"/>
      <c r="DI193" s="341"/>
      <c r="DJ193" s="169"/>
      <c r="DK193" s="339"/>
      <c r="DL193" s="339"/>
      <c r="DM193" s="339"/>
      <c r="DN193" s="30"/>
      <c r="DO193" s="340"/>
      <c r="DP193" s="341"/>
      <c r="DQ193" s="169"/>
      <c r="DR193" s="339"/>
      <c r="DS193" s="339"/>
      <c r="DT193" s="339"/>
      <c r="DU193" s="30"/>
      <c r="DV193" s="340"/>
      <c r="DW193" s="341"/>
      <c r="DX193" s="169"/>
      <c r="DY193" s="339"/>
      <c r="DZ193" s="339"/>
      <c r="EA193" s="339"/>
      <c r="EB193" s="30"/>
      <c r="EC193" s="340"/>
      <c r="ED193" s="341"/>
      <c r="EE193" s="169"/>
      <c r="EF193" s="339"/>
      <c r="EG193" s="339"/>
      <c r="EH193" s="339"/>
      <c r="EI193" s="30"/>
      <c r="EJ193" s="340"/>
      <c r="EK193" s="341"/>
      <c r="EL193" s="169"/>
      <c r="EM193" s="339"/>
      <c r="EN193" s="339"/>
      <c r="EO193" s="339"/>
      <c r="EP193" s="30"/>
      <c r="EQ193" s="340"/>
      <c r="ER193" s="341"/>
      <c r="ES193" s="169"/>
      <c r="ET193" s="339"/>
      <c r="EU193" s="339"/>
      <c r="EV193" s="339"/>
      <c r="EW193" s="30"/>
      <c r="EX193" s="340"/>
      <c r="EY193" s="341"/>
      <c r="EZ193" s="169"/>
      <c r="FA193" s="339"/>
      <c r="FB193" s="339"/>
      <c r="FC193" s="339"/>
      <c r="FD193" s="30"/>
      <c r="FE193" s="340"/>
      <c r="FF193" s="341"/>
      <c r="FG193" s="169"/>
      <c r="FH193" s="339"/>
      <c r="FI193" s="339"/>
      <c r="FJ193" s="339"/>
      <c r="FK193" s="30"/>
      <c r="FL193" s="340"/>
      <c r="FM193" s="341"/>
      <c r="FN193" s="169"/>
      <c r="FO193" s="339"/>
      <c r="FP193" s="339"/>
      <c r="FQ193" s="339"/>
      <c r="FR193" s="30"/>
      <c r="FS193" s="340"/>
      <c r="FT193" s="341"/>
      <c r="FU193" s="169"/>
      <c r="FV193" s="339"/>
      <c r="FW193" s="339"/>
      <c r="FX193" s="339"/>
      <c r="FY193" s="30"/>
      <c r="FZ193" s="340"/>
      <c r="GA193" s="341"/>
      <c r="GB193" s="169"/>
      <c r="GC193" s="339"/>
      <c r="GD193" s="339"/>
      <c r="GE193" s="339"/>
      <c r="GF193" s="30"/>
      <c r="GG193" s="340"/>
      <c r="GH193" s="341"/>
      <c r="GI193" s="169"/>
      <c r="GJ193" s="339"/>
      <c r="GK193" s="339"/>
      <c r="GL193" s="339"/>
      <c r="GM193" s="30"/>
      <c r="GN193" s="340"/>
      <c r="GO193" s="341"/>
      <c r="GP193" s="169"/>
      <c r="GQ193" s="339"/>
      <c r="GR193" s="339"/>
      <c r="GS193" s="339"/>
      <c r="GT193" s="30"/>
      <c r="GU193" s="340"/>
      <c r="GV193" s="341"/>
      <c r="GW193" s="169"/>
      <c r="GX193" s="339"/>
      <c r="GY193" s="339"/>
      <c r="GZ193" s="339"/>
      <c r="HA193" s="30"/>
      <c r="HB193" s="340"/>
      <c r="HC193" s="341"/>
      <c r="HD193" s="169"/>
      <c r="HE193" s="339"/>
      <c r="HF193" s="339"/>
      <c r="HG193" s="339"/>
      <c r="HH193" s="30"/>
      <c r="HI193" s="340"/>
      <c r="HJ193" s="341"/>
      <c r="HK193" s="169"/>
      <c r="HL193" s="339"/>
      <c r="HM193" s="339"/>
      <c r="HN193" s="339"/>
      <c r="HO193" s="30"/>
      <c r="HP193" s="340"/>
      <c r="HQ193" s="341"/>
      <c r="HR193" s="169"/>
      <c r="HS193" s="365"/>
      <c r="HT193" s="365"/>
      <c r="HU193" s="365"/>
      <c r="HV193" s="258"/>
      <c r="HW193" s="340"/>
      <c r="HX193" s="341"/>
    </row>
    <row r="194" spans="2:232" outlineLevel="1" x14ac:dyDescent="0.25">
      <c r="B194" s="147"/>
      <c r="C194" s="147"/>
      <c r="D194" s="147"/>
      <c r="E194" s="147"/>
      <c r="F194" s="157"/>
      <c r="G194" s="147"/>
      <c r="H194" s="157"/>
      <c r="I194" s="175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V194" s="150" t="s">
        <v>170</v>
      </c>
      <c r="W194" s="151"/>
      <c r="X194" s="151"/>
      <c r="Y194" s="151"/>
      <c r="Z194" s="151"/>
      <c r="AA194" s="151"/>
      <c r="AB194" s="369"/>
      <c r="AC194" s="370"/>
      <c r="AD194" s="342" t="s">
        <v>217</v>
      </c>
      <c r="AE194" s="343"/>
      <c r="AF194" s="343"/>
      <c r="AG194" s="343"/>
      <c r="AH194" s="343"/>
      <c r="AI194" s="152"/>
      <c r="AJ194" s="155">
        <f>COUNTA(AD199:AD200)</f>
        <v>1</v>
      </c>
      <c r="AK194" s="156"/>
      <c r="AL194" s="152"/>
      <c r="AM194" s="153"/>
      <c r="AN194" s="152"/>
      <c r="AO194" s="154"/>
      <c r="AP194" s="152"/>
      <c r="AQ194" s="155">
        <f>COUNTA(AK199:AK200)</f>
        <v>0</v>
      </c>
      <c r="AR194" s="156"/>
      <c r="AS194" s="152"/>
      <c r="AT194" s="153"/>
      <c r="AU194" s="152"/>
      <c r="AV194" s="154"/>
      <c r="AW194" s="152"/>
      <c r="AX194" s="155">
        <f>COUNTA(AR199:AR200)</f>
        <v>0</v>
      </c>
      <c r="AY194" s="156"/>
      <c r="AZ194" s="152"/>
      <c r="BA194" s="153"/>
      <c r="BB194" s="152"/>
      <c r="BC194" s="154"/>
      <c r="BD194" s="152"/>
      <c r="BE194" s="155">
        <f>COUNTA(AY199:AY200)</f>
        <v>0</v>
      </c>
      <c r="BF194" s="156"/>
      <c r="BG194" s="152"/>
      <c r="BH194" s="153"/>
      <c r="BI194" s="152"/>
      <c r="BJ194" s="154"/>
      <c r="BK194" s="152"/>
      <c r="BL194" s="155">
        <f>COUNTA(BF199:BF200)</f>
        <v>0</v>
      </c>
      <c r="BM194" s="156"/>
      <c r="BN194" s="152"/>
      <c r="BO194" s="153"/>
      <c r="BP194" s="152"/>
      <c r="BQ194" s="154"/>
      <c r="BR194" s="152"/>
      <c r="BS194" s="155">
        <f>COUNTA(BM199:BM200)</f>
        <v>0</v>
      </c>
      <c r="BT194" s="156"/>
      <c r="BU194" s="152"/>
      <c r="BV194" s="153"/>
      <c r="BW194" s="152"/>
      <c r="BX194" s="154"/>
      <c r="BY194" s="152"/>
      <c r="BZ194" s="155">
        <f>COUNTA(BT199:BT200)</f>
        <v>0</v>
      </c>
      <c r="CA194" s="156"/>
      <c r="CB194" s="152"/>
      <c r="CC194" s="153"/>
      <c r="CD194" s="152"/>
      <c r="CE194" s="154"/>
      <c r="CF194" s="152"/>
      <c r="CG194" s="155">
        <f>COUNTA(CA199:CA200)</f>
        <v>0</v>
      </c>
      <c r="CH194" s="156"/>
      <c r="CI194" s="152"/>
      <c r="CJ194" s="153"/>
      <c r="CK194" s="152"/>
      <c r="CL194" s="154"/>
      <c r="CM194" s="152"/>
      <c r="CN194" s="155">
        <f>COUNTA(CH199:CH200)</f>
        <v>0</v>
      </c>
      <c r="CO194" s="156"/>
      <c r="CP194" s="152"/>
      <c r="CQ194" s="153"/>
      <c r="CR194" s="152"/>
      <c r="CS194" s="154"/>
      <c r="CT194" s="152"/>
      <c r="CU194" s="155">
        <f>COUNTA(CO199:CO200)</f>
        <v>0</v>
      </c>
      <c r="CV194" s="156"/>
      <c r="CW194" s="152"/>
      <c r="CX194" s="153"/>
      <c r="CY194" s="152"/>
      <c r="CZ194" s="154"/>
      <c r="DA194" s="152"/>
      <c r="DB194" s="155">
        <f>COUNTA(CV199:CV200)</f>
        <v>0</v>
      </c>
      <c r="DC194" s="156"/>
      <c r="DD194" s="152"/>
      <c r="DE194" s="153"/>
      <c r="DF194" s="152"/>
      <c r="DG194" s="154"/>
      <c r="DH194" s="152"/>
      <c r="DI194" s="155">
        <f>COUNTA(DC199:DC200)</f>
        <v>0</v>
      </c>
      <c r="DJ194" s="156"/>
      <c r="DK194" s="152"/>
      <c r="DL194" s="153"/>
      <c r="DM194" s="152"/>
      <c r="DN194" s="154"/>
      <c r="DO194" s="152"/>
      <c r="DP194" s="155">
        <f>COUNTA(DJ199:DJ200)</f>
        <v>0</v>
      </c>
      <c r="DQ194" s="156"/>
      <c r="DR194" s="152"/>
      <c r="DS194" s="153"/>
      <c r="DT194" s="152"/>
      <c r="DU194" s="154"/>
      <c r="DV194" s="152"/>
      <c r="DW194" s="155">
        <f>COUNTA(DQ199:DQ200)</f>
        <v>0</v>
      </c>
      <c r="DX194" s="156"/>
      <c r="DY194" s="152"/>
      <c r="DZ194" s="153"/>
      <c r="EA194" s="152"/>
      <c r="EB194" s="154"/>
      <c r="EC194" s="152"/>
      <c r="ED194" s="155">
        <f>COUNTA(DX199:DX200)</f>
        <v>0</v>
      </c>
      <c r="EE194" s="156"/>
      <c r="EF194" s="152"/>
      <c r="EG194" s="153"/>
      <c r="EH194" s="152"/>
      <c r="EI194" s="154"/>
      <c r="EJ194" s="152"/>
      <c r="EK194" s="155">
        <f>COUNTA(EE199:EE200)</f>
        <v>0</v>
      </c>
      <c r="EL194" s="156"/>
      <c r="EM194" s="152"/>
      <c r="EN194" s="153"/>
      <c r="EO194" s="152"/>
      <c r="EP194" s="154"/>
      <c r="EQ194" s="152"/>
      <c r="ER194" s="155">
        <f>COUNTA(EL199:EL200)</f>
        <v>0</v>
      </c>
      <c r="ES194" s="156"/>
      <c r="ET194" s="152"/>
      <c r="EU194" s="153"/>
      <c r="EV194" s="152"/>
      <c r="EW194" s="154"/>
      <c r="EX194" s="152"/>
      <c r="EY194" s="155">
        <f>COUNTA(ES199:ES200)</f>
        <v>0</v>
      </c>
      <c r="EZ194" s="156"/>
      <c r="FA194" s="152"/>
      <c r="FB194" s="153"/>
      <c r="FC194" s="152"/>
      <c r="FD194" s="154"/>
      <c r="FE194" s="152"/>
      <c r="FF194" s="155">
        <f>COUNTA(EZ199:EZ200)</f>
        <v>0</v>
      </c>
      <c r="FG194" s="156"/>
      <c r="FH194" s="152"/>
      <c r="FI194" s="153"/>
      <c r="FJ194" s="152"/>
      <c r="FK194" s="154"/>
      <c r="FL194" s="152"/>
      <c r="FM194" s="155">
        <f>COUNTA(FG199:FG200)</f>
        <v>0</v>
      </c>
      <c r="FN194" s="156"/>
      <c r="FO194" s="152"/>
      <c r="FP194" s="153"/>
      <c r="FQ194" s="152"/>
      <c r="FR194" s="154"/>
      <c r="FS194" s="152"/>
      <c r="FT194" s="155">
        <f>COUNTA(FN199:FN200)</f>
        <v>0</v>
      </c>
      <c r="FU194" s="156"/>
      <c r="FV194" s="152"/>
      <c r="FW194" s="153"/>
      <c r="FX194" s="152"/>
      <c r="FY194" s="154"/>
      <c r="FZ194" s="152"/>
      <c r="GA194" s="155">
        <f>COUNTA(FU199:FU200)</f>
        <v>0</v>
      </c>
      <c r="GB194" s="156"/>
      <c r="GC194" s="152"/>
      <c r="GD194" s="153"/>
      <c r="GE194" s="152"/>
      <c r="GF194" s="154"/>
      <c r="GG194" s="152"/>
      <c r="GH194" s="155">
        <f>COUNTA(GB199:GB200)</f>
        <v>0</v>
      </c>
      <c r="GI194" s="156"/>
      <c r="GJ194" s="152"/>
      <c r="GK194" s="153"/>
      <c r="GL194" s="152"/>
      <c r="GM194" s="154"/>
      <c r="GN194" s="152"/>
      <c r="GO194" s="155">
        <f>COUNTA(GI199:GI200)</f>
        <v>0</v>
      </c>
      <c r="GP194" s="156"/>
      <c r="GQ194" s="152"/>
      <c r="GR194" s="153"/>
      <c r="GS194" s="152"/>
      <c r="GT194" s="154"/>
      <c r="GU194" s="152"/>
      <c r="GV194" s="155">
        <f>COUNTA(GP199:GP200)</f>
        <v>0</v>
      </c>
      <c r="GW194" s="156"/>
      <c r="GX194" s="152"/>
      <c r="GY194" s="153"/>
      <c r="GZ194" s="152"/>
      <c r="HA194" s="154"/>
      <c r="HB194" s="152"/>
      <c r="HC194" s="155">
        <f>COUNTA(GW199:GW200)</f>
        <v>0</v>
      </c>
      <c r="HD194" s="156"/>
      <c r="HE194" s="152"/>
      <c r="HF194" s="153"/>
      <c r="HG194" s="152"/>
      <c r="HH194" s="154"/>
      <c r="HI194" s="152"/>
      <c r="HJ194" s="155">
        <f>COUNTA(HD199:HD200)</f>
        <v>0</v>
      </c>
      <c r="HK194" s="156"/>
      <c r="HL194" s="152"/>
      <c r="HM194" s="153"/>
      <c r="HN194" s="152"/>
      <c r="HO194" s="154"/>
      <c r="HP194" s="152"/>
      <c r="HQ194" s="155">
        <f>COUNTA(HK199:HK200)</f>
        <v>0</v>
      </c>
      <c r="HR194" s="342" t="s">
        <v>217</v>
      </c>
      <c r="HS194" s="343"/>
      <c r="HT194" s="343"/>
      <c r="HU194" s="343"/>
      <c r="HV194" s="343"/>
      <c r="HW194" s="152"/>
      <c r="HX194" s="155">
        <f>COUNTA(HR199:HR200)</f>
        <v>1</v>
      </c>
    </row>
    <row r="195" spans="2:232" ht="15" customHeight="1" outlineLevel="1" x14ac:dyDescent="0.25">
      <c r="B195" s="147"/>
      <c r="C195" s="147"/>
      <c r="D195" s="147"/>
      <c r="E195" s="147"/>
      <c r="F195" s="157"/>
      <c r="G195" s="147"/>
      <c r="H195" s="157"/>
      <c r="I195" s="175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V195" s="185" t="s">
        <v>224</v>
      </c>
      <c r="W195" s="186"/>
      <c r="X195" s="186"/>
      <c r="Y195" s="186"/>
      <c r="Z195" s="186"/>
      <c r="AA195" s="186"/>
      <c r="AB195" s="187"/>
      <c r="AC195" s="188"/>
      <c r="AD195" s="344" t="s">
        <v>533</v>
      </c>
      <c r="AE195" s="345"/>
      <c r="AF195" s="345"/>
      <c r="AG195" s="181" t="s">
        <v>75</v>
      </c>
      <c r="AH195" s="346" t="s">
        <v>309</v>
      </c>
      <c r="AI195" s="346"/>
      <c r="AJ195" s="349"/>
      <c r="AK195" s="180"/>
      <c r="AL195" s="181"/>
      <c r="AM195" s="182"/>
      <c r="AN195" s="181"/>
      <c r="AO195" s="183"/>
      <c r="AP195" s="181"/>
      <c r="AQ195" s="184"/>
      <c r="AR195" s="180"/>
      <c r="AS195" s="181"/>
      <c r="AT195" s="182"/>
      <c r="AU195" s="181"/>
      <c r="AV195" s="183"/>
      <c r="AW195" s="181"/>
      <c r="AX195" s="184"/>
      <c r="AY195" s="180"/>
      <c r="AZ195" s="181"/>
      <c r="BA195" s="182"/>
      <c r="BB195" s="181"/>
      <c r="BC195" s="183"/>
      <c r="BD195" s="181"/>
      <c r="BE195" s="184"/>
      <c r="BF195" s="180"/>
      <c r="BG195" s="181"/>
      <c r="BH195" s="182"/>
      <c r="BI195" s="181"/>
      <c r="BJ195" s="183"/>
      <c r="BK195" s="181"/>
      <c r="BL195" s="184"/>
      <c r="BM195" s="180"/>
      <c r="BN195" s="181"/>
      <c r="BO195" s="182"/>
      <c r="BP195" s="181"/>
      <c r="BQ195" s="183"/>
      <c r="BR195" s="181"/>
      <c r="BS195" s="184"/>
      <c r="BT195" s="180"/>
      <c r="BU195" s="181"/>
      <c r="BV195" s="182"/>
      <c r="BW195" s="181"/>
      <c r="BX195" s="183"/>
      <c r="BY195" s="181"/>
      <c r="BZ195" s="184"/>
      <c r="CA195" s="180"/>
      <c r="CB195" s="181"/>
      <c r="CC195" s="182"/>
      <c r="CD195" s="181"/>
      <c r="CE195" s="183"/>
      <c r="CF195" s="181"/>
      <c r="CG195" s="184"/>
      <c r="CH195" s="180"/>
      <c r="CI195" s="181"/>
      <c r="CJ195" s="182"/>
      <c r="CK195" s="181"/>
      <c r="CL195" s="183"/>
      <c r="CM195" s="181"/>
      <c r="CN195" s="184"/>
      <c r="CO195" s="180"/>
      <c r="CP195" s="181"/>
      <c r="CQ195" s="182"/>
      <c r="CR195" s="181"/>
      <c r="CS195" s="183"/>
      <c r="CT195" s="181"/>
      <c r="CU195" s="184"/>
      <c r="CV195" s="180"/>
      <c r="CW195" s="181"/>
      <c r="CX195" s="182"/>
      <c r="CY195" s="181"/>
      <c r="CZ195" s="183"/>
      <c r="DA195" s="181"/>
      <c r="DB195" s="184"/>
      <c r="DC195" s="180"/>
      <c r="DD195" s="181"/>
      <c r="DE195" s="182"/>
      <c r="DF195" s="181"/>
      <c r="DG195" s="183"/>
      <c r="DH195" s="181"/>
      <c r="DI195" s="184"/>
      <c r="DJ195" s="180"/>
      <c r="DK195" s="181"/>
      <c r="DL195" s="182"/>
      <c r="DM195" s="181"/>
      <c r="DN195" s="183"/>
      <c r="DO195" s="181"/>
      <c r="DP195" s="184"/>
      <c r="DQ195" s="180"/>
      <c r="DR195" s="181"/>
      <c r="DS195" s="182"/>
      <c r="DT195" s="181"/>
      <c r="DU195" s="183"/>
      <c r="DV195" s="181"/>
      <c r="DW195" s="184"/>
      <c r="DX195" s="180"/>
      <c r="DY195" s="181"/>
      <c r="DZ195" s="182"/>
      <c r="EA195" s="181"/>
      <c r="EB195" s="183"/>
      <c r="EC195" s="181"/>
      <c r="ED195" s="184"/>
      <c r="EE195" s="180"/>
      <c r="EF195" s="181"/>
      <c r="EG195" s="182"/>
      <c r="EH195" s="181"/>
      <c r="EI195" s="183"/>
      <c r="EJ195" s="181"/>
      <c r="EK195" s="184"/>
      <c r="EL195" s="180"/>
      <c r="EM195" s="181"/>
      <c r="EN195" s="182"/>
      <c r="EO195" s="181"/>
      <c r="EP195" s="183"/>
      <c r="EQ195" s="181"/>
      <c r="ER195" s="184"/>
      <c r="ES195" s="180"/>
      <c r="ET195" s="181"/>
      <c r="EU195" s="182"/>
      <c r="EV195" s="181"/>
      <c r="EW195" s="183"/>
      <c r="EX195" s="181"/>
      <c r="EY195" s="184"/>
      <c r="EZ195" s="180"/>
      <c r="FA195" s="181"/>
      <c r="FB195" s="182"/>
      <c r="FC195" s="181"/>
      <c r="FD195" s="183"/>
      <c r="FE195" s="181"/>
      <c r="FF195" s="184"/>
      <c r="FG195" s="180"/>
      <c r="FH195" s="181"/>
      <c r="FI195" s="182"/>
      <c r="FJ195" s="181"/>
      <c r="FK195" s="183"/>
      <c r="FL195" s="181"/>
      <c r="FM195" s="184"/>
      <c r="FN195" s="180"/>
      <c r="FO195" s="181"/>
      <c r="FP195" s="182"/>
      <c r="FQ195" s="181"/>
      <c r="FR195" s="183"/>
      <c r="FS195" s="181"/>
      <c r="FT195" s="184"/>
      <c r="FU195" s="180"/>
      <c r="FV195" s="181"/>
      <c r="FW195" s="182"/>
      <c r="FX195" s="181"/>
      <c r="FY195" s="183"/>
      <c r="FZ195" s="181"/>
      <c r="GA195" s="184"/>
      <c r="GB195" s="180"/>
      <c r="GC195" s="181"/>
      <c r="GD195" s="182"/>
      <c r="GE195" s="181"/>
      <c r="GF195" s="183"/>
      <c r="GG195" s="181"/>
      <c r="GH195" s="184"/>
      <c r="GI195" s="180"/>
      <c r="GJ195" s="181"/>
      <c r="GK195" s="182"/>
      <c r="GL195" s="181"/>
      <c r="GM195" s="183"/>
      <c r="GN195" s="181"/>
      <c r="GO195" s="184"/>
      <c r="GP195" s="180"/>
      <c r="GQ195" s="181"/>
      <c r="GR195" s="182"/>
      <c r="GS195" s="181"/>
      <c r="GT195" s="183"/>
      <c r="GU195" s="181"/>
      <c r="GV195" s="184"/>
      <c r="GW195" s="180"/>
      <c r="GX195" s="181"/>
      <c r="GY195" s="182"/>
      <c r="GZ195" s="181"/>
      <c r="HA195" s="183"/>
      <c r="HB195" s="181"/>
      <c r="HC195" s="184"/>
      <c r="HD195" s="180"/>
      <c r="HE195" s="181"/>
      <c r="HF195" s="182"/>
      <c r="HG195" s="181"/>
      <c r="HH195" s="183"/>
      <c r="HI195" s="181"/>
      <c r="HJ195" s="184"/>
      <c r="HK195" s="180"/>
      <c r="HL195" s="181"/>
      <c r="HM195" s="182"/>
      <c r="HN195" s="181"/>
      <c r="HO195" s="183"/>
      <c r="HP195" s="181"/>
      <c r="HQ195" s="184"/>
      <c r="HR195" s="344" t="s">
        <v>533</v>
      </c>
      <c r="HS195" s="345"/>
      <c r="HT195" s="345"/>
      <c r="HU195" s="181" t="s">
        <v>75</v>
      </c>
      <c r="HV195" s="376" t="s">
        <v>309</v>
      </c>
      <c r="HW195" s="376"/>
      <c r="HX195" s="377"/>
    </row>
    <row r="196" spans="2:232" outlineLevel="1" x14ac:dyDescent="0.25">
      <c r="B196" s="147"/>
      <c r="C196" s="147"/>
      <c r="D196" s="147"/>
      <c r="E196" s="147"/>
      <c r="F196" s="157"/>
      <c r="G196" s="147"/>
      <c r="H196" s="157"/>
      <c r="I196" s="175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V196" s="161" t="s">
        <v>199</v>
      </c>
      <c r="W196" s="12"/>
      <c r="X196" s="12"/>
      <c r="Y196" s="12"/>
      <c r="Z196" s="12"/>
      <c r="AA196" s="12"/>
      <c r="AB196" s="12"/>
      <c r="AC196" s="14"/>
      <c r="AD196" s="350" t="s">
        <v>22</v>
      </c>
      <c r="AE196" s="337"/>
      <c r="AF196" s="337"/>
      <c r="AG196" s="1" t="s">
        <v>57</v>
      </c>
      <c r="AH196" s="337" t="s">
        <v>218</v>
      </c>
      <c r="AI196" s="337"/>
      <c r="AJ196" s="338"/>
      <c r="AK196" s="350"/>
      <c r="AL196" s="337"/>
      <c r="AM196" s="337"/>
      <c r="AO196" s="337"/>
      <c r="AP196" s="337"/>
      <c r="AQ196" s="338"/>
      <c r="AR196" s="350"/>
      <c r="AS196" s="337"/>
      <c r="AT196" s="337"/>
      <c r="AV196" s="337"/>
      <c r="AW196" s="337"/>
      <c r="AX196" s="338"/>
      <c r="AY196" s="350"/>
      <c r="AZ196" s="337"/>
      <c r="BA196" s="337"/>
      <c r="BC196" s="337"/>
      <c r="BD196" s="337"/>
      <c r="BE196" s="338"/>
      <c r="BF196" s="350"/>
      <c r="BG196" s="337"/>
      <c r="BH196" s="337"/>
      <c r="BJ196" s="337"/>
      <c r="BK196" s="337"/>
      <c r="BL196" s="338"/>
      <c r="BM196" s="350"/>
      <c r="BN196" s="337"/>
      <c r="BO196" s="337"/>
      <c r="BQ196" s="337"/>
      <c r="BR196" s="337"/>
      <c r="BS196" s="338"/>
      <c r="BT196" s="350"/>
      <c r="BU196" s="337"/>
      <c r="BV196" s="337"/>
      <c r="BX196" s="337"/>
      <c r="BY196" s="337"/>
      <c r="BZ196" s="338"/>
      <c r="CA196" s="350"/>
      <c r="CB196" s="337"/>
      <c r="CC196" s="337"/>
      <c r="CE196" s="337"/>
      <c r="CF196" s="337"/>
      <c r="CG196" s="338"/>
      <c r="CH196" s="350"/>
      <c r="CI196" s="337"/>
      <c r="CJ196" s="337"/>
      <c r="CL196" s="337"/>
      <c r="CM196" s="337"/>
      <c r="CN196" s="338"/>
      <c r="CO196" s="350"/>
      <c r="CP196" s="337"/>
      <c r="CQ196" s="337"/>
      <c r="CS196" s="337"/>
      <c r="CT196" s="337"/>
      <c r="CU196" s="338"/>
      <c r="CV196" s="350"/>
      <c r="CW196" s="337"/>
      <c r="CX196" s="337"/>
      <c r="CZ196" s="337"/>
      <c r="DA196" s="337"/>
      <c r="DB196" s="338"/>
      <c r="DC196" s="350"/>
      <c r="DD196" s="337"/>
      <c r="DE196" s="337"/>
      <c r="DG196" s="337"/>
      <c r="DH196" s="337"/>
      <c r="DI196" s="338"/>
      <c r="DJ196" s="350"/>
      <c r="DK196" s="337"/>
      <c r="DL196" s="337"/>
      <c r="DN196" s="337"/>
      <c r="DO196" s="337"/>
      <c r="DP196" s="338"/>
      <c r="DQ196" s="350"/>
      <c r="DR196" s="337"/>
      <c r="DS196" s="337"/>
      <c r="DU196" s="337"/>
      <c r="DV196" s="337"/>
      <c r="DW196" s="338"/>
      <c r="DX196" s="350"/>
      <c r="DY196" s="337"/>
      <c r="DZ196" s="337"/>
      <c r="EB196" s="337"/>
      <c r="EC196" s="337"/>
      <c r="ED196" s="338"/>
      <c r="EE196" s="350"/>
      <c r="EF196" s="337"/>
      <c r="EG196" s="337"/>
      <c r="EI196" s="337"/>
      <c r="EJ196" s="337"/>
      <c r="EK196" s="338"/>
      <c r="EL196" s="350"/>
      <c r="EM196" s="337"/>
      <c r="EN196" s="337"/>
      <c r="EP196" s="337"/>
      <c r="EQ196" s="337"/>
      <c r="ER196" s="338"/>
      <c r="ES196" s="350"/>
      <c r="ET196" s="337"/>
      <c r="EU196" s="337"/>
      <c r="EW196" s="337"/>
      <c r="EX196" s="337"/>
      <c r="EY196" s="338"/>
      <c r="EZ196" s="350"/>
      <c r="FA196" s="337"/>
      <c r="FB196" s="337"/>
      <c r="FD196" s="337"/>
      <c r="FE196" s="337"/>
      <c r="FF196" s="338"/>
      <c r="FG196" s="350"/>
      <c r="FH196" s="337"/>
      <c r="FI196" s="337"/>
      <c r="FK196" s="337"/>
      <c r="FL196" s="337"/>
      <c r="FM196" s="338"/>
      <c r="FN196" s="350"/>
      <c r="FO196" s="337"/>
      <c r="FP196" s="337"/>
      <c r="FR196" s="337"/>
      <c r="FS196" s="337"/>
      <c r="FT196" s="338"/>
      <c r="FU196" s="350"/>
      <c r="FV196" s="337"/>
      <c r="FW196" s="337"/>
      <c r="FY196" s="337"/>
      <c r="FZ196" s="337"/>
      <c r="GA196" s="338"/>
      <c r="GB196" s="350"/>
      <c r="GC196" s="337"/>
      <c r="GD196" s="337"/>
      <c r="GF196" s="337"/>
      <c r="GG196" s="337"/>
      <c r="GH196" s="338"/>
      <c r="GI196" s="350"/>
      <c r="GJ196" s="337"/>
      <c r="GK196" s="337"/>
      <c r="GM196" s="337"/>
      <c r="GN196" s="337"/>
      <c r="GO196" s="338"/>
      <c r="GP196" s="350"/>
      <c r="GQ196" s="337"/>
      <c r="GR196" s="337"/>
      <c r="GT196" s="337"/>
      <c r="GU196" s="337"/>
      <c r="GV196" s="338"/>
      <c r="GW196" s="350"/>
      <c r="GX196" s="337"/>
      <c r="GY196" s="337"/>
      <c r="HA196" s="337"/>
      <c r="HB196" s="337"/>
      <c r="HC196" s="338"/>
      <c r="HD196" s="350"/>
      <c r="HE196" s="337"/>
      <c r="HF196" s="337"/>
      <c r="HH196" s="337"/>
      <c r="HI196" s="337"/>
      <c r="HJ196" s="338"/>
      <c r="HK196" s="350"/>
      <c r="HL196" s="337"/>
      <c r="HM196" s="337"/>
      <c r="HO196" s="337"/>
      <c r="HP196" s="337"/>
      <c r="HQ196" s="338"/>
      <c r="HR196" s="350" t="s">
        <v>218</v>
      </c>
      <c r="HS196" s="337"/>
      <c r="HT196" s="337"/>
      <c r="HU196" s="191"/>
      <c r="HV196" s="337"/>
      <c r="HW196" s="337"/>
      <c r="HX196" s="338"/>
    </row>
    <row r="197" spans="2:232" outlineLevel="1" x14ac:dyDescent="0.25">
      <c r="B197" s="147"/>
      <c r="C197" s="147"/>
      <c r="D197" s="147"/>
      <c r="E197" s="147"/>
      <c r="F197" s="157"/>
      <c r="G197" s="147"/>
      <c r="H197" s="157"/>
      <c r="I197" s="175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V197" s="161" t="s">
        <v>200</v>
      </c>
      <c r="W197" s="12"/>
      <c r="X197" s="12"/>
      <c r="Y197" s="12"/>
      <c r="Z197" s="12"/>
      <c r="AA197" s="12"/>
      <c r="AB197" s="12"/>
      <c r="AC197" s="14"/>
      <c r="AD197" s="352" t="s">
        <v>22</v>
      </c>
      <c r="AE197" s="353"/>
      <c r="AF197" s="353"/>
      <c r="AG197" s="1" t="s">
        <v>57</v>
      </c>
      <c r="AH197" s="353" t="s">
        <v>219</v>
      </c>
      <c r="AI197" s="353"/>
      <c r="AJ197" s="355"/>
      <c r="AK197" s="352"/>
      <c r="AL197" s="353"/>
      <c r="AM197" s="353"/>
      <c r="AO197" s="353"/>
      <c r="AP197" s="353"/>
      <c r="AQ197" s="355"/>
      <c r="AR197" s="352"/>
      <c r="AS197" s="353"/>
      <c r="AT197" s="353"/>
      <c r="AV197" s="353"/>
      <c r="AW197" s="353"/>
      <c r="AX197" s="355"/>
      <c r="AY197" s="352"/>
      <c r="AZ197" s="353"/>
      <c r="BA197" s="353"/>
      <c r="BC197" s="353"/>
      <c r="BD197" s="353"/>
      <c r="BE197" s="355"/>
      <c r="BF197" s="352"/>
      <c r="BG197" s="353"/>
      <c r="BH197" s="353"/>
      <c r="BJ197" s="353"/>
      <c r="BK197" s="353"/>
      <c r="BL197" s="355"/>
      <c r="BM197" s="352"/>
      <c r="BN197" s="353"/>
      <c r="BO197" s="353"/>
      <c r="BQ197" s="353"/>
      <c r="BR197" s="353"/>
      <c r="BS197" s="355"/>
      <c r="BT197" s="352"/>
      <c r="BU197" s="353"/>
      <c r="BV197" s="353"/>
      <c r="BX197" s="353"/>
      <c r="BY197" s="353"/>
      <c r="BZ197" s="355"/>
      <c r="CA197" s="352"/>
      <c r="CB197" s="353"/>
      <c r="CC197" s="353"/>
      <c r="CE197" s="353"/>
      <c r="CF197" s="353"/>
      <c r="CG197" s="355"/>
      <c r="CH197" s="352"/>
      <c r="CI197" s="353"/>
      <c r="CJ197" s="353"/>
      <c r="CL197" s="353"/>
      <c r="CM197" s="353"/>
      <c r="CN197" s="355"/>
      <c r="CO197" s="352"/>
      <c r="CP197" s="353"/>
      <c r="CQ197" s="353"/>
      <c r="CS197" s="353"/>
      <c r="CT197" s="353"/>
      <c r="CU197" s="355"/>
      <c r="CV197" s="352"/>
      <c r="CW197" s="353"/>
      <c r="CX197" s="353"/>
      <c r="CZ197" s="353"/>
      <c r="DA197" s="353"/>
      <c r="DB197" s="355"/>
      <c r="DC197" s="352"/>
      <c r="DD197" s="353"/>
      <c r="DE197" s="353"/>
      <c r="DG197" s="353"/>
      <c r="DH197" s="353"/>
      <c r="DI197" s="355"/>
      <c r="DJ197" s="352"/>
      <c r="DK197" s="353"/>
      <c r="DL197" s="353"/>
      <c r="DN197" s="353"/>
      <c r="DO197" s="353"/>
      <c r="DP197" s="355"/>
      <c r="DQ197" s="352"/>
      <c r="DR197" s="353"/>
      <c r="DS197" s="353"/>
      <c r="DU197" s="353"/>
      <c r="DV197" s="353"/>
      <c r="DW197" s="355"/>
      <c r="DX197" s="352"/>
      <c r="DY197" s="353"/>
      <c r="DZ197" s="353"/>
      <c r="EB197" s="353"/>
      <c r="EC197" s="353"/>
      <c r="ED197" s="355"/>
      <c r="EE197" s="352"/>
      <c r="EF197" s="353"/>
      <c r="EG197" s="353"/>
      <c r="EI197" s="353"/>
      <c r="EJ197" s="353"/>
      <c r="EK197" s="355"/>
      <c r="EL197" s="352"/>
      <c r="EM197" s="353"/>
      <c r="EN197" s="353"/>
      <c r="EP197" s="353"/>
      <c r="EQ197" s="353"/>
      <c r="ER197" s="355"/>
      <c r="ES197" s="352"/>
      <c r="ET197" s="353"/>
      <c r="EU197" s="353"/>
      <c r="EW197" s="353"/>
      <c r="EX197" s="353"/>
      <c r="EY197" s="355"/>
      <c r="EZ197" s="352"/>
      <c r="FA197" s="353"/>
      <c r="FB197" s="353"/>
      <c r="FD197" s="353"/>
      <c r="FE197" s="353"/>
      <c r="FF197" s="355"/>
      <c r="FG197" s="352"/>
      <c r="FH197" s="353"/>
      <c r="FI197" s="353"/>
      <c r="FK197" s="353"/>
      <c r="FL197" s="353"/>
      <c r="FM197" s="355"/>
      <c r="FN197" s="352"/>
      <c r="FO197" s="353"/>
      <c r="FP197" s="353"/>
      <c r="FR197" s="353"/>
      <c r="FS197" s="353"/>
      <c r="FT197" s="355"/>
      <c r="FU197" s="352"/>
      <c r="FV197" s="353"/>
      <c r="FW197" s="353"/>
      <c r="FY197" s="353"/>
      <c r="FZ197" s="353"/>
      <c r="GA197" s="355"/>
      <c r="GB197" s="352"/>
      <c r="GC197" s="353"/>
      <c r="GD197" s="353"/>
      <c r="GF197" s="353"/>
      <c r="GG197" s="353"/>
      <c r="GH197" s="355"/>
      <c r="GI197" s="352"/>
      <c r="GJ197" s="353"/>
      <c r="GK197" s="353"/>
      <c r="GM197" s="353"/>
      <c r="GN197" s="353"/>
      <c r="GO197" s="355"/>
      <c r="GP197" s="352"/>
      <c r="GQ197" s="353"/>
      <c r="GR197" s="353"/>
      <c r="GT197" s="353"/>
      <c r="GU197" s="353"/>
      <c r="GV197" s="355"/>
      <c r="GW197" s="352"/>
      <c r="GX197" s="353"/>
      <c r="GY197" s="353"/>
      <c r="HA197" s="353"/>
      <c r="HB197" s="353"/>
      <c r="HC197" s="355"/>
      <c r="HD197" s="352"/>
      <c r="HE197" s="353"/>
      <c r="HF197" s="353"/>
      <c r="HH197" s="353"/>
      <c r="HI197" s="353"/>
      <c r="HJ197" s="355"/>
      <c r="HK197" s="352"/>
      <c r="HL197" s="353"/>
      <c r="HM197" s="353"/>
      <c r="HO197" s="353"/>
      <c r="HP197" s="353"/>
      <c r="HQ197" s="355"/>
      <c r="HR197" s="352" t="s">
        <v>219</v>
      </c>
      <c r="HS197" s="353"/>
      <c r="HT197" s="353"/>
      <c r="HV197" s="353"/>
      <c r="HW197" s="353"/>
      <c r="HX197" s="355"/>
    </row>
    <row r="198" spans="2:232" outlineLevel="1" x14ac:dyDescent="0.25">
      <c r="B198" s="147"/>
      <c r="C198" s="147"/>
      <c r="D198" s="147"/>
      <c r="E198" s="147"/>
      <c r="F198" s="157"/>
      <c r="G198" s="147"/>
      <c r="H198" s="157"/>
      <c r="I198" s="175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V198" s="162"/>
      <c r="W198" s="159"/>
      <c r="X198" s="159"/>
      <c r="Y198" s="159"/>
      <c r="Z198" s="159"/>
      <c r="AA198" s="159"/>
      <c r="AB198" s="159"/>
      <c r="AC198" s="160"/>
      <c r="AD198" s="361"/>
      <c r="AE198" s="356"/>
      <c r="AF198" s="356"/>
      <c r="AG198" s="163"/>
      <c r="AH198" s="356"/>
      <c r="AI198" s="356"/>
      <c r="AJ198" s="357"/>
      <c r="AK198" s="361"/>
      <c r="AL198" s="356"/>
      <c r="AM198" s="356"/>
      <c r="AN198" s="163"/>
      <c r="AO198" s="356"/>
      <c r="AP198" s="356"/>
      <c r="AQ198" s="357"/>
      <c r="AR198" s="361"/>
      <c r="AS198" s="356"/>
      <c r="AT198" s="356"/>
      <c r="AU198" s="163"/>
      <c r="AV198" s="356"/>
      <c r="AW198" s="356"/>
      <c r="AX198" s="357"/>
      <c r="AY198" s="361"/>
      <c r="AZ198" s="356"/>
      <c r="BA198" s="356"/>
      <c r="BB198" s="163"/>
      <c r="BC198" s="356"/>
      <c r="BD198" s="356"/>
      <c r="BE198" s="357"/>
      <c r="BF198" s="361"/>
      <c r="BG198" s="356"/>
      <c r="BH198" s="356"/>
      <c r="BI198" s="163"/>
      <c r="BJ198" s="356"/>
      <c r="BK198" s="356"/>
      <c r="BL198" s="357"/>
      <c r="BM198" s="361"/>
      <c r="BN198" s="356"/>
      <c r="BO198" s="356"/>
      <c r="BP198" s="163"/>
      <c r="BQ198" s="356"/>
      <c r="BR198" s="356"/>
      <c r="BS198" s="357"/>
      <c r="BT198" s="361"/>
      <c r="BU198" s="356"/>
      <c r="BV198" s="356"/>
      <c r="BW198" s="163"/>
      <c r="BX198" s="356"/>
      <c r="BY198" s="356"/>
      <c r="BZ198" s="357"/>
      <c r="CA198" s="361"/>
      <c r="CB198" s="356"/>
      <c r="CC198" s="356"/>
      <c r="CD198" s="163"/>
      <c r="CE198" s="356"/>
      <c r="CF198" s="356"/>
      <c r="CG198" s="357"/>
      <c r="CH198" s="361"/>
      <c r="CI198" s="356"/>
      <c r="CJ198" s="356"/>
      <c r="CK198" s="163"/>
      <c r="CL198" s="356"/>
      <c r="CM198" s="356"/>
      <c r="CN198" s="357"/>
      <c r="CO198" s="361"/>
      <c r="CP198" s="356"/>
      <c r="CQ198" s="356"/>
      <c r="CR198" s="163"/>
      <c r="CS198" s="356"/>
      <c r="CT198" s="356"/>
      <c r="CU198" s="357"/>
      <c r="CV198" s="361"/>
      <c r="CW198" s="356"/>
      <c r="CX198" s="356"/>
      <c r="CY198" s="163"/>
      <c r="CZ198" s="356"/>
      <c r="DA198" s="356"/>
      <c r="DB198" s="357"/>
      <c r="DC198" s="361"/>
      <c r="DD198" s="356"/>
      <c r="DE198" s="356"/>
      <c r="DF198" s="163"/>
      <c r="DG198" s="356"/>
      <c r="DH198" s="356"/>
      <c r="DI198" s="357"/>
      <c r="DJ198" s="361"/>
      <c r="DK198" s="356"/>
      <c r="DL198" s="356"/>
      <c r="DM198" s="163"/>
      <c r="DN198" s="356"/>
      <c r="DO198" s="356"/>
      <c r="DP198" s="357"/>
      <c r="DQ198" s="361"/>
      <c r="DR198" s="356"/>
      <c r="DS198" s="356"/>
      <c r="DT198" s="163"/>
      <c r="DU198" s="356"/>
      <c r="DV198" s="356"/>
      <c r="DW198" s="357"/>
      <c r="DX198" s="361"/>
      <c r="DY198" s="356"/>
      <c r="DZ198" s="356"/>
      <c r="EA198" s="163"/>
      <c r="EB198" s="356"/>
      <c r="EC198" s="356"/>
      <c r="ED198" s="357"/>
      <c r="EE198" s="361"/>
      <c r="EF198" s="356"/>
      <c r="EG198" s="356"/>
      <c r="EH198" s="163"/>
      <c r="EI198" s="356"/>
      <c r="EJ198" s="356"/>
      <c r="EK198" s="357"/>
      <c r="EL198" s="361"/>
      <c r="EM198" s="356"/>
      <c r="EN198" s="356"/>
      <c r="EO198" s="163"/>
      <c r="EP198" s="356"/>
      <c r="EQ198" s="356"/>
      <c r="ER198" s="357"/>
      <c r="ES198" s="361"/>
      <c r="ET198" s="356"/>
      <c r="EU198" s="356"/>
      <c r="EV198" s="163"/>
      <c r="EW198" s="356"/>
      <c r="EX198" s="356"/>
      <c r="EY198" s="357"/>
      <c r="EZ198" s="361"/>
      <c r="FA198" s="356"/>
      <c r="FB198" s="356"/>
      <c r="FC198" s="163"/>
      <c r="FD198" s="356"/>
      <c r="FE198" s="356"/>
      <c r="FF198" s="357"/>
      <c r="FG198" s="361"/>
      <c r="FH198" s="356"/>
      <c r="FI198" s="356"/>
      <c r="FJ198" s="163"/>
      <c r="FK198" s="356"/>
      <c r="FL198" s="356"/>
      <c r="FM198" s="357"/>
      <c r="FN198" s="361"/>
      <c r="FO198" s="356"/>
      <c r="FP198" s="356"/>
      <c r="FQ198" s="163"/>
      <c r="FR198" s="356"/>
      <c r="FS198" s="356"/>
      <c r="FT198" s="357"/>
      <c r="FU198" s="361"/>
      <c r="FV198" s="356"/>
      <c r="FW198" s="356"/>
      <c r="FX198" s="163"/>
      <c r="FY198" s="356"/>
      <c r="FZ198" s="356"/>
      <c r="GA198" s="357"/>
      <c r="GB198" s="361"/>
      <c r="GC198" s="356"/>
      <c r="GD198" s="356"/>
      <c r="GE198" s="163"/>
      <c r="GF198" s="356"/>
      <c r="GG198" s="356"/>
      <c r="GH198" s="357"/>
      <c r="GI198" s="361"/>
      <c r="GJ198" s="356"/>
      <c r="GK198" s="356"/>
      <c r="GL198" s="163"/>
      <c r="GM198" s="356"/>
      <c r="GN198" s="356"/>
      <c r="GO198" s="357"/>
      <c r="GP198" s="361"/>
      <c r="GQ198" s="356"/>
      <c r="GR198" s="356"/>
      <c r="GS198" s="163"/>
      <c r="GT198" s="356"/>
      <c r="GU198" s="356"/>
      <c r="GV198" s="357"/>
      <c r="GW198" s="361"/>
      <c r="GX198" s="356"/>
      <c r="GY198" s="356"/>
      <c r="GZ198" s="163"/>
      <c r="HA198" s="356"/>
      <c r="HB198" s="356"/>
      <c r="HC198" s="357"/>
      <c r="HD198" s="361"/>
      <c r="HE198" s="356"/>
      <c r="HF198" s="356"/>
      <c r="HG198" s="163"/>
      <c r="HH198" s="356"/>
      <c r="HI198" s="356"/>
      <c r="HJ198" s="357"/>
      <c r="HK198" s="361"/>
      <c r="HL198" s="356"/>
      <c r="HM198" s="356"/>
      <c r="HN198" s="163"/>
      <c r="HO198" s="356"/>
      <c r="HP198" s="356"/>
      <c r="HQ198" s="357"/>
      <c r="HR198" s="361"/>
      <c r="HS198" s="356"/>
      <c r="HT198" s="356"/>
      <c r="HU198" s="163"/>
      <c r="HV198" s="356"/>
      <c r="HW198" s="356"/>
      <c r="HX198" s="357"/>
    </row>
    <row r="199" spans="2:232" outlineLevel="1" x14ac:dyDescent="0.25">
      <c r="B199" s="32"/>
      <c r="C199" s="333">
        <f>MAX(C192:C193)+1</f>
        <v>26</v>
      </c>
      <c r="D199" s="164" t="s">
        <v>21</v>
      </c>
      <c r="E199" s="34"/>
      <c r="F199" s="165" t="s">
        <v>529</v>
      </c>
      <c r="G199" s="165" t="s">
        <v>529</v>
      </c>
      <c r="H199" s="259" t="s">
        <v>212</v>
      </c>
      <c r="I199" s="176" t="s">
        <v>197</v>
      </c>
      <c r="J199" s="165" t="s">
        <v>171</v>
      </c>
      <c r="K199" s="165">
        <v>2031</v>
      </c>
      <c r="L199" s="165">
        <v>6</v>
      </c>
      <c r="M199" s="165"/>
      <c r="N199" s="165"/>
      <c r="O199" s="165"/>
      <c r="P199" s="165"/>
      <c r="Q199" s="165"/>
      <c r="R199" s="165"/>
      <c r="S199" s="165"/>
      <c r="T199" s="165"/>
      <c r="V199" s="11" t="s">
        <v>283</v>
      </c>
      <c r="W199" s="12"/>
      <c r="X199" s="12"/>
      <c r="Y199" s="12"/>
      <c r="Z199" s="12"/>
      <c r="AA199" s="12"/>
      <c r="AB199" s="12"/>
      <c r="AC199" s="14"/>
      <c r="AD199" s="166">
        <f>$C199</f>
        <v>26</v>
      </c>
      <c r="AE199" s="358" t="s">
        <v>175</v>
      </c>
      <c r="AF199" s="358"/>
      <c r="AG199" s="358"/>
      <c r="AH199" s="158"/>
      <c r="AI199" s="337"/>
      <c r="AJ199" s="338"/>
      <c r="AK199" s="166"/>
      <c r="AL199" s="358"/>
      <c r="AM199" s="358"/>
      <c r="AN199" s="358"/>
      <c r="AO199" s="32"/>
      <c r="AP199" s="337"/>
      <c r="AQ199" s="338"/>
      <c r="AR199" s="166"/>
      <c r="AS199" s="358"/>
      <c r="AT199" s="358"/>
      <c r="AU199" s="358"/>
      <c r="AV199" s="32"/>
      <c r="AW199" s="337"/>
      <c r="AX199" s="338"/>
      <c r="AY199" s="166"/>
      <c r="AZ199" s="362"/>
      <c r="BA199" s="362"/>
      <c r="BB199" s="362"/>
      <c r="BC199" s="158"/>
      <c r="BD199" s="337"/>
      <c r="BE199" s="338"/>
      <c r="BF199" s="166"/>
      <c r="BG199" s="362"/>
      <c r="BH199" s="362"/>
      <c r="BI199" s="362"/>
      <c r="BJ199" s="158"/>
      <c r="BK199" s="337"/>
      <c r="BL199" s="338"/>
      <c r="BM199" s="166"/>
      <c r="BN199" s="362"/>
      <c r="BO199" s="362"/>
      <c r="BP199" s="362"/>
      <c r="BQ199" s="158"/>
      <c r="BR199" s="337"/>
      <c r="BS199" s="338"/>
      <c r="BT199" s="166"/>
      <c r="BU199" s="362"/>
      <c r="BV199" s="362"/>
      <c r="BW199" s="362"/>
      <c r="BX199" s="158"/>
      <c r="BY199" s="337"/>
      <c r="BZ199" s="338"/>
      <c r="CA199" s="166"/>
      <c r="CB199" s="362"/>
      <c r="CC199" s="362"/>
      <c r="CD199" s="362"/>
      <c r="CE199" s="158"/>
      <c r="CF199" s="337"/>
      <c r="CG199" s="338"/>
      <c r="CH199" s="166"/>
      <c r="CI199" s="362"/>
      <c r="CJ199" s="362"/>
      <c r="CK199" s="362"/>
      <c r="CL199" s="158"/>
      <c r="CM199" s="337"/>
      <c r="CN199" s="338"/>
      <c r="CO199" s="166"/>
      <c r="CP199" s="362"/>
      <c r="CQ199" s="362"/>
      <c r="CR199" s="362"/>
      <c r="CS199" s="158"/>
      <c r="CT199" s="337"/>
      <c r="CU199" s="338"/>
      <c r="CV199" s="166"/>
      <c r="CW199" s="362"/>
      <c r="CX199" s="362"/>
      <c r="CY199" s="362"/>
      <c r="CZ199" s="158"/>
      <c r="DA199" s="337"/>
      <c r="DB199" s="338"/>
      <c r="DC199" s="166"/>
      <c r="DD199" s="362"/>
      <c r="DE199" s="362"/>
      <c r="DF199" s="362"/>
      <c r="DG199" s="158"/>
      <c r="DH199" s="337"/>
      <c r="DI199" s="338"/>
      <c r="DJ199" s="166"/>
      <c r="DK199" s="362"/>
      <c r="DL199" s="362"/>
      <c r="DM199" s="362"/>
      <c r="DN199" s="158"/>
      <c r="DO199" s="337"/>
      <c r="DP199" s="338"/>
      <c r="DQ199" s="166"/>
      <c r="DR199" s="362"/>
      <c r="DS199" s="362"/>
      <c r="DT199" s="362"/>
      <c r="DU199" s="158"/>
      <c r="DV199" s="337"/>
      <c r="DW199" s="338"/>
      <c r="DX199" s="166"/>
      <c r="DY199" s="362"/>
      <c r="DZ199" s="362"/>
      <c r="EA199" s="362"/>
      <c r="EB199" s="158"/>
      <c r="EC199" s="337"/>
      <c r="ED199" s="338"/>
      <c r="EE199" s="166"/>
      <c r="EF199" s="362"/>
      <c r="EG199" s="362"/>
      <c r="EH199" s="362"/>
      <c r="EI199" s="158"/>
      <c r="EJ199" s="337"/>
      <c r="EK199" s="338"/>
      <c r="EL199" s="166"/>
      <c r="EM199" s="362"/>
      <c r="EN199" s="362"/>
      <c r="EO199" s="362"/>
      <c r="EP199" s="158"/>
      <c r="EQ199" s="337"/>
      <c r="ER199" s="338"/>
      <c r="ES199" s="166"/>
      <c r="ET199" s="362"/>
      <c r="EU199" s="362"/>
      <c r="EV199" s="362"/>
      <c r="EW199" s="158"/>
      <c r="EX199" s="337"/>
      <c r="EY199" s="338"/>
      <c r="EZ199" s="166"/>
      <c r="FA199" s="362"/>
      <c r="FB199" s="362"/>
      <c r="FC199" s="362"/>
      <c r="FD199" s="158"/>
      <c r="FE199" s="337"/>
      <c r="FF199" s="338"/>
      <c r="FG199" s="166"/>
      <c r="FH199" s="362"/>
      <c r="FI199" s="362"/>
      <c r="FJ199" s="362"/>
      <c r="FK199" s="158"/>
      <c r="FL199" s="337"/>
      <c r="FM199" s="338"/>
      <c r="FN199" s="166"/>
      <c r="FO199" s="362"/>
      <c r="FP199" s="362"/>
      <c r="FQ199" s="362"/>
      <c r="FR199" s="158"/>
      <c r="FS199" s="337"/>
      <c r="FT199" s="338"/>
      <c r="FU199" s="166"/>
      <c r="FV199" s="362"/>
      <c r="FW199" s="362"/>
      <c r="FX199" s="362"/>
      <c r="FY199" s="158"/>
      <c r="FZ199" s="337"/>
      <c r="GA199" s="338"/>
      <c r="GB199" s="166"/>
      <c r="GC199" s="362"/>
      <c r="GD199" s="362"/>
      <c r="GE199" s="362"/>
      <c r="GF199" s="158"/>
      <c r="GG199" s="337"/>
      <c r="GH199" s="338"/>
      <c r="GI199" s="166"/>
      <c r="GJ199" s="362"/>
      <c r="GK199" s="362"/>
      <c r="GL199" s="362"/>
      <c r="GM199" s="158"/>
      <c r="GN199" s="337"/>
      <c r="GO199" s="338"/>
      <c r="GP199" s="166"/>
      <c r="GQ199" s="362"/>
      <c r="GR199" s="362"/>
      <c r="GS199" s="362"/>
      <c r="GT199" s="158"/>
      <c r="GU199" s="337"/>
      <c r="GV199" s="338"/>
      <c r="GW199" s="166"/>
      <c r="GX199" s="362"/>
      <c r="GY199" s="362"/>
      <c r="GZ199" s="362"/>
      <c r="HA199" s="158"/>
      <c r="HB199" s="337"/>
      <c r="HC199" s="338"/>
      <c r="HD199" s="166"/>
      <c r="HE199" s="362"/>
      <c r="HF199" s="362"/>
      <c r="HG199" s="362"/>
      <c r="HH199" s="158"/>
      <c r="HI199" s="337"/>
      <c r="HJ199" s="338"/>
      <c r="HK199" s="166"/>
      <c r="HL199" s="362"/>
      <c r="HM199" s="362"/>
      <c r="HN199" s="362"/>
      <c r="HO199" s="158"/>
      <c r="HP199" s="337"/>
      <c r="HQ199" s="338"/>
      <c r="HR199" s="166">
        <f>$AD199</f>
        <v>26</v>
      </c>
      <c r="HS199" s="358" t="s">
        <v>175</v>
      </c>
      <c r="HT199" s="358"/>
      <c r="HU199" s="358"/>
      <c r="HV199" s="257"/>
      <c r="HW199" s="337"/>
      <c r="HX199" s="338"/>
    </row>
    <row r="200" spans="2:232" outlineLevel="1" x14ac:dyDescent="0.25">
      <c r="B200" s="32"/>
      <c r="C200" s="167"/>
      <c r="D200" s="167"/>
      <c r="E200" s="34"/>
      <c r="F200" s="168"/>
      <c r="G200" s="167"/>
      <c r="H200" s="55"/>
      <c r="I200" s="177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V200" s="107"/>
      <c r="W200" s="108"/>
      <c r="X200" s="108"/>
      <c r="Y200" s="108"/>
      <c r="Z200" s="108"/>
      <c r="AA200" s="108"/>
      <c r="AB200" s="108"/>
      <c r="AC200" s="109"/>
      <c r="AD200" s="169"/>
      <c r="AE200" s="365"/>
      <c r="AF200" s="365"/>
      <c r="AG200" s="365"/>
      <c r="AH200" s="30"/>
      <c r="AI200" s="340"/>
      <c r="AJ200" s="341"/>
      <c r="AK200" s="169"/>
      <c r="AL200" s="339"/>
      <c r="AM200" s="339"/>
      <c r="AN200" s="339"/>
      <c r="AO200" s="30"/>
      <c r="AP200" s="340"/>
      <c r="AQ200" s="341"/>
      <c r="AR200" s="169"/>
      <c r="AS200" s="339"/>
      <c r="AT200" s="339"/>
      <c r="AU200" s="339"/>
      <c r="AV200" s="30"/>
      <c r="AW200" s="340"/>
      <c r="AX200" s="341"/>
      <c r="AY200" s="169"/>
      <c r="AZ200" s="339"/>
      <c r="BA200" s="339"/>
      <c r="BB200" s="339"/>
      <c r="BC200" s="30"/>
      <c r="BD200" s="340"/>
      <c r="BE200" s="341"/>
      <c r="BF200" s="169"/>
      <c r="BG200" s="339"/>
      <c r="BH200" s="339"/>
      <c r="BI200" s="339"/>
      <c r="BJ200" s="30"/>
      <c r="BK200" s="340"/>
      <c r="BL200" s="341"/>
      <c r="BM200" s="169"/>
      <c r="BN200" s="339"/>
      <c r="BO200" s="339"/>
      <c r="BP200" s="339"/>
      <c r="BQ200" s="30"/>
      <c r="BR200" s="340"/>
      <c r="BS200" s="341"/>
      <c r="BT200" s="169"/>
      <c r="BU200" s="339"/>
      <c r="BV200" s="339"/>
      <c r="BW200" s="339"/>
      <c r="BX200" s="30"/>
      <c r="BY200" s="340"/>
      <c r="BZ200" s="341"/>
      <c r="CA200" s="169"/>
      <c r="CB200" s="339"/>
      <c r="CC200" s="339"/>
      <c r="CD200" s="339"/>
      <c r="CE200" s="30"/>
      <c r="CF200" s="340"/>
      <c r="CG200" s="341"/>
      <c r="CH200" s="169"/>
      <c r="CI200" s="339"/>
      <c r="CJ200" s="339"/>
      <c r="CK200" s="339"/>
      <c r="CL200" s="30"/>
      <c r="CM200" s="340"/>
      <c r="CN200" s="341"/>
      <c r="CO200" s="169"/>
      <c r="CP200" s="339"/>
      <c r="CQ200" s="339"/>
      <c r="CR200" s="339"/>
      <c r="CS200" s="30"/>
      <c r="CT200" s="340"/>
      <c r="CU200" s="341"/>
      <c r="CV200" s="169"/>
      <c r="CW200" s="339"/>
      <c r="CX200" s="339"/>
      <c r="CY200" s="339"/>
      <c r="CZ200" s="30"/>
      <c r="DA200" s="340"/>
      <c r="DB200" s="341"/>
      <c r="DC200" s="169"/>
      <c r="DD200" s="339"/>
      <c r="DE200" s="339"/>
      <c r="DF200" s="339"/>
      <c r="DG200" s="30"/>
      <c r="DH200" s="340"/>
      <c r="DI200" s="341"/>
      <c r="DJ200" s="169"/>
      <c r="DK200" s="339"/>
      <c r="DL200" s="339"/>
      <c r="DM200" s="339"/>
      <c r="DN200" s="30"/>
      <c r="DO200" s="340"/>
      <c r="DP200" s="341"/>
      <c r="DQ200" s="169"/>
      <c r="DR200" s="339"/>
      <c r="DS200" s="339"/>
      <c r="DT200" s="339"/>
      <c r="DU200" s="30"/>
      <c r="DV200" s="340"/>
      <c r="DW200" s="341"/>
      <c r="DX200" s="169"/>
      <c r="DY200" s="339"/>
      <c r="DZ200" s="339"/>
      <c r="EA200" s="339"/>
      <c r="EB200" s="30"/>
      <c r="EC200" s="340"/>
      <c r="ED200" s="341"/>
      <c r="EE200" s="169"/>
      <c r="EF200" s="339"/>
      <c r="EG200" s="339"/>
      <c r="EH200" s="339"/>
      <c r="EI200" s="30"/>
      <c r="EJ200" s="340"/>
      <c r="EK200" s="341"/>
      <c r="EL200" s="169"/>
      <c r="EM200" s="339"/>
      <c r="EN200" s="339"/>
      <c r="EO200" s="339"/>
      <c r="EP200" s="30"/>
      <c r="EQ200" s="340"/>
      <c r="ER200" s="341"/>
      <c r="ES200" s="169"/>
      <c r="ET200" s="339"/>
      <c r="EU200" s="339"/>
      <c r="EV200" s="339"/>
      <c r="EW200" s="30"/>
      <c r="EX200" s="340"/>
      <c r="EY200" s="341"/>
      <c r="EZ200" s="169"/>
      <c r="FA200" s="339"/>
      <c r="FB200" s="339"/>
      <c r="FC200" s="339"/>
      <c r="FD200" s="30"/>
      <c r="FE200" s="340"/>
      <c r="FF200" s="341"/>
      <c r="FG200" s="169"/>
      <c r="FH200" s="339"/>
      <c r="FI200" s="339"/>
      <c r="FJ200" s="339"/>
      <c r="FK200" s="30"/>
      <c r="FL200" s="340"/>
      <c r="FM200" s="341"/>
      <c r="FN200" s="169"/>
      <c r="FO200" s="339"/>
      <c r="FP200" s="339"/>
      <c r="FQ200" s="339"/>
      <c r="FR200" s="30"/>
      <c r="FS200" s="340"/>
      <c r="FT200" s="341"/>
      <c r="FU200" s="169"/>
      <c r="FV200" s="339"/>
      <c r="FW200" s="339"/>
      <c r="FX200" s="339"/>
      <c r="FY200" s="30"/>
      <c r="FZ200" s="340"/>
      <c r="GA200" s="341"/>
      <c r="GB200" s="169"/>
      <c r="GC200" s="339"/>
      <c r="GD200" s="339"/>
      <c r="GE200" s="339"/>
      <c r="GF200" s="30"/>
      <c r="GG200" s="340"/>
      <c r="GH200" s="341"/>
      <c r="GI200" s="169"/>
      <c r="GJ200" s="339"/>
      <c r="GK200" s="339"/>
      <c r="GL200" s="339"/>
      <c r="GM200" s="30"/>
      <c r="GN200" s="340"/>
      <c r="GO200" s="341"/>
      <c r="GP200" s="169"/>
      <c r="GQ200" s="339"/>
      <c r="GR200" s="339"/>
      <c r="GS200" s="339"/>
      <c r="GT200" s="30"/>
      <c r="GU200" s="340"/>
      <c r="GV200" s="341"/>
      <c r="GW200" s="169"/>
      <c r="GX200" s="339"/>
      <c r="GY200" s="339"/>
      <c r="GZ200" s="339"/>
      <c r="HA200" s="30"/>
      <c r="HB200" s="340"/>
      <c r="HC200" s="341"/>
      <c r="HD200" s="169"/>
      <c r="HE200" s="339"/>
      <c r="HF200" s="339"/>
      <c r="HG200" s="339"/>
      <c r="HH200" s="30"/>
      <c r="HI200" s="340"/>
      <c r="HJ200" s="341"/>
      <c r="HK200" s="169"/>
      <c r="HL200" s="339"/>
      <c r="HM200" s="339"/>
      <c r="HN200" s="339"/>
      <c r="HO200" s="30"/>
      <c r="HP200" s="340"/>
      <c r="HQ200" s="341"/>
      <c r="HR200" s="169"/>
      <c r="HS200" s="365"/>
      <c r="HT200" s="365"/>
      <c r="HU200" s="365"/>
      <c r="HV200" s="258"/>
      <c r="HW200" s="340"/>
      <c r="HX200" s="341"/>
    </row>
    <row r="201" spans="2:232" outlineLevel="1" x14ac:dyDescent="0.25">
      <c r="B201" s="147"/>
      <c r="C201" s="147"/>
      <c r="D201" s="147"/>
      <c r="E201" s="147"/>
      <c r="F201" s="157"/>
      <c r="G201" s="147"/>
      <c r="H201" s="157"/>
      <c r="I201" s="175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V201" s="150" t="s">
        <v>170</v>
      </c>
      <c r="W201" s="151"/>
      <c r="X201" s="151"/>
      <c r="Y201" s="151"/>
      <c r="Z201" s="151"/>
      <c r="AA201" s="151"/>
      <c r="AB201" s="369"/>
      <c r="AC201" s="370"/>
      <c r="AD201" s="342" t="s">
        <v>217</v>
      </c>
      <c r="AE201" s="343"/>
      <c r="AF201" s="343"/>
      <c r="AG201" s="343"/>
      <c r="AH201" s="343"/>
      <c r="AI201" s="152"/>
      <c r="AJ201" s="155">
        <f>COUNTA(AD206:AD207)</f>
        <v>1</v>
      </c>
      <c r="AK201" s="156"/>
      <c r="AL201" s="152"/>
      <c r="AM201" s="153"/>
      <c r="AN201" s="152"/>
      <c r="AO201" s="154"/>
      <c r="AP201" s="152"/>
      <c r="AQ201" s="155">
        <f>COUNTA(AK206:AK207)</f>
        <v>0</v>
      </c>
      <c r="AR201" s="156"/>
      <c r="AS201" s="152"/>
      <c r="AT201" s="153"/>
      <c r="AU201" s="152"/>
      <c r="AV201" s="154"/>
      <c r="AW201" s="152"/>
      <c r="AX201" s="155">
        <f>COUNTA(AR206:AR207)</f>
        <v>0</v>
      </c>
      <c r="AY201" s="156"/>
      <c r="AZ201" s="152"/>
      <c r="BA201" s="153"/>
      <c r="BB201" s="152"/>
      <c r="BC201" s="154"/>
      <c r="BD201" s="152"/>
      <c r="BE201" s="155">
        <f>COUNTA(AY206:AY207)</f>
        <v>0</v>
      </c>
      <c r="BF201" s="156"/>
      <c r="BG201" s="152"/>
      <c r="BH201" s="153"/>
      <c r="BI201" s="152"/>
      <c r="BJ201" s="154"/>
      <c r="BK201" s="152"/>
      <c r="BL201" s="155">
        <f>COUNTA(BF206:BF207)</f>
        <v>0</v>
      </c>
      <c r="BM201" s="156"/>
      <c r="BN201" s="152"/>
      <c r="BO201" s="153"/>
      <c r="BP201" s="152"/>
      <c r="BQ201" s="154"/>
      <c r="BR201" s="152"/>
      <c r="BS201" s="155">
        <f>COUNTA(BM206:BM207)</f>
        <v>0</v>
      </c>
      <c r="BT201" s="156"/>
      <c r="BU201" s="152"/>
      <c r="BV201" s="153"/>
      <c r="BW201" s="152"/>
      <c r="BX201" s="154"/>
      <c r="BY201" s="152"/>
      <c r="BZ201" s="155">
        <f>COUNTA(BT206:BT207)</f>
        <v>0</v>
      </c>
      <c r="CA201" s="156"/>
      <c r="CB201" s="152"/>
      <c r="CC201" s="153"/>
      <c r="CD201" s="152"/>
      <c r="CE201" s="154"/>
      <c r="CF201" s="152"/>
      <c r="CG201" s="155">
        <f>COUNTA(CA206:CA207)</f>
        <v>0</v>
      </c>
      <c r="CH201" s="156"/>
      <c r="CI201" s="152"/>
      <c r="CJ201" s="153"/>
      <c r="CK201" s="152"/>
      <c r="CL201" s="154"/>
      <c r="CM201" s="152"/>
      <c r="CN201" s="155">
        <f>COUNTA(CH206:CH207)</f>
        <v>0</v>
      </c>
      <c r="CO201" s="156"/>
      <c r="CP201" s="152"/>
      <c r="CQ201" s="153"/>
      <c r="CR201" s="152"/>
      <c r="CS201" s="154"/>
      <c r="CT201" s="152"/>
      <c r="CU201" s="155">
        <f>COUNTA(CO206:CO207)</f>
        <v>0</v>
      </c>
      <c r="CV201" s="156"/>
      <c r="CW201" s="152"/>
      <c r="CX201" s="153"/>
      <c r="CY201" s="152"/>
      <c r="CZ201" s="154"/>
      <c r="DA201" s="152"/>
      <c r="DB201" s="155">
        <f>COUNTA(CV206:CV207)</f>
        <v>0</v>
      </c>
      <c r="DC201" s="156"/>
      <c r="DD201" s="152"/>
      <c r="DE201" s="153"/>
      <c r="DF201" s="152"/>
      <c r="DG201" s="154"/>
      <c r="DH201" s="152"/>
      <c r="DI201" s="155">
        <f>COUNTA(DC206:DC207)</f>
        <v>0</v>
      </c>
      <c r="DJ201" s="156"/>
      <c r="DK201" s="152"/>
      <c r="DL201" s="153"/>
      <c r="DM201" s="152"/>
      <c r="DN201" s="154"/>
      <c r="DO201" s="152"/>
      <c r="DP201" s="155">
        <f>COUNTA(DJ206:DJ207)</f>
        <v>0</v>
      </c>
      <c r="DQ201" s="156"/>
      <c r="DR201" s="152"/>
      <c r="DS201" s="153"/>
      <c r="DT201" s="152"/>
      <c r="DU201" s="154"/>
      <c r="DV201" s="152"/>
      <c r="DW201" s="155">
        <f>COUNTA(DQ206:DQ207)</f>
        <v>0</v>
      </c>
      <c r="DX201" s="156"/>
      <c r="DY201" s="152"/>
      <c r="DZ201" s="153"/>
      <c r="EA201" s="152"/>
      <c r="EB201" s="154"/>
      <c r="EC201" s="152"/>
      <c r="ED201" s="155">
        <f>COUNTA(DX206:DX207)</f>
        <v>0</v>
      </c>
      <c r="EE201" s="156"/>
      <c r="EF201" s="152"/>
      <c r="EG201" s="153"/>
      <c r="EH201" s="152"/>
      <c r="EI201" s="154"/>
      <c r="EJ201" s="152"/>
      <c r="EK201" s="155">
        <f>COUNTA(EE206:EE207)</f>
        <v>0</v>
      </c>
      <c r="EL201" s="156"/>
      <c r="EM201" s="152"/>
      <c r="EN201" s="153"/>
      <c r="EO201" s="152"/>
      <c r="EP201" s="154"/>
      <c r="EQ201" s="152"/>
      <c r="ER201" s="155">
        <f>COUNTA(EL206:EL207)</f>
        <v>0</v>
      </c>
      <c r="ES201" s="156"/>
      <c r="ET201" s="152"/>
      <c r="EU201" s="153"/>
      <c r="EV201" s="152"/>
      <c r="EW201" s="154"/>
      <c r="EX201" s="152"/>
      <c r="EY201" s="155">
        <f>COUNTA(ES206:ES207)</f>
        <v>0</v>
      </c>
      <c r="EZ201" s="156"/>
      <c r="FA201" s="152"/>
      <c r="FB201" s="153"/>
      <c r="FC201" s="152"/>
      <c r="FD201" s="154"/>
      <c r="FE201" s="152"/>
      <c r="FF201" s="155">
        <f>COUNTA(EZ206:EZ207)</f>
        <v>0</v>
      </c>
      <c r="FG201" s="156"/>
      <c r="FH201" s="152"/>
      <c r="FI201" s="153"/>
      <c r="FJ201" s="152"/>
      <c r="FK201" s="154"/>
      <c r="FL201" s="152"/>
      <c r="FM201" s="155">
        <f>COUNTA(FG206:FG207)</f>
        <v>0</v>
      </c>
      <c r="FN201" s="156"/>
      <c r="FO201" s="152"/>
      <c r="FP201" s="153"/>
      <c r="FQ201" s="152"/>
      <c r="FR201" s="154"/>
      <c r="FS201" s="152"/>
      <c r="FT201" s="155">
        <f>COUNTA(FN206:FN207)</f>
        <v>0</v>
      </c>
      <c r="FU201" s="156"/>
      <c r="FV201" s="152"/>
      <c r="FW201" s="153"/>
      <c r="FX201" s="152"/>
      <c r="FY201" s="154"/>
      <c r="FZ201" s="152"/>
      <c r="GA201" s="155">
        <f>COUNTA(FU206:FU207)</f>
        <v>0</v>
      </c>
      <c r="GB201" s="156"/>
      <c r="GC201" s="152"/>
      <c r="GD201" s="153"/>
      <c r="GE201" s="152"/>
      <c r="GF201" s="154"/>
      <c r="GG201" s="152"/>
      <c r="GH201" s="155">
        <f>COUNTA(GB206:GB207)</f>
        <v>0</v>
      </c>
      <c r="GI201" s="156"/>
      <c r="GJ201" s="152"/>
      <c r="GK201" s="153"/>
      <c r="GL201" s="152"/>
      <c r="GM201" s="154"/>
      <c r="GN201" s="152"/>
      <c r="GO201" s="155">
        <f>COUNTA(GI206:GI207)</f>
        <v>0</v>
      </c>
      <c r="GP201" s="156"/>
      <c r="GQ201" s="152"/>
      <c r="GR201" s="153"/>
      <c r="GS201" s="152"/>
      <c r="GT201" s="154"/>
      <c r="GU201" s="152"/>
      <c r="GV201" s="155">
        <f>COUNTA(GP206:GP207)</f>
        <v>0</v>
      </c>
      <c r="GW201" s="156"/>
      <c r="GX201" s="152"/>
      <c r="GY201" s="153"/>
      <c r="GZ201" s="152"/>
      <c r="HA201" s="154"/>
      <c r="HB201" s="152"/>
      <c r="HC201" s="155">
        <f>COUNTA(GW206:GW207)</f>
        <v>0</v>
      </c>
      <c r="HD201" s="156"/>
      <c r="HE201" s="152"/>
      <c r="HF201" s="153"/>
      <c r="HG201" s="152"/>
      <c r="HH201" s="154"/>
      <c r="HI201" s="152"/>
      <c r="HJ201" s="155">
        <f>COUNTA(HD206:HD207)</f>
        <v>0</v>
      </c>
      <c r="HK201" s="156"/>
      <c r="HL201" s="152"/>
      <c r="HM201" s="153"/>
      <c r="HN201" s="152"/>
      <c r="HO201" s="154"/>
      <c r="HP201" s="152"/>
      <c r="HQ201" s="155">
        <f>COUNTA(HK206:HK207)</f>
        <v>0</v>
      </c>
      <c r="HR201" s="342" t="s">
        <v>217</v>
      </c>
      <c r="HS201" s="343"/>
      <c r="HT201" s="343"/>
      <c r="HU201" s="343"/>
      <c r="HV201" s="343"/>
      <c r="HW201" s="152"/>
      <c r="HX201" s="155">
        <f>COUNTA(HR206:HR207)</f>
        <v>1</v>
      </c>
    </row>
    <row r="202" spans="2:232" ht="15" customHeight="1" outlineLevel="1" x14ac:dyDescent="0.25">
      <c r="B202" s="147"/>
      <c r="C202" s="147"/>
      <c r="D202" s="147"/>
      <c r="E202" s="147"/>
      <c r="F202" s="157"/>
      <c r="G202" s="147"/>
      <c r="H202" s="157"/>
      <c r="I202" s="175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V202" s="185" t="s">
        <v>224</v>
      </c>
      <c r="W202" s="186"/>
      <c r="X202" s="186"/>
      <c r="Y202" s="186"/>
      <c r="Z202" s="186"/>
      <c r="AA202" s="186"/>
      <c r="AB202" s="187"/>
      <c r="AC202" s="188"/>
      <c r="AD202" s="344" t="s">
        <v>533</v>
      </c>
      <c r="AE202" s="345"/>
      <c r="AF202" s="345"/>
      <c r="AG202" s="181" t="s">
        <v>75</v>
      </c>
      <c r="AH202" s="346" t="s">
        <v>310</v>
      </c>
      <c r="AI202" s="346"/>
      <c r="AJ202" s="349"/>
      <c r="AK202" s="180"/>
      <c r="AL202" s="181"/>
      <c r="AM202" s="182"/>
      <c r="AN202" s="181"/>
      <c r="AO202" s="183"/>
      <c r="AP202" s="181"/>
      <c r="AQ202" s="184"/>
      <c r="AR202" s="180"/>
      <c r="AS202" s="181"/>
      <c r="AT202" s="182"/>
      <c r="AU202" s="181"/>
      <c r="AV202" s="183"/>
      <c r="AW202" s="181"/>
      <c r="AX202" s="184"/>
      <c r="AY202" s="180"/>
      <c r="AZ202" s="181"/>
      <c r="BA202" s="182"/>
      <c r="BB202" s="181"/>
      <c r="BC202" s="183"/>
      <c r="BD202" s="181"/>
      <c r="BE202" s="184"/>
      <c r="BF202" s="180"/>
      <c r="BG202" s="181"/>
      <c r="BH202" s="182"/>
      <c r="BI202" s="181"/>
      <c r="BJ202" s="183"/>
      <c r="BK202" s="181"/>
      <c r="BL202" s="184"/>
      <c r="BM202" s="180"/>
      <c r="BN202" s="181"/>
      <c r="BO202" s="182"/>
      <c r="BP202" s="181"/>
      <c r="BQ202" s="183"/>
      <c r="BR202" s="181"/>
      <c r="BS202" s="184"/>
      <c r="BT202" s="180"/>
      <c r="BU202" s="181"/>
      <c r="BV202" s="182"/>
      <c r="BW202" s="181"/>
      <c r="BX202" s="183"/>
      <c r="BY202" s="181"/>
      <c r="BZ202" s="184"/>
      <c r="CA202" s="180"/>
      <c r="CB202" s="181"/>
      <c r="CC202" s="182"/>
      <c r="CD202" s="181"/>
      <c r="CE202" s="183"/>
      <c r="CF202" s="181"/>
      <c r="CG202" s="184"/>
      <c r="CH202" s="180"/>
      <c r="CI202" s="181"/>
      <c r="CJ202" s="182"/>
      <c r="CK202" s="181"/>
      <c r="CL202" s="183"/>
      <c r="CM202" s="181"/>
      <c r="CN202" s="184"/>
      <c r="CO202" s="180"/>
      <c r="CP202" s="181"/>
      <c r="CQ202" s="182"/>
      <c r="CR202" s="181"/>
      <c r="CS202" s="183"/>
      <c r="CT202" s="181"/>
      <c r="CU202" s="184"/>
      <c r="CV202" s="180"/>
      <c r="CW202" s="181"/>
      <c r="CX202" s="182"/>
      <c r="CY202" s="181"/>
      <c r="CZ202" s="183"/>
      <c r="DA202" s="181"/>
      <c r="DB202" s="184"/>
      <c r="DC202" s="180"/>
      <c r="DD202" s="181"/>
      <c r="DE202" s="182"/>
      <c r="DF202" s="181"/>
      <c r="DG202" s="183"/>
      <c r="DH202" s="181"/>
      <c r="DI202" s="184"/>
      <c r="DJ202" s="180"/>
      <c r="DK202" s="181"/>
      <c r="DL202" s="182"/>
      <c r="DM202" s="181"/>
      <c r="DN202" s="183"/>
      <c r="DO202" s="181"/>
      <c r="DP202" s="184"/>
      <c r="DQ202" s="180"/>
      <c r="DR202" s="181"/>
      <c r="DS202" s="182"/>
      <c r="DT202" s="181"/>
      <c r="DU202" s="183"/>
      <c r="DV202" s="181"/>
      <c r="DW202" s="184"/>
      <c r="DX202" s="180"/>
      <c r="DY202" s="181"/>
      <c r="DZ202" s="182"/>
      <c r="EA202" s="181"/>
      <c r="EB202" s="183"/>
      <c r="EC202" s="181"/>
      <c r="ED202" s="184"/>
      <c r="EE202" s="180"/>
      <c r="EF202" s="181"/>
      <c r="EG202" s="182"/>
      <c r="EH202" s="181"/>
      <c r="EI202" s="183"/>
      <c r="EJ202" s="181"/>
      <c r="EK202" s="184"/>
      <c r="EL202" s="180"/>
      <c r="EM202" s="181"/>
      <c r="EN202" s="182"/>
      <c r="EO202" s="181"/>
      <c r="EP202" s="183"/>
      <c r="EQ202" s="181"/>
      <c r="ER202" s="184"/>
      <c r="ES202" s="180"/>
      <c r="ET202" s="181"/>
      <c r="EU202" s="182"/>
      <c r="EV202" s="181"/>
      <c r="EW202" s="183"/>
      <c r="EX202" s="181"/>
      <c r="EY202" s="184"/>
      <c r="EZ202" s="180"/>
      <c r="FA202" s="181"/>
      <c r="FB202" s="182"/>
      <c r="FC202" s="181"/>
      <c r="FD202" s="183"/>
      <c r="FE202" s="181"/>
      <c r="FF202" s="184"/>
      <c r="FG202" s="180"/>
      <c r="FH202" s="181"/>
      <c r="FI202" s="182"/>
      <c r="FJ202" s="181"/>
      <c r="FK202" s="183"/>
      <c r="FL202" s="181"/>
      <c r="FM202" s="184"/>
      <c r="FN202" s="180"/>
      <c r="FO202" s="181"/>
      <c r="FP202" s="182"/>
      <c r="FQ202" s="181"/>
      <c r="FR202" s="183"/>
      <c r="FS202" s="181"/>
      <c r="FT202" s="184"/>
      <c r="FU202" s="180"/>
      <c r="FV202" s="181"/>
      <c r="FW202" s="182"/>
      <c r="FX202" s="181"/>
      <c r="FY202" s="183"/>
      <c r="FZ202" s="181"/>
      <c r="GA202" s="184"/>
      <c r="GB202" s="180"/>
      <c r="GC202" s="181"/>
      <c r="GD202" s="182"/>
      <c r="GE202" s="181"/>
      <c r="GF202" s="183"/>
      <c r="GG202" s="181"/>
      <c r="GH202" s="184"/>
      <c r="GI202" s="180"/>
      <c r="GJ202" s="181"/>
      <c r="GK202" s="182"/>
      <c r="GL202" s="181"/>
      <c r="GM202" s="183"/>
      <c r="GN202" s="181"/>
      <c r="GO202" s="184"/>
      <c r="GP202" s="180"/>
      <c r="GQ202" s="181"/>
      <c r="GR202" s="182"/>
      <c r="GS202" s="181"/>
      <c r="GT202" s="183"/>
      <c r="GU202" s="181"/>
      <c r="GV202" s="184"/>
      <c r="GW202" s="180"/>
      <c r="GX202" s="181"/>
      <c r="GY202" s="182"/>
      <c r="GZ202" s="181"/>
      <c r="HA202" s="183"/>
      <c r="HB202" s="181"/>
      <c r="HC202" s="184"/>
      <c r="HD202" s="180"/>
      <c r="HE202" s="181"/>
      <c r="HF202" s="182"/>
      <c r="HG202" s="181"/>
      <c r="HH202" s="183"/>
      <c r="HI202" s="181"/>
      <c r="HJ202" s="184"/>
      <c r="HK202" s="180"/>
      <c r="HL202" s="181"/>
      <c r="HM202" s="182"/>
      <c r="HN202" s="181"/>
      <c r="HO202" s="183"/>
      <c r="HP202" s="181"/>
      <c r="HQ202" s="184"/>
      <c r="HR202" s="344" t="s">
        <v>533</v>
      </c>
      <c r="HS202" s="345"/>
      <c r="HT202" s="345"/>
      <c r="HU202" s="181" t="s">
        <v>75</v>
      </c>
      <c r="HV202" s="376" t="s">
        <v>310</v>
      </c>
      <c r="HW202" s="376"/>
      <c r="HX202" s="377"/>
    </row>
    <row r="203" spans="2:232" outlineLevel="1" x14ac:dyDescent="0.25">
      <c r="B203" s="147"/>
      <c r="C203" s="147"/>
      <c r="D203" s="147"/>
      <c r="E203" s="147"/>
      <c r="F203" s="157"/>
      <c r="G203" s="147"/>
      <c r="H203" s="157"/>
      <c r="I203" s="175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V203" s="161" t="s">
        <v>199</v>
      </c>
      <c r="W203" s="12"/>
      <c r="X203" s="12"/>
      <c r="Y203" s="12"/>
      <c r="Z203" s="12"/>
      <c r="AA203" s="12"/>
      <c r="AB203" s="12"/>
      <c r="AC203" s="14"/>
      <c r="AD203" s="350" t="s">
        <v>22</v>
      </c>
      <c r="AE203" s="337"/>
      <c r="AF203" s="337"/>
      <c r="AG203" s="1" t="s">
        <v>57</v>
      </c>
      <c r="AH203" s="337" t="s">
        <v>218</v>
      </c>
      <c r="AI203" s="337"/>
      <c r="AJ203" s="338"/>
      <c r="AK203" s="350"/>
      <c r="AL203" s="337"/>
      <c r="AM203" s="337"/>
      <c r="AO203" s="337"/>
      <c r="AP203" s="337"/>
      <c r="AQ203" s="338"/>
      <c r="AR203" s="350"/>
      <c r="AS203" s="337"/>
      <c r="AT203" s="337"/>
      <c r="AV203" s="337"/>
      <c r="AW203" s="337"/>
      <c r="AX203" s="338"/>
      <c r="AY203" s="350"/>
      <c r="AZ203" s="337"/>
      <c r="BA203" s="337"/>
      <c r="BC203" s="337"/>
      <c r="BD203" s="337"/>
      <c r="BE203" s="338"/>
      <c r="BF203" s="350"/>
      <c r="BG203" s="337"/>
      <c r="BH203" s="337"/>
      <c r="BJ203" s="337"/>
      <c r="BK203" s="337"/>
      <c r="BL203" s="338"/>
      <c r="BM203" s="350"/>
      <c r="BN203" s="337"/>
      <c r="BO203" s="337"/>
      <c r="BQ203" s="337"/>
      <c r="BR203" s="337"/>
      <c r="BS203" s="338"/>
      <c r="BT203" s="350"/>
      <c r="BU203" s="337"/>
      <c r="BV203" s="337"/>
      <c r="BX203" s="337"/>
      <c r="BY203" s="337"/>
      <c r="BZ203" s="338"/>
      <c r="CA203" s="350"/>
      <c r="CB203" s="337"/>
      <c r="CC203" s="337"/>
      <c r="CE203" s="337"/>
      <c r="CF203" s="337"/>
      <c r="CG203" s="338"/>
      <c r="CH203" s="350"/>
      <c r="CI203" s="337"/>
      <c r="CJ203" s="337"/>
      <c r="CL203" s="337"/>
      <c r="CM203" s="337"/>
      <c r="CN203" s="338"/>
      <c r="CO203" s="350"/>
      <c r="CP203" s="337"/>
      <c r="CQ203" s="337"/>
      <c r="CS203" s="337"/>
      <c r="CT203" s="337"/>
      <c r="CU203" s="338"/>
      <c r="CV203" s="350"/>
      <c r="CW203" s="337"/>
      <c r="CX203" s="337"/>
      <c r="CZ203" s="337"/>
      <c r="DA203" s="337"/>
      <c r="DB203" s="338"/>
      <c r="DC203" s="350"/>
      <c r="DD203" s="337"/>
      <c r="DE203" s="337"/>
      <c r="DG203" s="337"/>
      <c r="DH203" s="337"/>
      <c r="DI203" s="338"/>
      <c r="DJ203" s="350"/>
      <c r="DK203" s="337"/>
      <c r="DL203" s="337"/>
      <c r="DN203" s="337"/>
      <c r="DO203" s="337"/>
      <c r="DP203" s="338"/>
      <c r="DQ203" s="350"/>
      <c r="DR203" s="337"/>
      <c r="DS203" s="337"/>
      <c r="DU203" s="337"/>
      <c r="DV203" s="337"/>
      <c r="DW203" s="338"/>
      <c r="DX203" s="350"/>
      <c r="DY203" s="337"/>
      <c r="DZ203" s="337"/>
      <c r="EB203" s="337"/>
      <c r="EC203" s="337"/>
      <c r="ED203" s="338"/>
      <c r="EE203" s="350"/>
      <c r="EF203" s="337"/>
      <c r="EG203" s="337"/>
      <c r="EI203" s="337"/>
      <c r="EJ203" s="337"/>
      <c r="EK203" s="338"/>
      <c r="EL203" s="350"/>
      <c r="EM203" s="337"/>
      <c r="EN203" s="337"/>
      <c r="EP203" s="337"/>
      <c r="EQ203" s="337"/>
      <c r="ER203" s="338"/>
      <c r="ES203" s="350"/>
      <c r="ET203" s="337"/>
      <c r="EU203" s="337"/>
      <c r="EW203" s="337"/>
      <c r="EX203" s="337"/>
      <c r="EY203" s="338"/>
      <c r="EZ203" s="350"/>
      <c r="FA203" s="337"/>
      <c r="FB203" s="337"/>
      <c r="FD203" s="337"/>
      <c r="FE203" s="337"/>
      <c r="FF203" s="338"/>
      <c r="FG203" s="350"/>
      <c r="FH203" s="337"/>
      <c r="FI203" s="337"/>
      <c r="FK203" s="337"/>
      <c r="FL203" s="337"/>
      <c r="FM203" s="338"/>
      <c r="FN203" s="350"/>
      <c r="FO203" s="337"/>
      <c r="FP203" s="337"/>
      <c r="FR203" s="337"/>
      <c r="FS203" s="337"/>
      <c r="FT203" s="338"/>
      <c r="FU203" s="350"/>
      <c r="FV203" s="337"/>
      <c r="FW203" s="337"/>
      <c r="FY203" s="337"/>
      <c r="FZ203" s="337"/>
      <c r="GA203" s="338"/>
      <c r="GB203" s="350"/>
      <c r="GC203" s="337"/>
      <c r="GD203" s="337"/>
      <c r="GF203" s="337"/>
      <c r="GG203" s="337"/>
      <c r="GH203" s="338"/>
      <c r="GI203" s="350"/>
      <c r="GJ203" s="337"/>
      <c r="GK203" s="337"/>
      <c r="GM203" s="337"/>
      <c r="GN203" s="337"/>
      <c r="GO203" s="338"/>
      <c r="GP203" s="350"/>
      <c r="GQ203" s="337"/>
      <c r="GR203" s="337"/>
      <c r="GT203" s="337"/>
      <c r="GU203" s="337"/>
      <c r="GV203" s="338"/>
      <c r="GW203" s="350"/>
      <c r="GX203" s="337"/>
      <c r="GY203" s="337"/>
      <c r="HA203" s="337"/>
      <c r="HB203" s="337"/>
      <c r="HC203" s="338"/>
      <c r="HD203" s="350"/>
      <c r="HE203" s="337"/>
      <c r="HF203" s="337"/>
      <c r="HH203" s="337"/>
      <c r="HI203" s="337"/>
      <c r="HJ203" s="338"/>
      <c r="HK203" s="350"/>
      <c r="HL203" s="337"/>
      <c r="HM203" s="337"/>
      <c r="HO203" s="337"/>
      <c r="HP203" s="337"/>
      <c r="HQ203" s="338"/>
      <c r="HR203" s="350" t="s">
        <v>218</v>
      </c>
      <c r="HS203" s="337"/>
      <c r="HT203" s="337"/>
      <c r="HU203" s="191"/>
      <c r="HV203" s="337"/>
      <c r="HW203" s="337"/>
      <c r="HX203" s="338"/>
    </row>
    <row r="204" spans="2:232" outlineLevel="1" x14ac:dyDescent="0.25">
      <c r="B204" s="147"/>
      <c r="C204" s="147"/>
      <c r="D204" s="147"/>
      <c r="E204" s="147"/>
      <c r="F204" s="157"/>
      <c r="G204" s="147"/>
      <c r="H204" s="157"/>
      <c r="I204" s="175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V204" s="161" t="s">
        <v>200</v>
      </c>
      <c r="W204" s="12"/>
      <c r="X204" s="12"/>
      <c r="Y204" s="12"/>
      <c r="Z204" s="12"/>
      <c r="AA204" s="12"/>
      <c r="AB204" s="12"/>
      <c r="AC204" s="14"/>
      <c r="AD204" s="352" t="s">
        <v>22</v>
      </c>
      <c r="AE204" s="353"/>
      <c r="AF204" s="353"/>
      <c r="AG204" s="1" t="s">
        <v>57</v>
      </c>
      <c r="AH204" s="353" t="s">
        <v>219</v>
      </c>
      <c r="AI204" s="353"/>
      <c r="AJ204" s="355"/>
      <c r="AK204" s="352"/>
      <c r="AL204" s="353"/>
      <c r="AM204" s="353"/>
      <c r="AO204" s="353"/>
      <c r="AP204" s="353"/>
      <c r="AQ204" s="355"/>
      <c r="AR204" s="352"/>
      <c r="AS204" s="353"/>
      <c r="AT204" s="353"/>
      <c r="AV204" s="353"/>
      <c r="AW204" s="353"/>
      <c r="AX204" s="355"/>
      <c r="AY204" s="352"/>
      <c r="AZ204" s="353"/>
      <c r="BA204" s="353"/>
      <c r="BC204" s="353"/>
      <c r="BD204" s="353"/>
      <c r="BE204" s="355"/>
      <c r="BF204" s="352"/>
      <c r="BG204" s="353"/>
      <c r="BH204" s="353"/>
      <c r="BJ204" s="353"/>
      <c r="BK204" s="353"/>
      <c r="BL204" s="355"/>
      <c r="BM204" s="352"/>
      <c r="BN204" s="353"/>
      <c r="BO204" s="353"/>
      <c r="BQ204" s="353"/>
      <c r="BR204" s="353"/>
      <c r="BS204" s="355"/>
      <c r="BT204" s="352"/>
      <c r="BU204" s="353"/>
      <c r="BV204" s="353"/>
      <c r="BX204" s="353"/>
      <c r="BY204" s="353"/>
      <c r="BZ204" s="355"/>
      <c r="CA204" s="352"/>
      <c r="CB204" s="353"/>
      <c r="CC204" s="353"/>
      <c r="CE204" s="353"/>
      <c r="CF204" s="353"/>
      <c r="CG204" s="355"/>
      <c r="CH204" s="352"/>
      <c r="CI204" s="353"/>
      <c r="CJ204" s="353"/>
      <c r="CL204" s="353"/>
      <c r="CM204" s="353"/>
      <c r="CN204" s="355"/>
      <c r="CO204" s="352"/>
      <c r="CP204" s="353"/>
      <c r="CQ204" s="353"/>
      <c r="CS204" s="353"/>
      <c r="CT204" s="353"/>
      <c r="CU204" s="355"/>
      <c r="CV204" s="352"/>
      <c r="CW204" s="353"/>
      <c r="CX204" s="353"/>
      <c r="CZ204" s="353"/>
      <c r="DA204" s="353"/>
      <c r="DB204" s="355"/>
      <c r="DC204" s="352"/>
      <c r="DD204" s="353"/>
      <c r="DE204" s="353"/>
      <c r="DG204" s="353"/>
      <c r="DH204" s="353"/>
      <c r="DI204" s="355"/>
      <c r="DJ204" s="352"/>
      <c r="DK204" s="353"/>
      <c r="DL204" s="353"/>
      <c r="DN204" s="353"/>
      <c r="DO204" s="353"/>
      <c r="DP204" s="355"/>
      <c r="DQ204" s="352"/>
      <c r="DR204" s="353"/>
      <c r="DS204" s="353"/>
      <c r="DU204" s="353"/>
      <c r="DV204" s="353"/>
      <c r="DW204" s="355"/>
      <c r="DX204" s="352"/>
      <c r="DY204" s="353"/>
      <c r="DZ204" s="353"/>
      <c r="EB204" s="353"/>
      <c r="EC204" s="353"/>
      <c r="ED204" s="355"/>
      <c r="EE204" s="352"/>
      <c r="EF204" s="353"/>
      <c r="EG204" s="353"/>
      <c r="EI204" s="353"/>
      <c r="EJ204" s="353"/>
      <c r="EK204" s="355"/>
      <c r="EL204" s="352"/>
      <c r="EM204" s="353"/>
      <c r="EN204" s="353"/>
      <c r="EP204" s="353"/>
      <c r="EQ204" s="353"/>
      <c r="ER204" s="355"/>
      <c r="ES204" s="352"/>
      <c r="ET204" s="353"/>
      <c r="EU204" s="353"/>
      <c r="EW204" s="353"/>
      <c r="EX204" s="353"/>
      <c r="EY204" s="355"/>
      <c r="EZ204" s="352"/>
      <c r="FA204" s="353"/>
      <c r="FB204" s="353"/>
      <c r="FD204" s="353"/>
      <c r="FE204" s="353"/>
      <c r="FF204" s="355"/>
      <c r="FG204" s="352"/>
      <c r="FH204" s="353"/>
      <c r="FI204" s="353"/>
      <c r="FK204" s="353"/>
      <c r="FL204" s="353"/>
      <c r="FM204" s="355"/>
      <c r="FN204" s="352"/>
      <c r="FO204" s="353"/>
      <c r="FP204" s="353"/>
      <c r="FR204" s="353"/>
      <c r="FS204" s="353"/>
      <c r="FT204" s="355"/>
      <c r="FU204" s="352"/>
      <c r="FV204" s="353"/>
      <c r="FW204" s="353"/>
      <c r="FY204" s="353"/>
      <c r="FZ204" s="353"/>
      <c r="GA204" s="355"/>
      <c r="GB204" s="352"/>
      <c r="GC204" s="353"/>
      <c r="GD204" s="353"/>
      <c r="GF204" s="353"/>
      <c r="GG204" s="353"/>
      <c r="GH204" s="355"/>
      <c r="GI204" s="352"/>
      <c r="GJ204" s="353"/>
      <c r="GK204" s="353"/>
      <c r="GM204" s="353"/>
      <c r="GN204" s="353"/>
      <c r="GO204" s="355"/>
      <c r="GP204" s="352"/>
      <c r="GQ204" s="353"/>
      <c r="GR204" s="353"/>
      <c r="GT204" s="353"/>
      <c r="GU204" s="353"/>
      <c r="GV204" s="355"/>
      <c r="GW204" s="352"/>
      <c r="GX204" s="353"/>
      <c r="GY204" s="353"/>
      <c r="HA204" s="353"/>
      <c r="HB204" s="353"/>
      <c r="HC204" s="355"/>
      <c r="HD204" s="352"/>
      <c r="HE204" s="353"/>
      <c r="HF204" s="353"/>
      <c r="HH204" s="353"/>
      <c r="HI204" s="353"/>
      <c r="HJ204" s="355"/>
      <c r="HK204" s="352"/>
      <c r="HL204" s="353"/>
      <c r="HM204" s="353"/>
      <c r="HO204" s="353"/>
      <c r="HP204" s="353"/>
      <c r="HQ204" s="355"/>
      <c r="HR204" s="352" t="s">
        <v>219</v>
      </c>
      <c r="HS204" s="353"/>
      <c r="HT204" s="353"/>
      <c r="HV204" s="353"/>
      <c r="HW204" s="353"/>
      <c r="HX204" s="355"/>
    </row>
    <row r="205" spans="2:232" outlineLevel="1" x14ac:dyDescent="0.25">
      <c r="B205" s="147"/>
      <c r="C205" s="147"/>
      <c r="D205" s="147"/>
      <c r="E205" s="147"/>
      <c r="F205" s="157"/>
      <c r="G205" s="147"/>
      <c r="H205" s="157"/>
      <c r="I205" s="175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V205" s="162"/>
      <c r="W205" s="159"/>
      <c r="X205" s="159"/>
      <c r="Y205" s="159"/>
      <c r="Z205" s="159"/>
      <c r="AA205" s="159"/>
      <c r="AB205" s="159"/>
      <c r="AC205" s="160"/>
      <c r="AD205" s="361"/>
      <c r="AE205" s="356"/>
      <c r="AF205" s="356"/>
      <c r="AG205" s="163"/>
      <c r="AH205" s="356"/>
      <c r="AI205" s="356"/>
      <c r="AJ205" s="357"/>
      <c r="AK205" s="361"/>
      <c r="AL205" s="356"/>
      <c r="AM205" s="356"/>
      <c r="AN205" s="163"/>
      <c r="AO205" s="356"/>
      <c r="AP205" s="356"/>
      <c r="AQ205" s="357"/>
      <c r="AR205" s="361"/>
      <c r="AS205" s="356"/>
      <c r="AT205" s="356"/>
      <c r="AU205" s="163"/>
      <c r="AV205" s="356"/>
      <c r="AW205" s="356"/>
      <c r="AX205" s="357"/>
      <c r="AY205" s="361"/>
      <c r="AZ205" s="356"/>
      <c r="BA205" s="356"/>
      <c r="BB205" s="163"/>
      <c r="BC205" s="356"/>
      <c r="BD205" s="356"/>
      <c r="BE205" s="357"/>
      <c r="BF205" s="361"/>
      <c r="BG205" s="356"/>
      <c r="BH205" s="356"/>
      <c r="BI205" s="163"/>
      <c r="BJ205" s="356"/>
      <c r="BK205" s="356"/>
      <c r="BL205" s="357"/>
      <c r="BM205" s="361"/>
      <c r="BN205" s="356"/>
      <c r="BO205" s="356"/>
      <c r="BP205" s="163"/>
      <c r="BQ205" s="356"/>
      <c r="BR205" s="356"/>
      <c r="BS205" s="357"/>
      <c r="BT205" s="361"/>
      <c r="BU205" s="356"/>
      <c r="BV205" s="356"/>
      <c r="BW205" s="163"/>
      <c r="BX205" s="356"/>
      <c r="BY205" s="356"/>
      <c r="BZ205" s="357"/>
      <c r="CA205" s="361"/>
      <c r="CB205" s="356"/>
      <c r="CC205" s="356"/>
      <c r="CD205" s="163"/>
      <c r="CE205" s="356"/>
      <c r="CF205" s="356"/>
      <c r="CG205" s="357"/>
      <c r="CH205" s="361"/>
      <c r="CI205" s="356"/>
      <c r="CJ205" s="356"/>
      <c r="CK205" s="163"/>
      <c r="CL205" s="356"/>
      <c r="CM205" s="356"/>
      <c r="CN205" s="357"/>
      <c r="CO205" s="361"/>
      <c r="CP205" s="356"/>
      <c r="CQ205" s="356"/>
      <c r="CR205" s="163"/>
      <c r="CS205" s="356"/>
      <c r="CT205" s="356"/>
      <c r="CU205" s="357"/>
      <c r="CV205" s="361"/>
      <c r="CW205" s="356"/>
      <c r="CX205" s="356"/>
      <c r="CY205" s="163"/>
      <c r="CZ205" s="356"/>
      <c r="DA205" s="356"/>
      <c r="DB205" s="357"/>
      <c r="DC205" s="361"/>
      <c r="DD205" s="356"/>
      <c r="DE205" s="356"/>
      <c r="DF205" s="163"/>
      <c r="DG205" s="356"/>
      <c r="DH205" s="356"/>
      <c r="DI205" s="357"/>
      <c r="DJ205" s="361"/>
      <c r="DK205" s="356"/>
      <c r="DL205" s="356"/>
      <c r="DM205" s="163"/>
      <c r="DN205" s="356"/>
      <c r="DO205" s="356"/>
      <c r="DP205" s="357"/>
      <c r="DQ205" s="361"/>
      <c r="DR205" s="356"/>
      <c r="DS205" s="356"/>
      <c r="DT205" s="163"/>
      <c r="DU205" s="356"/>
      <c r="DV205" s="356"/>
      <c r="DW205" s="357"/>
      <c r="DX205" s="361"/>
      <c r="DY205" s="356"/>
      <c r="DZ205" s="356"/>
      <c r="EA205" s="163"/>
      <c r="EB205" s="356"/>
      <c r="EC205" s="356"/>
      <c r="ED205" s="357"/>
      <c r="EE205" s="361"/>
      <c r="EF205" s="356"/>
      <c r="EG205" s="356"/>
      <c r="EH205" s="163"/>
      <c r="EI205" s="356"/>
      <c r="EJ205" s="356"/>
      <c r="EK205" s="357"/>
      <c r="EL205" s="361"/>
      <c r="EM205" s="356"/>
      <c r="EN205" s="356"/>
      <c r="EO205" s="163"/>
      <c r="EP205" s="356"/>
      <c r="EQ205" s="356"/>
      <c r="ER205" s="357"/>
      <c r="ES205" s="361"/>
      <c r="ET205" s="356"/>
      <c r="EU205" s="356"/>
      <c r="EV205" s="163"/>
      <c r="EW205" s="356"/>
      <c r="EX205" s="356"/>
      <c r="EY205" s="357"/>
      <c r="EZ205" s="361"/>
      <c r="FA205" s="356"/>
      <c r="FB205" s="356"/>
      <c r="FC205" s="163"/>
      <c r="FD205" s="356"/>
      <c r="FE205" s="356"/>
      <c r="FF205" s="357"/>
      <c r="FG205" s="361"/>
      <c r="FH205" s="356"/>
      <c r="FI205" s="356"/>
      <c r="FJ205" s="163"/>
      <c r="FK205" s="356"/>
      <c r="FL205" s="356"/>
      <c r="FM205" s="357"/>
      <c r="FN205" s="361"/>
      <c r="FO205" s="356"/>
      <c r="FP205" s="356"/>
      <c r="FQ205" s="163"/>
      <c r="FR205" s="356"/>
      <c r="FS205" s="356"/>
      <c r="FT205" s="357"/>
      <c r="FU205" s="361"/>
      <c r="FV205" s="356"/>
      <c r="FW205" s="356"/>
      <c r="FX205" s="163"/>
      <c r="FY205" s="356"/>
      <c r="FZ205" s="356"/>
      <c r="GA205" s="357"/>
      <c r="GB205" s="361"/>
      <c r="GC205" s="356"/>
      <c r="GD205" s="356"/>
      <c r="GE205" s="163"/>
      <c r="GF205" s="356"/>
      <c r="GG205" s="356"/>
      <c r="GH205" s="357"/>
      <c r="GI205" s="361"/>
      <c r="GJ205" s="356"/>
      <c r="GK205" s="356"/>
      <c r="GL205" s="163"/>
      <c r="GM205" s="356"/>
      <c r="GN205" s="356"/>
      <c r="GO205" s="357"/>
      <c r="GP205" s="361"/>
      <c r="GQ205" s="356"/>
      <c r="GR205" s="356"/>
      <c r="GS205" s="163"/>
      <c r="GT205" s="356"/>
      <c r="GU205" s="356"/>
      <c r="GV205" s="357"/>
      <c r="GW205" s="361"/>
      <c r="GX205" s="356"/>
      <c r="GY205" s="356"/>
      <c r="GZ205" s="163"/>
      <c r="HA205" s="356"/>
      <c r="HB205" s="356"/>
      <c r="HC205" s="357"/>
      <c r="HD205" s="361"/>
      <c r="HE205" s="356"/>
      <c r="HF205" s="356"/>
      <c r="HG205" s="163"/>
      <c r="HH205" s="356"/>
      <c r="HI205" s="356"/>
      <c r="HJ205" s="357"/>
      <c r="HK205" s="361"/>
      <c r="HL205" s="356"/>
      <c r="HM205" s="356"/>
      <c r="HN205" s="163"/>
      <c r="HO205" s="356"/>
      <c r="HP205" s="356"/>
      <c r="HQ205" s="357"/>
      <c r="HR205" s="361"/>
      <c r="HS205" s="356"/>
      <c r="HT205" s="356"/>
      <c r="HU205" s="163"/>
      <c r="HV205" s="356"/>
      <c r="HW205" s="356"/>
      <c r="HX205" s="357"/>
    </row>
    <row r="206" spans="2:232" outlineLevel="1" x14ac:dyDescent="0.25">
      <c r="B206" s="32"/>
      <c r="C206" s="333">
        <f>MAX(C199:C200)+1</f>
        <v>27</v>
      </c>
      <c r="D206" s="164" t="s">
        <v>21</v>
      </c>
      <c r="E206" s="34"/>
      <c r="F206" s="165" t="s">
        <v>529</v>
      </c>
      <c r="G206" s="165" t="s">
        <v>529</v>
      </c>
      <c r="H206" s="259" t="s">
        <v>213</v>
      </c>
      <c r="I206" s="176" t="s">
        <v>214</v>
      </c>
      <c r="J206" s="165" t="s">
        <v>171</v>
      </c>
      <c r="K206" s="165">
        <v>2031</v>
      </c>
      <c r="L206" s="165">
        <v>6</v>
      </c>
      <c r="M206" s="165"/>
      <c r="N206" s="165"/>
      <c r="O206" s="165"/>
      <c r="P206" s="165"/>
      <c r="Q206" s="165"/>
      <c r="R206" s="165"/>
      <c r="S206" s="165"/>
      <c r="T206" s="165"/>
      <c r="V206" s="11" t="s">
        <v>283</v>
      </c>
      <c r="W206" s="12"/>
      <c r="X206" s="12"/>
      <c r="Y206" s="12"/>
      <c r="Z206" s="12"/>
      <c r="AA206" s="12"/>
      <c r="AB206" s="12"/>
      <c r="AC206" s="14"/>
      <c r="AD206" s="166">
        <f>$C206</f>
        <v>27</v>
      </c>
      <c r="AE206" s="358" t="s">
        <v>175</v>
      </c>
      <c r="AF206" s="358"/>
      <c r="AG206" s="358"/>
      <c r="AH206" s="158"/>
      <c r="AI206" s="337"/>
      <c r="AJ206" s="338"/>
      <c r="AK206" s="166"/>
      <c r="AL206" s="358"/>
      <c r="AM206" s="358"/>
      <c r="AN206" s="358"/>
      <c r="AO206" s="32"/>
      <c r="AP206" s="337"/>
      <c r="AQ206" s="338"/>
      <c r="AR206" s="166"/>
      <c r="AS206" s="358"/>
      <c r="AT206" s="358"/>
      <c r="AU206" s="358"/>
      <c r="AV206" s="32"/>
      <c r="AW206" s="337"/>
      <c r="AX206" s="338"/>
      <c r="AY206" s="166"/>
      <c r="AZ206" s="362"/>
      <c r="BA206" s="362"/>
      <c r="BB206" s="362"/>
      <c r="BC206" s="158"/>
      <c r="BD206" s="337"/>
      <c r="BE206" s="338"/>
      <c r="BF206" s="166"/>
      <c r="BG206" s="362"/>
      <c r="BH206" s="362"/>
      <c r="BI206" s="362"/>
      <c r="BJ206" s="158"/>
      <c r="BK206" s="337"/>
      <c r="BL206" s="338"/>
      <c r="BM206" s="166"/>
      <c r="BN206" s="362"/>
      <c r="BO206" s="362"/>
      <c r="BP206" s="362"/>
      <c r="BQ206" s="158"/>
      <c r="BR206" s="337"/>
      <c r="BS206" s="338"/>
      <c r="BT206" s="166"/>
      <c r="BU206" s="362"/>
      <c r="BV206" s="362"/>
      <c r="BW206" s="362"/>
      <c r="BX206" s="158"/>
      <c r="BY206" s="337"/>
      <c r="BZ206" s="338"/>
      <c r="CA206" s="166"/>
      <c r="CB206" s="362"/>
      <c r="CC206" s="362"/>
      <c r="CD206" s="362"/>
      <c r="CE206" s="158"/>
      <c r="CF206" s="337"/>
      <c r="CG206" s="338"/>
      <c r="CH206" s="166"/>
      <c r="CI206" s="362"/>
      <c r="CJ206" s="362"/>
      <c r="CK206" s="362"/>
      <c r="CL206" s="158"/>
      <c r="CM206" s="337"/>
      <c r="CN206" s="338"/>
      <c r="CO206" s="166"/>
      <c r="CP206" s="362"/>
      <c r="CQ206" s="362"/>
      <c r="CR206" s="362"/>
      <c r="CS206" s="158"/>
      <c r="CT206" s="337"/>
      <c r="CU206" s="338"/>
      <c r="CV206" s="166"/>
      <c r="CW206" s="362"/>
      <c r="CX206" s="362"/>
      <c r="CY206" s="362"/>
      <c r="CZ206" s="158"/>
      <c r="DA206" s="337"/>
      <c r="DB206" s="338"/>
      <c r="DC206" s="166"/>
      <c r="DD206" s="362"/>
      <c r="DE206" s="362"/>
      <c r="DF206" s="362"/>
      <c r="DG206" s="158"/>
      <c r="DH206" s="337"/>
      <c r="DI206" s="338"/>
      <c r="DJ206" s="166"/>
      <c r="DK206" s="362"/>
      <c r="DL206" s="362"/>
      <c r="DM206" s="362"/>
      <c r="DN206" s="158"/>
      <c r="DO206" s="337"/>
      <c r="DP206" s="338"/>
      <c r="DQ206" s="166"/>
      <c r="DR206" s="362"/>
      <c r="DS206" s="362"/>
      <c r="DT206" s="362"/>
      <c r="DU206" s="158"/>
      <c r="DV206" s="337"/>
      <c r="DW206" s="338"/>
      <c r="DX206" s="166"/>
      <c r="DY206" s="362"/>
      <c r="DZ206" s="362"/>
      <c r="EA206" s="362"/>
      <c r="EB206" s="158"/>
      <c r="EC206" s="337"/>
      <c r="ED206" s="338"/>
      <c r="EE206" s="166"/>
      <c r="EF206" s="362"/>
      <c r="EG206" s="362"/>
      <c r="EH206" s="362"/>
      <c r="EI206" s="158"/>
      <c r="EJ206" s="337"/>
      <c r="EK206" s="338"/>
      <c r="EL206" s="166"/>
      <c r="EM206" s="362"/>
      <c r="EN206" s="362"/>
      <c r="EO206" s="362"/>
      <c r="EP206" s="158"/>
      <c r="EQ206" s="337"/>
      <c r="ER206" s="338"/>
      <c r="ES206" s="166"/>
      <c r="ET206" s="362"/>
      <c r="EU206" s="362"/>
      <c r="EV206" s="362"/>
      <c r="EW206" s="158"/>
      <c r="EX206" s="337"/>
      <c r="EY206" s="338"/>
      <c r="EZ206" s="166"/>
      <c r="FA206" s="362"/>
      <c r="FB206" s="362"/>
      <c r="FC206" s="362"/>
      <c r="FD206" s="158"/>
      <c r="FE206" s="337"/>
      <c r="FF206" s="338"/>
      <c r="FG206" s="166"/>
      <c r="FH206" s="362"/>
      <c r="FI206" s="362"/>
      <c r="FJ206" s="362"/>
      <c r="FK206" s="158"/>
      <c r="FL206" s="337"/>
      <c r="FM206" s="338"/>
      <c r="FN206" s="166"/>
      <c r="FO206" s="362"/>
      <c r="FP206" s="362"/>
      <c r="FQ206" s="362"/>
      <c r="FR206" s="158"/>
      <c r="FS206" s="337"/>
      <c r="FT206" s="338"/>
      <c r="FU206" s="166"/>
      <c r="FV206" s="362"/>
      <c r="FW206" s="362"/>
      <c r="FX206" s="362"/>
      <c r="FY206" s="158"/>
      <c r="FZ206" s="337"/>
      <c r="GA206" s="338"/>
      <c r="GB206" s="166"/>
      <c r="GC206" s="362"/>
      <c r="GD206" s="362"/>
      <c r="GE206" s="362"/>
      <c r="GF206" s="158"/>
      <c r="GG206" s="337"/>
      <c r="GH206" s="338"/>
      <c r="GI206" s="166"/>
      <c r="GJ206" s="362"/>
      <c r="GK206" s="362"/>
      <c r="GL206" s="362"/>
      <c r="GM206" s="158"/>
      <c r="GN206" s="337"/>
      <c r="GO206" s="338"/>
      <c r="GP206" s="166"/>
      <c r="GQ206" s="362"/>
      <c r="GR206" s="362"/>
      <c r="GS206" s="362"/>
      <c r="GT206" s="158"/>
      <c r="GU206" s="337"/>
      <c r="GV206" s="338"/>
      <c r="GW206" s="166"/>
      <c r="GX206" s="362"/>
      <c r="GY206" s="362"/>
      <c r="GZ206" s="362"/>
      <c r="HA206" s="158"/>
      <c r="HB206" s="337"/>
      <c r="HC206" s="338"/>
      <c r="HD206" s="166"/>
      <c r="HE206" s="362"/>
      <c r="HF206" s="362"/>
      <c r="HG206" s="362"/>
      <c r="HH206" s="158"/>
      <c r="HI206" s="337"/>
      <c r="HJ206" s="338"/>
      <c r="HK206" s="166"/>
      <c r="HL206" s="362"/>
      <c r="HM206" s="362"/>
      <c r="HN206" s="362"/>
      <c r="HO206" s="158"/>
      <c r="HP206" s="337"/>
      <c r="HQ206" s="338"/>
      <c r="HR206" s="166">
        <f>$AD206</f>
        <v>27</v>
      </c>
      <c r="HS206" s="358" t="s">
        <v>175</v>
      </c>
      <c r="HT206" s="358"/>
      <c r="HU206" s="358"/>
      <c r="HV206" s="257"/>
      <c r="HW206" s="337"/>
      <c r="HX206" s="338"/>
    </row>
    <row r="207" spans="2:232" outlineLevel="1" x14ac:dyDescent="0.25">
      <c r="B207" s="32"/>
      <c r="C207" s="167"/>
      <c r="D207" s="167"/>
      <c r="E207" s="34"/>
      <c r="F207" s="168"/>
      <c r="G207" s="167"/>
      <c r="H207" s="55"/>
      <c r="I207" s="177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V207" s="107"/>
      <c r="W207" s="108"/>
      <c r="X207" s="108"/>
      <c r="Y207" s="108"/>
      <c r="Z207" s="108"/>
      <c r="AA207" s="108"/>
      <c r="AB207" s="108"/>
      <c r="AC207" s="109"/>
      <c r="AD207" s="169"/>
      <c r="AE207" s="365"/>
      <c r="AF207" s="365"/>
      <c r="AG207" s="365"/>
      <c r="AH207" s="30"/>
      <c r="AI207" s="340"/>
      <c r="AJ207" s="341"/>
      <c r="AK207" s="169"/>
      <c r="AL207" s="339"/>
      <c r="AM207" s="339"/>
      <c r="AN207" s="339"/>
      <c r="AO207" s="30"/>
      <c r="AP207" s="340"/>
      <c r="AQ207" s="341"/>
      <c r="AR207" s="169"/>
      <c r="AS207" s="339"/>
      <c r="AT207" s="339"/>
      <c r="AU207" s="339"/>
      <c r="AV207" s="30"/>
      <c r="AW207" s="340"/>
      <c r="AX207" s="341"/>
      <c r="AY207" s="169"/>
      <c r="AZ207" s="339"/>
      <c r="BA207" s="339"/>
      <c r="BB207" s="339"/>
      <c r="BC207" s="30"/>
      <c r="BD207" s="340"/>
      <c r="BE207" s="341"/>
      <c r="BF207" s="169"/>
      <c r="BG207" s="339"/>
      <c r="BH207" s="339"/>
      <c r="BI207" s="339"/>
      <c r="BJ207" s="30"/>
      <c r="BK207" s="340"/>
      <c r="BL207" s="341"/>
      <c r="BM207" s="169"/>
      <c r="BN207" s="339"/>
      <c r="BO207" s="339"/>
      <c r="BP207" s="339"/>
      <c r="BQ207" s="30"/>
      <c r="BR207" s="340"/>
      <c r="BS207" s="341"/>
      <c r="BT207" s="169"/>
      <c r="BU207" s="339"/>
      <c r="BV207" s="339"/>
      <c r="BW207" s="339"/>
      <c r="BX207" s="30"/>
      <c r="BY207" s="340"/>
      <c r="BZ207" s="341"/>
      <c r="CA207" s="169"/>
      <c r="CB207" s="339"/>
      <c r="CC207" s="339"/>
      <c r="CD207" s="339"/>
      <c r="CE207" s="30"/>
      <c r="CF207" s="340"/>
      <c r="CG207" s="341"/>
      <c r="CH207" s="169"/>
      <c r="CI207" s="339"/>
      <c r="CJ207" s="339"/>
      <c r="CK207" s="339"/>
      <c r="CL207" s="30"/>
      <c r="CM207" s="340"/>
      <c r="CN207" s="341"/>
      <c r="CO207" s="169"/>
      <c r="CP207" s="339"/>
      <c r="CQ207" s="339"/>
      <c r="CR207" s="339"/>
      <c r="CS207" s="30"/>
      <c r="CT207" s="340"/>
      <c r="CU207" s="341"/>
      <c r="CV207" s="169"/>
      <c r="CW207" s="339"/>
      <c r="CX207" s="339"/>
      <c r="CY207" s="339"/>
      <c r="CZ207" s="30"/>
      <c r="DA207" s="340"/>
      <c r="DB207" s="341"/>
      <c r="DC207" s="169"/>
      <c r="DD207" s="339"/>
      <c r="DE207" s="339"/>
      <c r="DF207" s="339"/>
      <c r="DG207" s="30"/>
      <c r="DH207" s="340"/>
      <c r="DI207" s="341"/>
      <c r="DJ207" s="169"/>
      <c r="DK207" s="339"/>
      <c r="DL207" s="339"/>
      <c r="DM207" s="339"/>
      <c r="DN207" s="30"/>
      <c r="DO207" s="340"/>
      <c r="DP207" s="341"/>
      <c r="DQ207" s="169"/>
      <c r="DR207" s="339"/>
      <c r="DS207" s="339"/>
      <c r="DT207" s="339"/>
      <c r="DU207" s="30"/>
      <c r="DV207" s="340"/>
      <c r="DW207" s="341"/>
      <c r="DX207" s="169"/>
      <c r="DY207" s="339"/>
      <c r="DZ207" s="339"/>
      <c r="EA207" s="339"/>
      <c r="EB207" s="30"/>
      <c r="EC207" s="340"/>
      <c r="ED207" s="341"/>
      <c r="EE207" s="169"/>
      <c r="EF207" s="339"/>
      <c r="EG207" s="339"/>
      <c r="EH207" s="339"/>
      <c r="EI207" s="30"/>
      <c r="EJ207" s="340"/>
      <c r="EK207" s="341"/>
      <c r="EL207" s="169"/>
      <c r="EM207" s="339"/>
      <c r="EN207" s="339"/>
      <c r="EO207" s="339"/>
      <c r="EP207" s="30"/>
      <c r="EQ207" s="340"/>
      <c r="ER207" s="341"/>
      <c r="ES207" s="169"/>
      <c r="ET207" s="339"/>
      <c r="EU207" s="339"/>
      <c r="EV207" s="339"/>
      <c r="EW207" s="30"/>
      <c r="EX207" s="340"/>
      <c r="EY207" s="341"/>
      <c r="EZ207" s="169"/>
      <c r="FA207" s="339"/>
      <c r="FB207" s="339"/>
      <c r="FC207" s="339"/>
      <c r="FD207" s="30"/>
      <c r="FE207" s="340"/>
      <c r="FF207" s="341"/>
      <c r="FG207" s="169"/>
      <c r="FH207" s="339"/>
      <c r="FI207" s="339"/>
      <c r="FJ207" s="339"/>
      <c r="FK207" s="30"/>
      <c r="FL207" s="340"/>
      <c r="FM207" s="341"/>
      <c r="FN207" s="169"/>
      <c r="FO207" s="339"/>
      <c r="FP207" s="339"/>
      <c r="FQ207" s="339"/>
      <c r="FR207" s="30"/>
      <c r="FS207" s="340"/>
      <c r="FT207" s="341"/>
      <c r="FU207" s="169"/>
      <c r="FV207" s="339"/>
      <c r="FW207" s="339"/>
      <c r="FX207" s="339"/>
      <c r="FY207" s="30"/>
      <c r="FZ207" s="340"/>
      <c r="GA207" s="341"/>
      <c r="GB207" s="169"/>
      <c r="GC207" s="339"/>
      <c r="GD207" s="339"/>
      <c r="GE207" s="339"/>
      <c r="GF207" s="30"/>
      <c r="GG207" s="340"/>
      <c r="GH207" s="341"/>
      <c r="GI207" s="169"/>
      <c r="GJ207" s="339"/>
      <c r="GK207" s="339"/>
      <c r="GL207" s="339"/>
      <c r="GM207" s="30"/>
      <c r="GN207" s="340"/>
      <c r="GO207" s="341"/>
      <c r="GP207" s="169"/>
      <c r="GQ207" s="339"/>
      <c r="GR207" s="339"/>
      <c r="GS207" s="339"/>
      <c r="GT207" s="30"/>
      <c r="GU207" s="340"/>
      <c r="GV207" s="341"/>
      <c r="GW207" s="169"/>
      <c r="GX207" s="339"/>
      <c r="GY207" s="339"/>
      <c r="GZ207" s="339"/>
      <c r="HA207" s="30"/>
      <c r="HB207" s="340"/>
      <c r="HC207" s="341"/>
      <c r="HD207" s="169"/>
      <c r="HE207" s="339"/>
      <c r="HF207" s="339"/>
      <c r="HG207" s="339"/>
      <c r="HH207" s="30"/>
      <c r="HI207" s="340"/>
      <c r="HJ207" s="341"/>
      <c r="HK207" s="169"/>
      <c r="HL207" s="339"/>
      <c r="HM207" s="339"/>
      <c r="HN207" s="339"/>
      <c r="HO207" s="30"/>
      <c r="HP207" s="340"/>
      <c r="HQ207" s="341"/>
      <c r="HR207" s="169"/>
      <c r="HS207" s="365"/>
      <c r="HT207" s="365"/>
      <c r="HU207" s="365"/>
      <c r="HV207" s="258"/>
      <c r="HW207" s="340"/>
      <c r="HX207" s="341"/>
    </row>
    <row r="208" spans="2:232" outlineLevel="1" x14ac:dyDescent="0.25">
      <c r="B208" s="147"/>
      <c r="C208" s="147"/>
      <c r="D208" s="147"/>
      <c r="E208" s="147"/>
      <c r="F208" s="157"/>
      <c r="G208" s="147"/>
      <c r="H208" s="157"/>
      <c r="I208" s="175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V208" s="150" t="s">
        <v>170</v>
      </c>
      <c r="W208" s="151"/>
      <c r="X208" s="151"/>
      <c r="Y208" s="151"/>
      <c r="Z208" s="151"/>
      <c r="AA208" s="151"/>
      <c r="AB208" s="369"/>
      <c r="AC208" s="370"/>
      <c r="AD208" s="342" t="s">
        <v>217</v>
      </c>
      <c r="AE208" s="343"/>
      <c r="AF208" s="343"/>
      <c r="AG208" s="343"/>
      <c r="AH208" s="343"/>
      <c r="AI208" s="152"/>
      <c r="AJ208" s="155">
        <f>COUNTA(AD213:AD214)</f>
        <v>1</v>
      </c>
      <c r="AK208" s="156"/>
      <c r="AL208" s="152"/>
      <c r="AM208" s="153"/>
      <c r="AN208" s="152"/>
      <c r="AO208" s="154"/>
      <c r="AP208" s="152"/>
      <c r="AQ208" s="155">
        <f>COUNTA(AK213:AK214)</f>
        <v>0</v>
      </c>
      <c r="AR208" s="156"/>
      <c r="AS208" s="152"/>
      <c r="AT208" s="153"/>
      <c r="AU208" s="152"/>
      <c r="AV208" s="154"/>
      <c r="AW208" s="152"/>
      <c r="AX208" s="155">
        <f>COUNTA(AR213:AR214)</f>
        <v>0</v>
      </c>
      <c r="AY208" s="156"/>
      <c r="AZ208" s="152"/>
      <c r="BA208" s="153"/>
      <c r="BB208" s="152"/>
      <c r="BC208" s="154"/>
      <c r="BD208" s="152"/>
      <c r="BE208" s="155">
        <f>COUNTA(AY213:AY214)</f>
        <v>0</v>
      </c>
      <c r="BF208" s="156"/>
      <c r="BG208" s="152"/>
      <c r="BH208" s="153"/>
      <c r="BI208" s="152"/>
      <c r="BJ208" s="154"/>
      <c r="BK208" s="152"/>
      <c r="BL208" s="155">
        <f>COUNTA(BF213:BF214)</f>
        <v>0</v>
      </c>
      <c r="BM208" s="156"/>
      <c r="BN208" s="152"/>
      <c r="BO208" s="153"/>
      <c r="BP208" s="152"/>
      <c r="BQ208" s="154"/>
      <c r="BR208" s="152"/>
      <c r="BS208" s="155">
        <f>COUNTA(BM213:BM214)</f>
        <v>0</v>
      </c>
      <c r="BT208" s="156"/>
      <c r="BU208" s="152"/>
      <c r="BV208" s="153"/>
      <c r="BW208" s="152"/>
      <c r="BX208" s="154"/>
      <c r="BY208" s="152"/>
      <c r="BZ208" s="155">
        <f>COUNTA(BT213:BT214)</f>
        <v>0</v>
      </c>
      <c r="CA208" s="156"/>
      <c r="CB208" s="152"/>
      <c r="CC208" s="153"/>
      <c r="CD208" s="152"/>
      <c r="CE208" s="154"/>
      <c r="CF208" s="152"/>
      <c r="CG208" s="155">
        <f>COUNTA(CA213:CA214)</f>
        <v>0</v>
      </c>
      <c r="CH208" s="156"/>
      <c r="CI208" s="152"/>
      <c r="CJ208" s="153"/>
      <c r="CK208" s="152"/>
      <c r="CL208" s="154"/>
      <c r="CM208" s="152"/>
      <c r="CN208" s="155">
        <f>COUNTA(CH213:CH214)</f>
        <v>0</v>
      </c>
      <c r="CO208" s="156"/>
      <c r="CP208" s="152"/>
      <c r="CQ208" s="153"/>
      <c r="CR208" s="152"/>
      <c r="CS208" s="154"/>
      <c r="CT208" s="152"/>
      <c r="CU208" s="155">
        <f>COUNTA(CO213:CO214)</f>
        <v>0</v>
      </c>
      <c r="CV208" s="156"/>
      <c r="CW208" s="152"/>
      <c r="CX208" s="153"/>
      <c r="CY208" s="152"/>
      <c r="CZ208" s="154"/>
      <c r="DA208" s="152"/>
      <c r="DB208" s="155">
        <f>COUNTA(CV213:CV214)</f>
        <v>0</v>
      </c>
      <c r="DC208" s="156"/>
      <c r="DD208" s="152"/>
      <c r="DE208" s="153"/>
      <c r="DF208" s="152"/>
      <c r="DG208" s="154"/>
      <c r="DH208" s="152"/>
      <c r="DI208" s="155">
        <f>COUNTA(DC213:DC214)</f>
        <v>0</v>
      </c>
      <c r="DJ208" s="156"/>
      <c r="DK208" s="152"/>
      <c r="DL208" s="153"/>
      <c r="DM208" s="152"/>
      <c r="DN208" s="154"/>
      <c r="DO208" s="152"/>
      <c r="DP208" s="155">
        <f>COUNTA(DJ213:DJ214)</f>
        <v>0</v>
      </c>
      <c r="DQ208" s="156"/>
      <c r="DR208" s="152"/>
      <c r="DS208" s="153"/>
      <c r="DT208" s="152"/>
      <c r="DU208" s="154"/>
      <c r="DV208" s="152"/>
      <c r="DW208" s="155">
        <f>COUNTA(DQ213:DQ214)</f>
        <v>0</v>
      </c>
      <c r="DX208" s="156"/>
      <c r="DY208" s="152"/>
      <c r="DZ208" s="153"/>
      <c r="EA208" s="152"/>
      <c r="EB208" s="154"/>
      <c r="EC208" s="152"/>
      <c r="ED208" s="155">
        <f>COUNTA(DX213:DX214)</f>
        <v>0</v>
      </c>
      <c r="EE208" s="156"/>
      <c r="EF208" s="152"/>
      <c r="EG208" s="153"/>
      <c r="EH208" s="152"/>
      <c r="EI208" s="154"/>
      <c r="EJ208" s="152"/>
      <c r="EK208" s="155">
        <f>COUNTA(EE213:EE214)</f>
        <v>0</v>
      </c>
      <c r="EL208" s="156"/>
      <c r="EM208" s="152"/>
      <c r="EN208" s="153"/>
      <c r="EO208" s="152"/>
      <c r="EP208" s="154"/>
      <c r="EQ208" s="152"/>
      <c r="ER208" s="155">
        <f>COUNTA(EL213:EL214)</f>
        <v>0</v>
      </c>
      <c r="ES208" s="156"/>
      <c r="ET208" s="152"/>
      <c r="EU208" s="153"/>
      <c r="EV208" s="152"/>
      <c r="EW208" s="154"/>
      <c r="EX208" s="152"/>
      <c r="EY208" s="155">
        <f>COUNTA(ES213:ES214)</f>
        <v>0</v>
      </c>
      <c r="EZ208" s="156"/>
      <c r="FA208" s="152"/>
      <c r="FB208" s="153"/>
      <c r="FC208" s="152"/>
      <c r="FD208" s="154"/>
      <c r="FE208" s="152"/>
      <c r="FF208" s="155">
        <f>COUNTA(EZ213:EZ214)</f>
        <v>0</v>
      </c>
      <c r="FG208" s="156"/>
      <c r="FH208" s="152"/>
      <c r="FI208" s="153"/>
      <c r="FJ208" s="152"/>
      <c r="FK208" s="154"/>
      <c r="FL208" s="152"/>
      <c r="FM208" s="155">
        <f>COUNTA(FG213:FG214)</f>
        <v>0</v>
      </c>
      <c r="FN208" s="156"/>
      <c r="FO208" s="152"/>
      <c r="FP208" s="153"/>
      <c r="FQ208" s="152"/>
      <c r="FR208" s="154"/>
      <c r="FS208" s="152"/>
      <c r="FT208" s="155">
        <f>COUNTA(FN213:FN214)</f>
        <v>0</v>
      </c>
      <c r="FU208" s="156"/>
      <c r="FV208" s="152"/>
      <c r="FW208" s="153"/>
      <c r="FX208" s="152"/>
      <c r="FY208" s="154"/>
      <c r="FZ208" s="152"/>
      <c r="GA208" s="155">
        <f>COUNTA(FU213:FU214)</f>
        <v>0</v>
      </c>
      <c r="GB208" s="156"/>
      <c r="GC208" s="152"/>
      <c r="GD208" s="153"/>
      <c r="GE208" s="152"/>
      <c r="GF208" s="154"/>
      <c r="GG208" s="152"/>
      <c r="GH208" s="155">
        <f>COUNTA(GB213:GB214)</f>
        <v>0</v>
      </c>
      <c r="GI208" s="156"/>
      <c r="GJ208" s="152"/>
      <c r="GK208" s="153"/>
      <c r="GL208" s="152"/>
      <c r="GM208" s="154"/>
      <c r="GN208" s="152"/>
      <c r="GO208" s="155">
        <f>COUNTA(GI213:GI214)</f>
        <v>0</v>
      </c>
      <c r="GP208" s="156"/>
      <c r="GQ208" s="152"/>
      <c r="GR208" s="153"/>
      <c r="GS208" s="152"/>
      <c r="GT208" s="154"/>
      <c r="GU208" s="152"/>
      <c r="GV208" s="155">
        <f>COUNTA(GP213:GP214)</f>
        <v>0</v>
      </c>
      <c r="GW208" s="156"/>
      <c r="GX208" s="152"/>
      <c r="GY208" s="153"/>
      <c r="GZ208" s="152"/>
      <c r="HA208" s="154"/>
      <c r="HB208" s="152"/>
      <c r="HC208" s="155">
        <f>COUNTA(GW213:GW214)</f>
        <v>0</v>
      </c>
      <c r="HD208" s="156"/>
      <c r="HE208" s="152"/>
      <c r="HF208" s="153"/>
      <c r="HG208" s="152"/>
      <c r="HH208" s="154"/>
      <c r="HI208" s="152"/>
      <c r="HJ208" s="155">
        <f>COUNTA(HD213:HD214)</f>
        <v>0</v>
      </c>
      <c r="HK208" s="156"/>
      <c r="HL208" s="152"/>
      <c r="HM208" s="153"/>
      <c r="HN208" s="152"/>
      <c r="HO208" s="154"/>
      <c r="HP208" s="152"/>
      <c r="HQ208" s="155">
        <f>COUNTA(HK213:HK214)</f>
        <v>0</v>
      </c>
      <c r="HR208" s="342" t="s">
        <v>217</v>
      </c>
      <c r="HS208" s="343"/>
      <c r="HT208" s="343"/>
      <c r="HU208" s="343"/>
      <c r="HV208" s="343"/>
      <c r="HW208" s="152"/>
      <c r="HX208" s="155">
        <f>COUNTA(HR213:HR214)</f>
        <v>1</v>
      </c>
    </row>
    <row r="209" spans="2:232" ht="15" customHeight="1" outlineLevel="1" x14ac:dyDescent="0.25">
      <c r="B209" s="147"/>
      <c r="C209" s="147"/>
      <c r="D209" s="147"/>
      <c r="E209" s="147"/>
      <c r="F209" s="157"/>
      <c r="G209" s="147"/>
      <c r="H209" s="157"/>
      <c r="I209" s="175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V209" s="185" t="s">
        <v>224</v>
      </c>
      <c r="W209" s="186"/>
      <c r="X209" s="186"/>
      <c r="Y209" s="186"/>
      <c r="Z209" s="186"/>
      <c r="AA209" s="186"/>
      <c r="AB209" s="187"/>
      <c r="AC209" s="188"/>
      <c r="AD209" s="344" t="s">
        <v>533</v>
      </c>
      <c r="AE209" s="345"/>
      <c r="AF209" s="345"/>
      <c r="AG209" s="181" t="s">
        <v>75</v>
      </c>
      <c r="AH209" s="346" t="s">
        <v>311</v>
      </c>
      <c r="AI209" s="346"/>
      <c r="AJ209" s="349"/>
      <c r="AK209" s="180"/>
      <c r="AL209" s="181"/>
      <c r="AM209" s="182"/>
      <c r="AN209" s="181"/>
      <c r="AO209" s="183"/>
      <c r="AP209" s="181"/>
      <c r="AQ209" s="184"/>
      <c r="AR209" s="180"/>
      <c r="AS209" s="181"/>
      <c r="AT209" s="182"/>
      <c r="AU209" s="181"/>
      <c r="AV209" s="183"/>
      <c r="AW209" s="181"/>
      <c r="AX209" s="184"/>
      <c r="AY209" s="180"/>
      <c r="AZ209" s="181"/>
      <c r="BA209" s="182"/>
      <c r="BB209" s="181"/>
      <c r="BC209" s="183"/>
      <c r="BD209" s="181"/>
      <c r="BE209" s="184"/>
      <c r="BF209" s="180"/>
      <c r="BG209" s="181"/>
      <c r="BH209" s="182"/>
      <c r="BI209" s="181"/>
      <c r="BJ209" s="183"/>
      <c r="BK209" s="181"/>
      <c r="BL209" s="184"/>
      <c r="BM209" s="180"/>
      <c r="BN209" s="181"/>
      <c r="BO209" s="182"/>
      <c r="BP209" s="181"/>
      <c r="BQ209" s="183"/>
      <c r="BR209" s="181"/>
      <c r="BS209" s="184"/>
      <c r="BT209" s="180"/>
      <c r="BU209" s="181"/>
      <c r="BV209" s="182"/>
      <c r="BW209" s="181"/>
      <c r="BX209" s="183"/>
      <c r="BY209" s="181"/>
      <c r="BZ209" s="184"/>
      <c r="CA209" s="180"/>
      <c r="CB209" s="181"/>
      <c r="CC209" s="182"/>
      <c r="CD209" s="181"/>
      <c r="CE209" s="183"/>
      <c r="CF209" s="181"/>
      <c r="CG209" s="184"/>
      <c r="CH209" s="180"/>
      <c r="CI209" s="181"/>
      <c r="CJ209" s="182"/>
      <c r="CK209" s="181"/>
      <c r="CL209" s="183"/>
      <c r="CM209" s="181"/>
      <c r="CN209" s="184"/>
      <c r="CO209" s="180"/>
      <c r="CP209" s="181"/>
      <c r="CQ209" s="182"/>
      <c r="CR209" s="181"/>
      <c r="CS209" s="183"/>
      <c r="CT209" s="181"/>
      <c r="CU209" s="184"/>
      <c r="CV209" s="180"/>
      <c r="CW209" s="181"/>
      <c r="CX209" s="182"/>
      <c r="CY209" s="181"/>
      <c r="CZ209" s="183"/>
      <c r="DA209" s="181"/>
      <c r="DB209" s="184"/>
      <c r="DC209" s="180"/>
      <c r="DD209" s="181"/>
      <c r="DE209" s="182"/>
      <c r="DF209" s="181"/>
      <c r="DG209" s="183"/>
      <c r="DH209" s="181"/>
      <c r="DI209" s="184"/>
      <c r="DJ209" s="180"/>
      <c r="DK209" s="181"/>
      <c r="DL209" s="182"/>
      <c r="DM209" s="181"/>
      <c r="DN209" s="183"/>
      <c r="DO209" s="181"/>
      <c r="DP209" s="184"/>
      <c r="DQ209" s="180"/>
      <c r="DR209" s="181"/>
      <c r="DS209" s="182"/>
      <c r="DT209" s="181"/>
      <c r="DU209" s="183"/>
      <c r="DV209" s="181"/>
      <c r="DW209" s="184"/>
      <c r="DX209" s="180"/>
      <c r="DY209" s="181"/>
      <c r="DZ209" s="182"/>
      <c r="EA209" s="181"/>
      <c r="EB209" s="183"/>
      <c r="EC209" s="181"/>
      <c r="ED209" s="184"/>
      <c r="EE209" s="180"/>
      <c r="EF209" s="181"/>
      <c r="EG209" s="182"/>
      <c r="EH209" s="181"/>
      <c r="EI209" s="183"/>
      <c r="EJ209" s="181"/>
      <c r="EK209" s="184"/>
      <c r="EL209" s="180"/>
      <c r="EM209" s="181"/>
      <c r="EN209" s="182"/>
      <c r="EO209" s="181"/>
      <c r="EP209" s="183"/>
      <c r="EQ209" s="181"/>
      <c r="ER209" s="184"/>
      <c r="ES209" s="180"/>
      <c r="ET209" s="181"/>
      <c r="EU209" s="182"/>
      <c r="EV209" s="181"/>
      <c r="EW209" s="183"/>
      <c r="EX209" s="181"/>
      <c r="EY209" s="184"/>
      <c r="EZ209" s="180"/>
      <c r="FA209" s="181"/>
      <c r="FB209" s="182"/>
      <c r="FC209" s="181"/>
      <c r="FD209" s="183"/>
      <c r="FE209" s="181"/>
      <c r="FF209" s="184"/>
      <c r="FG209" s="180"/>
      <c r="FH209" s="181"/>
      <c r="FI209" s="182"/>
      <c r="FJ209" s="181"/>
      <c r="FK209" s="183"/>
      <c r="FL209" s="181"/>
      <c r="FM209" s="184"/>
      <c r="FN209" s="180"/>
      <c r="FO209" s="181"/>
      <c r="FP209" s="182"/>
      <c r="FQ209" s="181"/>
      <c r="FR209" s="183"/>
      <c r="FS209" s="181"/>
      <c r="FT209" s="184"/>
      <c r="FU209" s="180"/>
      <c r="FV209" s="181"/>
      <c r="FW209" s="182"/>
      <c r="FX209" s="181"/>
      <c r="FY209" s="183"/>
      <c r="FZ209" s="181"/>
      <c r="GA209" s="184"/>
      <c r="GB209" s="180"/>
      <c r="GC209" s="181"/>
      <c r="GD209" s="182"/>
      <c r="GE209" s="181"/>
      <c r="GF209" s="183"/>
      <c r="GG209" s="181"/>
      <c r="GH209" s="184"/>
      <c r="GI209" s="180"/>
      <c r="GJ209" s="181"/>
      <c r="GK209" s="182"/>
      <c r="GL209" s="181"/>
      <c r="GM209" s="183"/>
      <c r="GN209" s="181"/>
      <c r="GO209" s="184"/>
      <c r="GP209" s="180"/>
      <c r="GQ209" s="181"/>
      <c r="GR209" s="182"/>
      <c r="GS209" s="181"/>
      <c r="GT209" s="183"/>
      <c r="GU209" s="181"/>
      <c r="GV209" s="184"/>
      <c r="GW209" s="180"/>
      <c r="GX209" s="181"/>
      <c r="GY209" s="182"/>
      <c r="GZ209" s="181"/>
      <c r="HA209" s="183"/>
      <c r="HB209" s="181"/>
      <c r="HC209" s="184"/>
      <c r="HD209" s="180"/>
      <c r="HE209" s="181"/>
      <c r="HF209" s="182"/>
      <c r="HG209" s="181"/>
      <c r="HH209" s="183"/>
      <c r="HI209" s="181"/>
      <c r="HJ209" s="184"/>
      <c r="HK209" s="180"/>
      <c r="HL209" s="181"/>
      <c r="HM209" s="182"/>
      <c r="HN209" s="181"/>
      <c r="HO209" s="183"/>
      <c r="HP209" s="181"/>
      <c r="HQ209" s="184"/>
      <c r="HR209" s="344" t="s">
        <v>533</v>
      </c>
      <c r="HS209" s="345"/>
      <c r="HT209" s="345"/>
      <c r="HU209" s="181" t="s">
        <v>75</v>
      </c>
      <c r="HV209" s="376" t="s">
        <v>311</v>
      </c>
      <c r="HW209" s="376"/>
      <c r="HX209" s="377"/>
    </row>
    <row r="210" spans="2:232" outlineLevel="1" x14ac:dyDescent="0.25">
      <c r="B210" s="147"/>
      <c r="C210" s="147"/>
      <c r="D210" s="147"/>
      <c r="E210" s="147"/>
      <c r="F210" s="157"/>
      <c r="G210" s="147"/>
      <c r="H210" s="157"/>
      <c r="I210" s="175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V210" s="161" t="s">
        <v>199</v>
      </c>
      <c r="W210" s="12"/>
      <c r="X210" s="12"/>
      <c r="Y210" s="12"/>
      <c r="Z210" s="12"/>
      <c r="AA210" s="12"/>
      <c r="AB210" s="12"/>
      <c r="AC210" s="14"/>
      <c r="AD210" s="350" t="s">
        <v>22</v>
      </c>
      <c r="AE210" s="337"/>
      <c r="AF210" s="337"/>
      <c r="AG210" s="1" t="s">
        <v>57</v>
      </c>
      <c r="AH210" s="337" t="s">
        <v>218</v>
      </c>
      <c r="AI210" s="337"/>
      <c r="AJ210" s="338"/>
      <c r="AK210" s="350"/>
      <c r="AL210" s="337"/>
      <c r="AM210" s="337"/>
      <c r="AO210" s="337"/>
      <c r="AP210" s="337"/>
      <c r="AQ210" s="338"/>
      <c r="AR210" s="350"/>
      <c r="AS210" s="337"/>
      <c r="AT210" s="337"/>
      <c r="AV210" s="337"/>
      <c r="AW210" s="337"/>
      <c r="AX210" s="338"/>
      <c r="AY210" s="350"/>
      <c r="AZ210" s="337"/>
      <c r="BA210" s="337"/>
      <c r="BC210" s="337"/>
      <c r="BD210" s="337"/>
      <c r="BE210" s="338"/>
      <c r="BF210" s="350"/>
      <c r="BG210" s="337"/>
      <c r="BH210" s="337"/>
      <c r="BJ210" s="337"/>
      <c r="BK210" s="337"/>
      <c r="BL210" s="338"/>
      <c r="BM210" s="350"/>
      <c r="BN210" s="337"/>
      <c r="BO210" s="337"/>
      <c r="BQ210" s="337"/>
      <c r="BR210" s="337"/>
      <c r="BS210" s="338"/>
      <c r="BT210" s="350"/>
      <c r="BU210" s="337"/>
      <c r="BV210" s="337"/>
      <c r="BX210" s="337"/>
      <c r="BY210" s="337"/>
      <c r="BZ210" s="338"/>
      <c r="CA210" s="350"/>
      <c r="CB210" s="337"/>
      <c r="CC210" s="337"/>
      <c r="CE210" s="337"/>
      <c r="CF210" s="337"/>
      <c r="CG210" s="338"/>
      <c r="CH210" s="350"/>
      <c r="CI210" s="337"/>
      <c r="CJ210" s="337"/>
      <c r="CL210" s="337"/>
      <c r="CM210" s="337"/>
      <c r="CN210" s="338"/>
      <c r="CO210" s="350"/>
      <c r="CP210" s="337"/>
      <c r="CQ210" s="337"/>
      <c r="CS210" s="337"/>
      <c r="CT210" s="337"/>
      <c r="CU210" s="338"/>
      <c r="CV210" s="350"/>
      <c r="CW210" s="337"/>
      <c r="CX210" s="337"/>
      <c r="CZ210" s="337"/>
      <c r="DA210" s="337"/>
      <c r="DB210" s="338"/>
      <c r="DC210" s="350"/>
      <c r="DD210" s="337"/>
      <c r="DE210" s="337"/>
      <c r="DG210" s="337"/>
      <c r="DH210" s="337"/>
      <c r="DI210" s="338"/>
      <c r="DJ210" s="350"/>
      <c r="DK210" s="337"/>
      <c r="DL210" s="337"/>
      <c r="DN210" s="337"/>
      <c r="DO210" s="337"/>
      <c r="DP210" s="338"/>
      <c r="DQ210" s="350"/>
      <c r="DR210" s="337"/>
      <c r="DS210" s="337"/>
      <c r="DU210" s="337"/>
      <c r="DV210" s="337"/>
      <c r="DW210" s="338"/>
      <c r="DX210" s="350"/>
      <c r="DY210" s="337"/>
      <c r="DZ210" s="337"/>
      <c r="EB210" s="337"/>
      <c r="EC210" s="337"/>
      <c r="ED210" s="338"/>
      <c r="EE210" s="350"/>
      <c r="EF210" s="337"/>
      <c r="EG210" s="337"/>
      <c r="EI210" s="337"/>
      <c r="EJ210" s="337"/>
      <c r="EK210" s="338"/>
      <c r="EL210" s="350"/>
      <c r="EM210" s="337"/>
      <c r="EN210" s="337"/>
      <c r="EP210" s="337"/>
      <c r="EQ210" s="337"/>
      <c r="ER210" s="338"/>
      <c r="ES210" s="350"/>
      <c r="ET210" s="337"/>
      <c r="EU210" s="337"/>
      <c r="EW210" s="337"/>
      <c r="EX210" s="337"/>
      <c r="EY210" s="338"/>
      <c r="EZ210" s="350"/>
      <c r="FA210" s="337"/>
      <c r="FB210" s="337"/>
      <c r="FD210" s="337"/>
      <c r="FE210" s="337"/>
      <c r="FF210" s="338"/>
      <c r="FG210" s="350"/>
      <c r="FH210" s="337"/>
      <c r="FI210" s="337"/>
      <c r="FK210" s="337"/>
      <c r="FL210" s="337"/>
      <c r="FM210" s="338"/>
      <c r="FN210" s="350"/>
      <c r="FO210" s="337"/>
      <c r="FP210" s="337"/>
      <c r="FR210" s="337"/>
      <c r="FS210" s="337"/>
      <c r="FT210" s="338"/>
      <c r="FU210" s="350"/>
      <c r="FV210" s="337"/>
      <c r="FW210" s="337"/>
      <c r="FY210" s="337"/>
      <c r="FZ210" s="337"/>
      <c r="GA210" s="338"/>
      <c r="GB210" s="350"/>
      <c r="GC210" s="337"/>
      <c r="GD210" s="337"/>
      <c r="GF210" s="337"/>
      <c r="GG210" s="337"/>
      <c r="GH210" s="338"/>
      <c r="GI210" s="350"/>
      <c r="GJ210" s="337"/>
      <c r="GK210" s="337"/>
      <c r="GM210" s="337"/>
      <c r="GN210" s="337"/>
      <c r="GO210" s="338"/>
      <c r="GP210" s="350"/>
      <c r="GQ210" s="337"/>
      <c r="GR210" s="337"/>
      <c r="GT210" s="337"/>
      <c r="GU210" s="337"/>
      <c r="GV210" s="338"/>
      <c r="GW210" s="350"/>
      <c r="GX210" s="337"/>
      <c r="GY210" s="337"/>
      <c r="HA210" s="337"/>
      <c r="HB210" s="337"/>
      <c r="HC210" s="338"/>
      <c r="HD210" s="350"/>
      <c r="HE210" s="337"/>
      <c r="HF210" s="337"/>
      <c r="HH210" s="337"/>
      <c r="HI210" s="337"/>
      <c r="HJ210" s="338"/>
      <c r="HK210" s="350"/>
      <c r="HL210" s="337"/>
      <c r="HM210" s="337"/>
      <c r="HO210" s="337"/>
      <c r="HP210" s="337"/>
      <c r="HQ210" s="338"/>
      <c r="HR210" s="350" t="s">
        <v>218</v>
      </c>
      <c r="HS210" s="337"/>
      <c r="HT210" s="337"/>
      <c r="HU210" s="191"/>
      <c r="HV210" s="337"/>
      <c r="HW210" s="337"/>
      <c r="HX210" s="338"/>
    </row>
    <row r="211" spans="2:232" outlineLevel="1" x14ac:dyDescent="0.25">
      <c r="B211" s="147"/>
      <c r="C211" s="147"/>
      <c r="D211" s="147"/>
      <c r="E211" s="147"/>
      <c r="F211" s="157"/>
      <c r="G211" s="147"/>
      <c r="H211" s="157"/>
      <c r="I211" s="175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V211" s="161" t="s">
        <v>200</v>
      </c>
      <c r="W211" s="12"/>
      <c r="X211" s="12"/>
      <c r="Y211" s="12"/>
      <c r="Z211" s="12"/>
      <c r="AA211" s="12"/>
      <c r="AB211" s="12"/>
      <c r="AC211" s="14"/>
      <c r="AD211" s="352" t="s">
        <v>22</v>
      </c>
      <c r="AE211" s="353"/>
      <c r="AF211" s="353"/>
      <c r="AG211" s="1" t="s">
        <v>57</v>
      </c>
      <c r="AH211" s="353" t="s">
        <v>219</v>
      </c>
      <c r="AI211" s="353"/>
      <c r="AJ211" s="355"/>
      <c r="AK211" s="352"/>
      <c r="AL211" s="353"/>
      <c r="AM211" s="353"/>
      <c r="AO211" s="353"/>
      <c r="AP211" s="353"/>
      <c r="AQ211" s="355"/>
      <c r="AR211" s="352"/>
      <c r="AS211" s="353"/>
      <c r="AT211" s="353"/>
      <c r="AV211" s="353"/>
      <c r="AW211" s="353"/>
      <c r="AX211" s="355"/>
      <c r="AY211" s="352"/>
      <c r="AZ211" s="353"/>
      <c r="BA211" s="353"/>
      <c r="BC211" s="353"/>
      <c r="BD211" s="353"/>
      <c r="BE211" s="355"/>
      <c r="BF211" s="352"/>
      <c r="BG211" s="353"/>
      <c r="BH211" s="353"/>
      <c r="BJ211" s="353"/>
      <c r="BK211" s="353"/>
      <c r="BL211" s="355"/>
      <c r="BM211" s="352"/>
      <c r="BN211" s="353"/>
      <c r="BO211" s="353"/>
      <c r="BQ211" s="353"/>
      <c r="BR211" s="353"/>
      <c r="BS211" s="355"/>
      <c r="BT211" s="352"/>
      <c r="BU211" s="353"/>
      <c r="BV211" s="353"/>
      <c r="BX211" s="353"/>
      <c r="BY211" s="353"/>
      <c r="BZ211" s="355"/>
      <c r="CA211" s="352"/>
      <c r="CB211" s="353"/>
      <c r="CC211" s="353"/>
      <c r="CE211" s="353"/>
      <c r="CF211" s="353"/>
      <c r="CG211" s="355"/>
      <c r="CH211" s="352"/>
      <c r="CI211" s="353"/>
      <c r="CJ211" s="353"/>
      <c r="CL211" s="353"/>
      <c r="CM211" s="353"/>
      <c r="CN211" s="355"/>
      <c r="CO211" s="352"/>
      <c r="CP211" s="353"/>
      <c r="CQ211" s="353"/>
      <c r="CS211" s="353"/>
      <c r="CT211" s="353"/>
      <c r="CU211" s="355"/>
      <c r="CV211" s="352"/>
      <c r="CW211" s="353"/>
      <c r="CX211" s="353"/>
      <c r="CZ211" s="353"/>
      <c r="DA211" s="353"/>
      <c r="DB211" s="355"/>
      <c r="DC211" s="352"/>
      <c r="DD211" s="353"/>
      <c r="DE211" s="353"/>
      <c r="DG211" s="353"/>
      <c r="DH211" s="353"/>
      <c r="DI211" s="355"/>
      <c r="DJ211" s="352"/>
      <c r="DK211" s="353"/>
      <c r="DL211" s="353"/>
      <c r="DN211" s="353"/>
      <c r="DO211" s="353"/>
      <c r="DP211" s="355"/>
      <c r="DQ211" s="352"/>
      <c r="DR211" s="353"/>
      <c r="DS211" s="353"/>
      <c r="DU211" s="353"/>
      <c r="DV211" s="353"/>
      <c r="DW211" s="355"/>
      <c r="DX211" s="352"/>
      <c r="DY211" s="353"/>
      <c r="DZ211" s="353"/>
      <c r="EB211" s="353"/>
      <c r="EC211" s="353"/>
      <c r="ED211" s="355"/>
      <c r="EE211" s="352"/>
      <c r="EF211" s="353"/>
      <c r="EG211" s="353"/>
      <c r="EI211" s="353"/>
      <c r="EJ211" s="353"/>
      <c r="EK211" s="355"/>
      <c r="EL211" s="352"/>
      <c r="EM211" s="353"/>
      <c r="EN211" s="353"/>
      <c r="EP211" s="353"/>
      <c r="EQ211" s="353"/>
      <c r="ER211" s="355"/>
      <c r="ES211" s="352"/>
      <c r="ET211" s="353"/>
      <c r="EU211" s="353"/>
      <c r="EW211" s="353"/>
      <c r="EX211" s="353"/>
      <c r="EY211" s="355"/>
      <c r="EZ211" s="352"/>
      <c r="FA211" s="353"/>
      <c r="FB211" s="353"/>
      <c r="FD211" s="353"/>
      <c r="FE211" s="353"/>
      <c r="FF211" s="355"/>
      <c r="FG211" s="352"/>
      <c r="FH211" s="353"/>
      <c r="FI211" s="353"/>
      <c r="FK211" s="353"/>
      <c r="FL211" s="353"/>
      <c r="FM211" s="355"/>
      <c r="FN211" s="352"/>
      <c r="FO211" s="353"/>
      <c r="FP211" s="353"/>
      <c r="FR211" s="353"/>
      <c r="FS211" s="353"/>
      <c r="FT211" s="355"/>
      <c r="FU211" s="352"/>
      <c r="FV211" s="353"/>
      <c r="FW211" s="353"/>
      <c r="FY211" s="353"/>
      <c r="FZ211" s="353"/>
      <c r="GA211" s="355"/>
      <c r="GB211" s="352"/>
      <c r="GC211" s="353"/>
      <c r="GD211" s="353"/>
      <c r="GF211" s="353"/>
      <c r="GG211" s="353"/>
      <c r="GH211" s="355"/>
      <c r="GI211" s="352"/>
      <c r="GJ211" s="353"/>
      <c r="GK211" s="353"/>
      <c r="GM211" s="353"/>
      <c r="GN211" s="353"/>
      <c r="GO211" s="355"/>
      <c r="GP211" s="352"/>
      <c r="GQ211" s="353"/>
      <c r="GR211" s="353"/>
      <c r="GT211" s="353"/>
      <c r="GU211" s="353"/>
      <c r="GV211" s="355"/>
      <c r="GW211" s="352"/>
      <c r="GX211" s="353"/>
      <c r="GY211" s="353"/>
      <c r="HA211" s="353"/>
      <c r="HB211" s="353"/>
      <c r="HC211" s="355"/>
      <c r="HD211" s="352"/>
      <c r="HE211" s="353"/>
      <c r="HF211" s="353"/>
      <c r="HH211" s="353"/>
      <c r="HI211" s="353"/>
      <c r="HJ211" s="355"/>
      <c r="HK211" s="352"/>
      <c r="HL211" s="353"/>
      <c r="HM211" s="353"/>
      <c r="HO211" s="353"/>
      <c r="HP211" s="353"/>
      <c r="HQ211" s="355"/>
      <c r="HR211" s="352" t="s">
        <v>219</v>
      </c>
      <c r="HS211" s="353"/>
      <c r="HT211" s="353"/>
      <c r="HV211" s="353"/>
      <c r="HW211" s="353"/>
      <c r="HX211" s="355"/>
    </row>
    <row r="212" spans="2:232" outlineLevel="1" x14ac:dyDescent="0.25">
      <c r="B212" s="147"/>
      <c r="C212" s="147"/>
      <c r="D212" s="147"/>
      <c r="E212" s="147"/>
      <c r="F212" s="157"/>
      <c r="G212" s="147"/>
      <c r="H212" s="157"/>
      <c r="I212" s="175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V212" s="162"/>
      <c r="W212" s="159"/>
      <c r="X212" s="159"/>
      <c r="Y212" s="159"/>
      <c r="Z212" s="159"/>
      <c r="AA212" s="159"/>
      <c r="AB212" s="159"/>
      <c r="AC212" s="160"/>
      <c r="AD212" s="361"/>
      <c r="AE212" s="356"/>
      <c r="AF212" s="356"/>
      <c r="AG212" s="163"/>
      <c r="AH212" s="356"/>
      <c r="AI212" s="356"/>
      <c r="AJ212" s="357"/>
      <c r="AK212" s="361"/>
      <c r="AL212" s="356"/>
      <c r="AM212" s="356"/>
      <c r="AN212" s="163"/>
      <c r="AO212" s="356"/>
      <c r="AP212" s="356"/>
      <c r="AQ212" s="357"/>
      <c r="AR212" s="361"/>
      <c r="AS212" s="356"/>
      <c r="AT212" s="356"/>
      <c r="AU212" s="163"/>
      <c r="AV212" s="356"/>
      <c r="AW212" s="356"/>
      <c r="AX212" s="357"/>
      <c r="AY212" s="361"/>
      <c r="AZ212" s="356"/>
      <c r="BA212" s="356"/>
      <c r="BB212" s="163"/>
      <c r="BC212" s="356"/>
      <c r="BD212" s="356"/>
      <c r="BE212" s="357"/>
      <c r="BF212" s="361"/>
      <c r="BG212" s="356"/>
      <c r="BH212" s="356"/>
      <c r="BI212" s="163"/>
      <c r="BJ212" s="356"/>
      <c r="BK212" s="356"/>
      <c r="BL212" s="357"/>
      <c r="BM212" s="361"/>
      <c r="BN212" s="356"/>
      <c r="BO212" s="356"/>
      <c r="BP212" s="163"/>
      <c r="BQ212" s="356"/>
      <c r="BR212" s="356"/>
      <c r="BS212" s="357"/>
      <c r="BT212" s="361"/>
      <c r="BU212" s="356"/>
      <c r="BV212" s="356"/>
      <c r="BW212" s="163"/>
      <c r="BX212" s="356"/>
      <c r="BY212" s="356"/>
      <c r="BZ212" s="357"/>
      <c r="CA212" s="361"/>
      <c r="CB212" s="356"/>
      <c r="CC212" s="356"/>
      <c r="CD212" s="163"/>
      <c r="CE212" s="356"/>
      <c r="CF212" s="356"/>
      <c r="CG212" s="357"/>
      <c r="CH212" s="361"/>
      <c r="CI212" s="356"/>
      <c r="CJ212" s="356"/>
      <c r="CK212" s="163"/>
      <c r="CL212" s="356"/>
      <c r="CM212" s="356"/>
      <c r="CN212" s="357"/>
      <c r="CO212" s="361"/>
      <c r="CP212" s="356"/>
      <c r="CQ212" s="356"/>
      <c r="CR212" s="163"/>
      <c r="CS212" s="356"/>
      <c r="CT212" s="356"/>
      <c r="CU212" s="357"/>
      <c r="CV212" s="361"/>
      <c r="CW212" s="356"/>
      <c r="CX212" s="356"/>
      <c r="CY212" s="163"/>
      <c r="CZ212" s="356"/>
      <c r="DA212" s="356"/>
      <c r="DB212" s="357"/>
      <c r="DC212" s="361"/>
      <c r="DD212" s="356"/>
      <c r="DE212" s="356"/>
      <c r="DF212" s="163"/>
      <c r="DG212" s="356"/>
      <c r="DH212" s="356"/>
      <c r="DI212" s="357"/>
      <c r="DJ212" s="361"/>
      <c r="DK212" s="356"/>
      <c r="DL212" s="356"/>
      <c r="DM212" s="163"/>
      <c r="DN212" s="356"/>
      <c r="DO212" s="356"/>
      <c r="DP212" s="357"/>
      <c r="DQ212" s="361"/>
      <c r="DR212" s="356"/>
      <c r="DS212" s="356"/>
      <c r="DT212" s="163"/>
      <c r="DU212" s="356"/>
      <c r="DV212" s="356"/>
      <c r="DW212" s="357"/>
      <c r="DX212" s="361"/>
      <c r="DY212" s="356"/>
      <c r="DZ212" s="356"/>
      <c r="EA212" s="163"/>
      <c r="EB212" s="356"/>
      <c r="EC212" s="356"/>
      <c r="ED212" s="357"/>
      <c r="EE212" s="361"/>
      <c r="EF212" s="356"/>
      <c r="EG212" s="356"/>
      <c r="EH212" s="163"/>
      <c r="EI212" s="356"/>
      <c r="EJ212" s="356"/>
      <c r="EK212" s="357"/>
      <c r="EL212" s="361"/>
      <c r="EM212" s="356"/>
      <c r="EN212" s="356"/>
      <c r="EO212" s="163"/>
      <c r="EP212" s="356"/>
      <c r="EQ212" s="356"/>
      <c r="ER212" s="357"/>
      <c r="ES212" s="361"/>
      <c r="ET212" s="356"/>
      <c r="EU212" s="356"/>
      <c r="EV212" s="163"/>
      <c r="EW212" s="356"/>
      <c r="EX212" s="356"/>
      <c r="EY212" s="357"/>
      <c r="EZ212" s="361"/>
      <c r="FA212" s="356"/>
      <c r="FB212" s="356"/>
      <c r="FC212" s="163"/>
      <c r="FD212" s="356"/>
      <c r="FE212" s="356"/>
      <c r="FF212" s="357"/>
      <c r="FG212" s="361"/>
      <c r="FH212" s="356"/>
      <c r="FI212" s="356"/>
      <c r="FJ212" s="163"/>
      <c r="FK212" s="356"/>
      <c r="FL212" s="356"/>
      <c r="FM212" s="357"/>
      <c r="FN212" s="361"/>
      <c r="FO212" s="356"/>
      <c r="FP212" s="356"/>
      <c r="FQ212" s="163"/>
      <c r="FR212" s="356"/>
      <c r="FS212" s="356"/>
      <c r="FT212" s="357"/>
      <c r="FU212" s="361"/>
      <c r="FV212" s="356"/>
      <c r="FW212" s="356"/>
      <c r="FX212" s="163"/>
      <c r="FY212" s="356"/>
      <c r="FZ212" s="356"/>
      <c r="GA212" s="357"/>
      <c r="GB212" s="361"/>
      <c r="GC212" s="356"/>
      <c r="GD212" s="356"/>
      <c r="GE212" s="163"/>
      <c r="GF212" s="356"/>
      <c r="GG212" s="356"/>
      <c r="GH212" s="357"/>
      <c r="GI212" s="361"/>
      <c r="GJ212" s="356"/>
      <c r="GK212" s="356"/>
      <c r="GL212" s="163"/>
      <c r="GM212" s="356"/>
      <c r="GN212" s="356"/>
      <c r="GO212" s="357"/>
      <c r="GP212" s="361"/>
      <c r="GQ212" s="356"/>
      <c r="GR212" s="356"/>
      <c r="GS212" s="163"/>
      <c r="GT212" s="356"/>
      <c r="GU212" s="356"/>
      <c r="GV212" s="357"/>
      <c r="GW212" s="361"/>
      <c r="GX212" s="356"/>
      <c r="GY212" s="356"/>
      <c r="GZ212" s="163"/>
      <c r="HA212" s="356"/>
      <c r="HB212" s="356"/>
      <c r="HC212" s="357"/>
      <c r="HD212" s="361"/>
      <c r="HE212" s="356"/>
      <c r="HF212" s="356"/>
      <c r="HG212" s="163"/>
      <c r="HH212" s="356"/>
      <c r="HI212" s="356"/>
      <c r="HJ212" s="357"/>
      <c r="HK212" s="361"/>
      <c r="HL212" s="356"/>
      <c r="HM212" s="356"/>
      <c r="HN212" s="163"/>
      <c r="HO212" s="356"/>
      <c r="HP212" s="356"/>
      <c r="HQ212" s="357"/>
      <c r="HR212" s="361"/>
      <c r="HS212" s="356"/>
      <c r="HT212" s="356"/>
      <c r="HU212" s="163"/>
      <c r="HV212" s="356"/>
      <c r="HW212" s="356"/>
      <c r="HX212" s="357"/>
    </row>
    <row r="213" spans="2:232" outlineLevel="1" x14ac:dyDescent="0.25">
      <c r="B213" s="32"/>
      <c r="C213" s="333">
        <f>MAX(C206:C207)+1</f>
        <v>28</v>
      </c>
      <c r="D213" s="164" t="s">
        <v>21</v>
      </c>
      <c r="E213" s="34"/>
      <c r="F213" s="165" t="s">
        <v>529</v>
      </c>
      <c r="G213" s="165" t="s">
        <v>529</v>
      </c>
      <c r="H213" s="259" t="s">
        <v>215</v>
      </c>
      <c r="I213" s="176" t="s">
        <v>190</v>
      </c>
      <c r="J213" s="165" t="s">
        <v>171</v>
      </c>
      <c r="K213" s="165">
        <v>2031</v>
      </c>
      <c r="L213" s="165">
        <v>6</v>
      </c>
      <c r="M213" s="165"/>
      <c r="N213" s="165"/>
      <c r="O213" s="165"/>
      <c r="P213" s="165"/>
      <c r="Q213" s="165"/>
      <c r="R213" s="165"/>
      <c r="S213" s="165"/>
      <c r="T213" s="165"/>
      <c r="V213" s="11" t="s">
        <v>283</v>
      </c>
      <c r="W213" s="12"/>
      <c r="X213" s="12"/>
      <c r="Y213" s="12"/>
      <c r="Z213" s="12"/>
      <c r="AA213" s="12"/>
      <c r="AB213" s="12"/>
      <c r="AC213" s="14"/>
      <c r="AD213" s="166">
        <f>$C213</f>
        <v>28</v>
      </c>
      <c r="AE213" s="358" t="s">
        <v>175</v>
      </c>
      <c r="AF213" s="358"/>
      <c r="AG213" s="358"/>
      <c r="AH213" s="158"/>
      <c r="AI213" s="337"/>
      <c r="AJ213" s="338"/>
      <c r="AK213" s="166"/>
      <c r="AL213" s="358"/>
      <c r="AM213" s="358"/>
      <c r="AN213" s="358"/>
      <c r="AO213" s="32"/>
      <c r="AP213" s="337"/>
      <c r="AQ213" s="338"/>
      <c r="AR213" s="166"/>
      <c r="AS213" s="358"/>
      <c r="AT213" s="358"/>
      <c r="AU213" s="358"/>
      <c r="AV213" s="32"/>
      <c r="AW213" s="337"/>
      <c r="AX213" s="338"/>
      <c r="AY213" s="166"/>
      <c r="AZ213" s="362"/>
      <c r="BA213" s="362"/>
      <c r="BB213" s="362"/>
      <c r="BC213" s="158"/>
      <c r="BD213" s="337"/>
      <c r="BE213" s="338"/>
      <c r="BF213" s="166"/>
      <c r="BG213" s="362"/>
      <c r="BH213" s="362"/>
      <c r="BI213" s="362"/>
      <c r="BJ213" s="158"/>
      <c r="BK213" s="337"/>
      <c r="BL213" s="338"/>
      <c r="BM213" s="166"/>
      <c r="BN213" s="362"/>
      <c r="BO213" s="362"/>
      <c r="BP213" s="362"/>
      <c r="BQ213" s="158"/>
      <c r="BR213" s="337"/>
      <c r="BS213" s="338"/>
      <c r="BT213" s="166"/>
      <c r="BU213" s="362"/>
      <c r="BV213" s="362"/>
      <c r="BW213" s="362"/>
      <c r="BX213" s="158"/>
      <c r="BY213" s="337"/>
      <c r="BZ213" s="338"/>
      <c r="CA213" s="166"/>
      <c r="CB213" s="362"/>
      <c r="CC213" s="362"/>
      <c r="CD213" s="362"/>
      <c r="CE213" s="158"/>
      <c r="CF213" s="337"/>
      <c r="CG213" s="338"/>
      <c r="CH213" s="166"/>
      <c r="CI213" s="362"/>
      <c r="CJ213" s="362"/>
      <c r="CK213" s="362"/>
      <c r="CL213" s="158"/>
      <c r="CM213" s="337"/>
      <c r="CN213" s="338"/>
      <c r="CO213" s="166"/>
      <c r="CP213" s="362"/>
      <c r="CQ213" s="362"/>
      <c r="CR213" s="362"/>
      <c r="CS213" s="158"/>
      <c r="CT213" s="337"/>
      <c r="CU213" s="338"/>
      <c r="CV213" s="166"/>
      <c r="CW213" s="362"/>
      <c r="CX213" s="362"/>
      <c r="CY213" s="362"/>
      <c r="CZ213" s="158"/>
      <c r="DA213" s="337"/>
      <c r="DB213" s="338"/>
      <c r="DC213" s="166"/>
      <c r="DD213" s="362"/>
      <c r="DE213" s="362"/>
      <c r="DF213" s="362"/>
      <c r="DG213" s="158"/>
      <c r="DH213" s="337"/>
      <c r="DI213" s="338"/>
      <c r="DJ213" s="166"/>
      <c r="DK213" s="362"/>
      <c r="DL213" s="362"/>
      <c r="DM213" s="362"/>
      <c r="DN213" s="158"/>
      <c r="DO213" s="337"/>
      <c r="DP213" s="338"/>
      <c r="DQ213" s="166"/>
      <c r="DR213" s="362"/>
      <c r="DS213" s="362"/>
      <c r="DT213" s="362"/>
      <c r="DU213" s="158"/>
      <c r="DV213" s="337"/>
      <c r="DW213" s="338"/>
      <c r="DX213" s="166"/>
      <c r="DY213" s="362"/>
      <c r="DZ213" s="362"/>
      <c r="EA213" s="362"/>
      <c r="EB213" s="158"/>
      <c r="EC213" s="337"/>
      <c r="ED213" s="338"/>
      <c r="EE213" s="166"/>
      <c r="EF213" s="362"/>
      <c r="EG213" s="362"/>
      <c r="EH213" s="362"/>
      <c r="EI213" s="158"/>
      <c r="EJ213" s="337"/>
      <c r="EK213" s="338"/>
      <c r="EL213" s="166"/>
      <c r="EM213" s="362"/>
      <c r="EN213" s="362"/>
      <c r="EO213" s="362"/>
      <c r="EP213" s="158"/>
      <c r="EQ213" s="337"/>
      <c r="ER213" s="338"/>
      <c r="ES213" s="166"/>
      <c r="ET213" s="362"/>
      <c r="EU213" s="362"/>
      <c r="EV213" s="362"/>
      <c r="EW213" s="158"/>
      <c r="EX213" s="337"/>
      <c r="EY213" s="338"/>
      <c r="EZ213" s="166"/>
      <c r="FA213" s="362"/>
      <c r="FB213" s="362"/>
      <c r="FC213" s="362"/>
      <c r="FD213" s="158"/>
      <c r="FE213" s="337"/>
      <c r="FF213" s="338"/>
      <c r="FG213" s="166"/>
      <c r="FH213" s="362"/>
      <c r="FI213" s="362"/>
      <c r="FJ213" s="362"/>
      <c r="FK213" s="158"/>
      <c r="FL213" s="337"/>
      <c r="FM213" s="338"/>
      <c r="FN213" s="166"/>
      <c r="FO213" s="362"/>
      <c r="FP213" s="362"/>
      <c r="FQ213" s="362"/>
      <c r="FR213" s="158"/>
      <c r="FS213" s="337"/>
      <c r="FT213" s="338"/>
      <c r="FU213" s="166"/>
      <c r="FV213" s="362"/>
      <c r="FW213" s="362"/>
      <c r="FX213" s="362"/>
      <c r="FY213" s="158"/>
      <c r="FZ213" s="337"/>
      <c r="GA213" s="338"/>
      <c r="GB213" s="166"/>
      <c r="GC213" s="362"/>
      <c r="GD213" s="362"/>
      <c r="GE213" s="362"/>
      <c r="GF213" s="158"/>
      <c r="GG213" s="337"/>
      <c r="GH213" s="338"/>
      <c r="GI213" s="166"/>
      <c r="GJ213" s="362"/>
      <c r="GK213" s="362"/>
      <c r="GL213" s="362"/>
      <c r="GM213" s="158"/>
      <c r="GN213" s="337"/>
      <c r="GO213" s="338"/>
      <c r="GP213" s="166"/>
      <c r="GQ213" s="362"/>
      <c r="GR213" s="362"/>
      <c r="GS213" s="362"/>
      <c r="GT213" s="158"/>
      <c r="GU213" s="337"/>
      <c r="GV213" s="338"/>
      <c r="GW213" s="166"/>
      <c r="GX213" s="362"/>
      <c r="GY213" s="362"/>
      <c r="GZ213" s="362"/>
      <c r="HA213" s="158"/>
      <c r="HB213" s="337"/>
      <c r="HC213" s="338"/>
      <c r="HD213" s="166"/>
      <c r="HE213" s="362"/>
      <c r="HF213" s="362"/>
      <c r="HG213" s="362"/>
      <c r="HH213" s="158"/>
      <c r="HI213" s="337"/>
      <c r="HJ213" s="338"/>
      <c r="HK213" s="166"/>
      <c r="HL213" s="362"/>
      <c r="HM213" s="362"/>
      <c r="HN213" s="362"/>
      <c r="HO213" s="158"/>
      <c r="HP213" s="337"/>
      <c r="HQ213" s="338"/>
      <c r="HR213" s="166">
        <f>$AD213</f>
        <v>28</v>
      </c>
      <c r="HS213" s="358" t="s">
        <v>175</v>
      </c>
      <c r="HT213" s="358"/>
      <c r="HU213" s="358"/>
      <c r="HV213" s="257"/>
      <c r="HW213" s="337"/>
      <c r="HX213" s="338"/>
    </row>
    <row r="214" spans="2:232" outlineLevel="1" x14ac:dyDescent="0.25">
      <c r="B214" s="32"/>
      <c r="C214" s="167"/>
      <c r="D214" s="167"/>
      <c r="E214" s="34"/>
      <c r="F214" s="168"/>
      <c r="G214" s="167"/>
      <c r="H214" s="55"/>
      <c r="I214" s="177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V214" s="107"/>
      <c r="W214" s="108"/>
      <c r="X214" s="108"/>
      <c r="Y214" s="108"/>
      <c r="Z214" s="108"/>
      <c r="AA214" s="108"/>
      <c r="AB214" s="108"/>
      <c r="AC214" s="109"/>
      <c r="AD214" s="169"/>
      <c r="AE214" s="365"/>
      <c r="AF214" s="365"/>
      <c r="AG214" s="365"/>
      <c r="AH214" s="30"/>
      <c r="AI214" s="340"/>
      <c r="AJ214" s="341"/>
      <c r="AK214" s="169"/>
      <c r="AL214" s="339"/>
      <c r="AM214" s="339"/>
      <c r="AN214" s="339"/>
      <c r="AO214" s="30"/>
      <c r="AP214" s="340"/>
      <c r="AQ214" s="341"/>
      <c r="AR214" s="169"/>
      <c r="AS214" s="339"/>
      <c r="AT214" s="339"/>
      <c r="AU214" s="339"/>
      <c r="AV214" s="30"/>
      <c r="AW214" s="340"/>
      <c r="AX214" s="341"/>
      <c r="AY214" s="169"/>
      <c r="AZ214" s="339"/>
      <c r="BA214" s="339"/>
      <c r="BB214" s="339"/>
      <c r="BC214" s="30"/>
      <c r="BD214" s="340"/>
      <c r="BE214" s="341"/>
      <c r="BF214" s="169"/>
      <c r="BG214" s="339"/>
      <c r="BH214" s="339"/>
      <c r="BI214" s="339"/>
      <c r="BJ214" s="30"/>
      <c r="BK214" s="340"/>
      <c r="BL214" s="341"/>
      <c r="BM214" s="169"/>
      <c r="BN214" s="339"/>
      <c r="BO214" s="339"/>
      <c r="BP214" s="339"/>
      <c r="BQ214" s="30"/>
      <c r="BR214" s="340"/>
      <c r="BS214" s="341"/>
      <c r="BT214" s="169"/>
      <c r="BU214" s="339"/>
      <c r="BV214" s="339"/>
      <c r="BW214" s="339"/>
      <c r="BX214" s="30"/>
      <c r="BY214" s="340"/>
      <c r="BZ214" s="341"/>
      <c r="CA214" s="169"/>
      <c r="CB214" s="339"/>
      <c r="CC214" s="339"/>
      <c r="CD214" s="339"/>
      <c r="CE214" s="30"/>
      <c r="CF214" s="340"/>
      <c r="CG214" s="341"/>
      <c r="CH214" s="169"/>
      <c r="CI214" s="339"/>
      <c r="CJ214" s="339"/>
      <c r="CK214" s="339"/>
      <c r="CL214" s="30"/>
      <c r="CM214" s="340"/>
      <c r="CN214" s="341"/>
      <c r="CO214" s="169"/>
      <c r="CP214" s="339"/>
      <c r="CQ214" s="339"/>
      <c r="CR214" s="339"/>
      <c r="CS214" s="30"/>
      <c r="CT214" s="340"/>
      <c r="CU214" s="341"/>
      <c r="CV214" s="169"/>
      <c r="CW214" s="339"/>
      <c r="CX214" s="339"/>
      <c r="CY214" s="339"/>
      <c r="CZ214" s="30"/>
      <c r="DA214" s="340"/>
      <c r="DB214" s="341"/>
      <c r="DC214" s="169"/>
      <c r="DD214" s="339"/>
      <c r="DE214" s="339"/>
      <c r="DF214" s="339"/>
      <c r="DG214" s="30"/>
      <c r="DH214" s="340"/>
      <c r="DI214" s="341"/>
      <c r="DJ214" s="169"/>
      <c r="DK214" s="339"/>
      <c r="DL214" s="339"/>
      <c r="DM214" s="339"/>
      <c r="DN214" s="30"/>
      <c r="DO214" s="340"/>
      <c r="DP214" s="341"/>
      <c r="DQ214" s="169"/>
      <c r="DR214" s="339"/>
      <c r="DS214" s="339"/>
      <c r="DT214" s="339"/>
      <c r="DU214" s="30"/>
      <c r="DV214" s="340"/>
      <c r="DW214" s="341"/>
      <c r="DX214" s="169"/>
      <c r="DY214" s="339"/>
      <c r="DZ214" s="339"/>
      <c r="EA214" s="339"/>
      <c r="EB214" s="30"/>
      <c r="EC214" s="340"/>
      <c r="ED214" s="341"/>
      <c r="EE214" s="169"/>
      <c r="EF214" s="339"/>
      <c r="EG214" s="339"/>
      <c r="EH214" s="339"/>
      <c r="EI214" s="30"/>
      <c r="EJ214" s="340"/>
      <c r="EK214" s="341"/>
      <c r="EL214" s="169"/>
      <c r="EM214" s="339"/>
      <c r="EN214" s="339"/>
      <c r="EO214" s="339"/>
      <c r="EP214" s="30"/>
      <c r="EQ214" s="340"/>
      <c r="ER214" s="341"/>
      <c r="ES214" s="169"/>
      <c r="ET214" s="339"/>
      <c r="EU214" s="339"/>
      <c r="EV214" s="339"/>
      <c r="EW214" s="30"/>
      <c r="EX214" s="340"/>
      <c r="EY214" s="341"/>
      <c r="EZ214" s="169"/>
      <c r="FA214" s="339"/>
      <c r="FB214" s="339"/>
      <c r="FC214" s="339"/>
      <c r="FD214" s="30"/>
      <c r="FE214" s="340"/>
      <c r="FF214" s="341"/>
      <c r="FG214" s="169"/>
      <c r="FH214" s="339"/>
      <c r="FI214" s="339"/>
      <c r="FJ214" s="339"/>
      <c r="FK214" s="30"/>
      <c r="FL214" s="340"/>
      <c r="FM214" s="341"/>
      <c r="FN214" s="169"/>
      <c r="FO214" s="339"/>
      <c r="FP214" s="339"/>
      <c r="FQ214" s="339"/>
      <c r="FR214" s="30"/>
      <c r="FS214" s="340"/>
      <c r="FT214" s="341"/>
      <c r="FU214" s="169"/>
      <c r="FV214" s="339"/>
      <c r="FW214" s="339"/>
      <c r="FX214" s="339"/>
      <c r="FY214" s="30"/>
      <c r="FZ214" s="340"/>
      <c r="GA214" s="341"/>
      <c r="GB214" s="169"/>
      <c r="GC214" s="339"/>
      <c r="GD214" s="339"/>
      <c r="GE214" s="339"/>
      <c r="GF214" s="30"/>
      <c r="GG214" s="340"/>
      <c r="GH214" s="341"/>
      <c r="GI214" s="169"/>
      <c r="GJ214" s="339"/>
      <c r="GK214" s="339"/>
      <c r="GL214" s="339"/>
      <c r="GM214" s="30"/>
      <c r="GN214" s="340"/>
      <c r="GO214" s="341"/>
      <c r="GP214" s="169"/>
      <c r="GQ214" s="339"/>
      <c r="GR214" s="339"/>
      <c r="GS214" s="339"/>
      <c r="GT214" s="30"/>
      <c r="GU214" s="340"/>
      <c r="GV214" s="341"/>
      <c r="GW214" s="169"/>
      <c r="GX214" s="339"/>
      <c r="GY214" s="339"/>
      <c r="GZ214" s="339"/>
      <c r="HA214" s="30"/>
      <c r="HB214" s="340"/>
      <c r="HC214" s="341"/>
      <c r="HD214" s="169"/>
      <c r="HE214" s="339"/>
      <c r="HF214" s="339"/>
      <c r="HG214" s="339"/>
      <c r="HH214" s="30"/>
      <c r="HI214" s="340"/>
      <c r="HJ214" s="341"/>
      <c r="HK214" s="169"/>
      <c r="HL214" s="339"/>
      <c r="HM214" s="339"/>
      <c r="HN214" s="339"/>
      <c r="HO214" s="30"/>
      <c r="HP214" s="340"/>
      <c r="HQ214" s="341"/>
      <c r="HR214" s="169"/>
      <c r="HS214" s="365"/>
      <c r="HT214" s="365"/>
      <c r="HU214" s="365"/>
      <c r="HV214" s="258"/>
      <c r="HW214" s="340"/>
      <c r="HX214" s="341"/>
    </row>
    <row r="215" spans="2:232" outlineLevel="1" x14ac:dyDescent="0.25">
      <c r="B215" s="147"/>
      <c r="C215" s="147"/>
      <c r="D215" s="147"/>
      <c r="E215" s="147"/>
      <c r="F215" s="157"/>
      <c r="G215" s="147"/>
      <c r="H215" s="157"/>
      <c r="I215" s="175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V215" s="150" t="s">
        <v>170</v>
      </c>
      <c r="W215" s="151"/>
      <c r="X215" s="151"/>
      <c r="Y215" s="151"/>
      <c r="Z215" s="151"/>
      <c r="AA215" s="151"/>
      <c r="AB215" s="369"/>
      <c r="AC215" s="370"/>
      <c r="AD215" s="342" t="s">
        <v>217</v>
      </c>
      <c r="AE215" s="343"/>
      <c r="AF215" s="343"/>
      <c r="AG215" s="343"/>
      <c r="AH215" s="343"/>
      <c r="AI215" s="152"/>
      <c r="AJ215" s="155">
        <f>COUNTA(AD220:AD221)</f>
        <v>1</v>
      </c>
      <c r="AK215" s="156"/>
      <c r="AL215" s="152"/>
      <c r="AM215" s="153"/>
      <c r="AN215" s="152"/>
      <c r="AO215" s="154"/>
      <c r="AP215" s="152"/>
      <c r="AQ215" s="155">
        <f>COUNTA(AK220:AK221)</f>
        <v>0</v>
      </c>
      <c r="AR215" s="156"/>
      <c r="AS215" s="152"/>
      <c r="AT215" s="153"/>
      <c r="AU215" s="152"/>
      <c r="AV215" s="154"/>
      <c r="AW215" s="152"/>
      <c r="AX215" s="155">
        <f>COUNTA(AR220:AR221)</f>
        <v>0</v>
      </c>
      <c r="AY215" s="156"/>
      <c r="AZ215" s="152"/>
      <c r="BA215" s="153"/>
      <c r="BB215" s="152"/>
      <c r="BC215" s="154"/>
      <c r="BD215" s="152"/>
      <c r="BE215" s="155">
        <f>COUNTA(AY220:AY221)</f>
        <v>0</v>
      </c>
      <c r="BF215" s="156"/>
      <c r="BG215" s="152"/>
      <c r="BH215" s="153"/>
      <c r="BI215" s="152"/>
      <c r="BJ215" s="154"/>
      <c r="BK215" s="152"/>
      <c r="BL215" s="155">
        <f>COUNTA(BF220:BF221)</f>
        <v>0</v>
      </c>
      <c r="BM215" s="156"/>
      <c r="BN215" s="152"/>
      <c r="BO215" s="153"/>
      <c r="BP215" s="152"/>
      <c r="BQ215" s="154"/>
      <c r="BR215" s="152"/>
      <c r="BS215" s="155">
        <f>COUNTA(BM220:BM221)</f>
        <v>0</v>
      </c>
      <c r="BT215" s="156"/>
      <c r="BU215" s="152"/>
      <c r="BV215" s="153"/>
      <c r="BW215" s="152"/>
      <c r="BX215" s="154"/>
      <c r="BY215" s="152"/>
      <c r="BZ215" s="155">
        <f>COUNTA(BT220:BT221)</f>
        <v>0</v>
      </c>
      <c r="CA215" s="156"/>
      <c r="CB215" s="152"/>
      <c r="CC215" s="153"/>
      <c r="CD215" s="152"/>
      <c r="CE215" s="154"/>
      <c r="CF215" s="152"/>
      <c r="CG215" s="155">
        <f>COUNTA(CA220:CA221)</f>
        <v>0</v>
      </c>
      <c r="CH215" s="156"/>
      <c r="CI215" s="152"/>
      <c r="CJ215" s="153"/>
      <c r="CK215" s="152"/>
      <c r="CL215" s="154"/>
      <c r="CM215" s="152"/>
      <c r="CN215" s="155">
        <f>COUNTA(CH220:CH221)</f>
        <v>0</v>
      </c>
      <c r="CO215" s="156"/>
      <c r="CP215" s="152"/>
      <c r="CQ215" s="153"/>
      <c r="CR215" s="152"/>
      <c r="CS215" s="154"/>
      <c r="CT215" s="152"/>
      <c r="CU215" s="155">
        <f>COUNTA(CO220:CO221)</f>
        <v>0</v>
      </c>
      <c r="CV215" s="156"/>
      <c r="CW215" s="152"/>
      <c r="CX215" s="153"/>
      <c r="CY215" s="152"/>
      <c r="CZ215" s="154"/>
      <c r="DA215" s="152"/>
      <c r="DB215" s="155">
        <f>COUNTA(CV220:CV221)</f>
        <v>0</v>
      </c>
      <c r="DC215" s="156"/>
      <c r="DD215" s="152"/>
      <c r="DE215" s="153"/>
      <c r="DF215" s="152"/>
      <c r="DG215" s="154"/>
      <c r="DH215" s="152"/>
      <c r="DI215" s="155">
        <f>COUNTA(DC220:DC221)</f>
        <v>0</v>
      </c>
      <c r="DJ215" s="156"/>
      <c r="DK215" s="152"/>
      <c r="DL215" s="153"/>
      <c r="DM215" s="152"/>
      <c r="DN215" s="154"/>
      <c r="DO215" s="152"/>
      <c r="DP215" s="155">
        <f>COUNTA(DJ220:DJ221)</f>
        <v>0</v>
      </c>
      <c r="DQ215" s="156"/>
      <c r="DR215" s="152"/>
      <c r="DS215" s="153"/>
      <c r="DT215" s="152"/>
      <c r="DU215" s="154"/>
      <c r="DV215" s="152"/>
      <c r="DW215" s="155">
        <f>COUNTA(DQ220:DQ221)</f>
        <v>0</v>
      </c>
      <c r="DX215" s="156"/>
      <c r="DY215" s="152"/>
      <c r="DZ215" s="153"/>
      <c r="EA215" s="152"/>
      <c r="EB215" s="154"/>
      <c r="EC215" s="152"/>
      <c r="ED215" s="155">
        <f>COUNTA(DX220:DX221)</f>
        <v>0</v>
      </c>
      <c r="EE215" s="156"/>
      <c r="EF215" s="152"/>
      <c r="EG215" s="153"/>
      <c r="EH215" s="152"/>
      <c r="EI215" s="154"/>
      <c r="EJ215" s="152"/>
      <c r="EK215" s="155">
        <f>COUNTA(EE220:EE221)</f>
        <v>0</v>
      </c>
      <c r="EL215" s="156"/>
      <c r="EM215" s="152"/>
      <c r="EN215" s="153"/>
      <c r="EO215" s="152"/>
      <c r="EP215" s="154"/>
      <c r="EQ215" s="152"/>
      <c r="ER215" s="155">
        <f>COUNTA(EL220:EL221)</f>
        <v>0</v>
      </c>
      <c r="ES215" s="156"/>
      <c r="ET215" s="152"/>
      <c r="EU215" s="153"/>
      <c r="EV215" s="152"/>
      <c r="EW215" s="154"/>
      <c r="EX215" s="152"/>
      <c r="EY215" s="155">
        <f>COUNTA(ES220:ES221)</f>
        <v>0</v>
      </c>
      <c r="EZ215" s="156"/>
      <c r="FA215" s="152"/>
      <c r="FB215" s="153"/>
      <c r="FC215" s="152"/>
      <c r="FD215" s="154"/>
      <c r="FE215" s="152"/>
      <c r="FF215" s="155">
        <f>COUNTA(EZ220:EZ221)</f>
        <v>0</v>
      </c>
      <c r="FG215" s="156"/>
      <c r="FH215" s="152"/>
      <c r="FI215" s="153"/>
      <c r="FJ215" s="152"/>
      <c r="FK215" s="154"/>
      <c r="FL215" s="152"/>
      <c r="FM215" s="155">
        <f>COUNTA(FG220:FG221)</f>
        <v>0</v>
      </c>
      <c r="FN215" s="156"/>
      <c r="FO215" s="152"/>
      <c r="FP215" s="153"/>
      <c r="FQ215" s="152"/>
      <c r="FR215" s="154"/>
      <c r="FS215" s="152"/>
      <c r="FT215" s="155">
        <f>COUNTA(FN220:FN221)</f>
        <v>0</v>
      </c>
      <c r="FU215" s="156"/>
      <c r="FV215" s="152"/>
      <c r="FW215" s="153"/>
      <c r="FX215" s="152"/>
      <c r="FY215" s="154"/>
      <c r="FZ215" s="152"/>
      <c r="GA215" s="155">
        <f>COUNTA(FU220:FU221)</f>
        <v>0</v>
      </c>
      <c r="GB215" s="156"/>
      <c r="GC215" s="152"/>
      <c r="GD215" s="153"/>
      <c r="GE215" s="152"/>
      <c r="GF215" s="154"/>
      <c r="GG215" s="152"/>
      <c r="GH215" s="155">
        <f>COUNTA(GB220:GB221)</f>
        <v>0</v>
      </c>
      <c r="GI215" s="156"/>
      <c r="GJ215" s="152"/>
      <c r="GK215" s="153"/>
      <c r="GL215" s="152"/>
      <c r="GM215" s="154"/>
      <c r="GN215" s="152"/>
      <c r="GO215" s="155">
        <f>COUNTA(GI220:GI221)</f>
        <v>0</v>
      </c>
      <c r="GP215" s="156"/>
      <c r="GQ215" s="152"/>
      <c r="GR215" s="153"/>
      <c r="GS215" s="152"/>
      <c r="GT215" s="154"/>
      <c r="GU215" s="152"/>
      <c r="GV215" s="155">
        <f>COUNTA(GP220:GP221)</f>
        <v>0</v>
      </c>
      <c r="GW215" s="156"/>
      <c r="GX215" s="152"/>
      <c r="GY215" s="153"/>
      <c r="GZ215" s="152"/>
      <c r="HA215" s="154"/>
      <c r="HB215" s="152"/>
      <c r="HC215" s="155">
        <f>COUNTA(GW220:GW221)</f>
        <v>0</v>
      </c>
      <c r="HD215" s="156"/>
      <c r="HE215" s="152"/>
      <c r="HF215" s="153"/>
      <c r="HG215" s="152"/>
      <c r="HH215" s="154"/>
      <c r="HI215" s="152"/>
      <c r="HJ215" s="155">
        <f>COUNTA(HD220:HD221)</f>
        <v>0</v>
      </c>
      <c r="HK215" s="156"/>
      <c r="HL215" s="152"/>
      <c r="HM215" s="153"/>
      <c r="HN215" s="152"/>
      <c r="HO215" s="154"/>
      <c r="HP215" s="152"/>
      <c r="HQ215" s="155">
        <f>COUNTA(HK220:HK221)</f>
        <v>0</v>
      </c>
      <c r="HR215" s="342" t="s">
        <v>217</v>
      </c>
      <c r="HS215" s="343"/>
      <c r="HT215" s="343"/>
      <c r="HU215" s="343"/>
      <c r="HV215" s="343"/>
      <c r="HW215" s="152"/>
      <c r="HX215" s="155">
        <f>COUNTA(HR220:HR221)</f>
        <v>1</v>
      </c>
    </row>
    <row r="216" spans="2:232" ht="15" customHeight="1" outlineLevel="1" x14ac:dyDescent="0.25">
      <c r="B216" s="147"/>
      <c r="C216" s="147"/>
      <c r="D216" s="147"/>
      <c r="E216" s="147"/>
      <c r="F216" s="157"/>
      <c r="G216" s="147"/>
      <c r="H216" s="157"/>
      <c r="I216" s="175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V216" s="185" t="s">
        <v>224</v>
      </c>
      <c r="W216" s="186"/>
      <c r="X216" s="186"/>
      <c r="Y216" s="186"/>
      <c r="Z216" s="186"/>
      <c r="AA216" s="186"/>
      <c r="AB216" s="187"/>
      <c r="AC216" s="188"/>
      <c r="AD216" s="344" t="s">
        <v>533</v>
      </c>
      <c r="AE216" s="345"/>
      <c r="AF216" s="345"/>
      <c r="AG216" s="181" t="s">
        <v>75</v>
      </c>
      <c r="AH216" s="346" t="s">
        <v>312</v>
      </c>
      <c r="AI216" s="346"/>
      <c r="AJ216" s="349"/>
      <c r="AK216" s="180"/>
      <c r="AL216" s="181"/>
      <c r="AM216" s="182"/>
      <c r="AN216" s="181"/>
      <c r="AO216" s="183"/>
      <c r="AP216" s="181"/>
      <c r="AQ216" s="184"/>
      <c r="AR216" s="180"/>
      <c r="AS216" s="181"/>
      <c r="AT216" s="182"/>
      <c r="AU216" s="181"/>
      <c r="AV216" s="183"/>
      <c r="AW216" s="181"/>
      <c r="AX216" s="184"/>
      <c r="AY216" s="180"/>
      <c r="AZ216" s="181"/>
      <c r="BA216" s="182"/>
      <c r="BB216" s="181"/>
      <c r="BC216" s="183"/>
      <c r="BD216" s="181"/>
      <c r="BE216" s="184"/>
      <c r="BF216" s="180"/>
      <c r="BG216" s="181"/>
      <c r="BH216" s="182"/>
      <c r="BI216" s="181"/>
      <c r="BJ216" s="183"/>
      <c r="BK216" s="181"/>
      <c r="BL216" s="184"/>
      <c r="BM216" s="180"/>
      <c r="BN216" s="181"/>
      <c r="BO216" s="182"/>
      <c r="BP216" s="181"/>
      <c r="BQ216" s="183"/>
      <c r="BR216" s="181"/>
      <c r="BS216" s="184"/>
      <c r="BT216" s="180"/>
      <c r="BU216" s="181"/>
      <c r="BV216" s="182"/>
      <c r="BW216" s="181"/>
      <c r="BX216" s="183"/>
      <c r="BY216" s="181"/>
      <c r="BZ216" s="184"/>
      <c r="CA216" s="180"/>
      <c r="CB216" s="181"/>
      <c r="CC216" s="182"/>
      <c r="CD216" s="181"/>
      <c r="CE216" s="183"/>
      <c r="CF216" s="181"/>
      <c r="CG216" s="184"/>
      <c r="CH216" s="180"/>
      <c r="CI216" s="181"/>
      <c r="CJ216" s="182"/>
      <c r="CK216" s="181"/>
      <c r="CL216" s="183"/>
      <c r="CM216" s="181"/>
      <c r="CN216" s="184"/>
      <c r="CO216" s="180"/>
      <c r="CP216" s="181"/>
      <c r="CQ216" s="182"/>
      <c r="CR216" s="181"/>
      <c r="CS216" s="183"/>
      <c r="CT216" s="181"/>
      <c r="CU216" s="184"/>
      <c r="CV216" s="180"/>
      <c r="CW216" s="181"/>
      <c r="CX216" s="182"/>
      <c r="CY216" s="181"/>
      <c r="CZ216" s="183"/>
      <c r="DA216" s="181"/>
      <c r="DB216" s="184"/>
      <c r="DC216" s="180"/>
      <c r="DD216" s="181"/>
      <c r="DE216" s="182"/>
      <c r="DF216" s="181"/>
      <c r="DG216" s="183"/>
      <c r="DH216" s="181"/>
      <c r="DI216" s="184"/>
      <c r="DJ216" s="180"/>
      <c r="DK216" s="181"/>
      <c r="DL216" s="182"/>
      <c r="DM216" s="181"/>
      <c r="DN216" s="183"/>
      <c r="DO216" s="181"/>
      <c r="DP216" s="184"/>
      <c r="DQ216" s="180"/>
      <c r="DR216" s="181"/>
      <c r="DS216" s="182"/>
      <c r="DT216" s="181"/>
      <c r="DU216" s="183"/>
      <c r="DV216" s="181"/>
      <c r="DW216" s="184"/>
      <c r="DX216" s="180"/>
      <c r="DY216" s="181"/>
      <c r="DZ216" s="182"/>
      <c r="EA216" s="181"/>
      <c r="EB216" s="183"/>
      <c r="EC216" s="181"/>
      <c r="ED216" s="184"/>
      <c r="EE216" s="180"/>
      <c r="EF216" s="181"/>
      <c r="EG216" s="182"/>
      <c r="EH216" s="181"/>
      <c r="EI216" s="183"/>
      <c r="EJ216" s="181"/>
      <c r="EK216" s="184"/>
      <c r="EL216" s="180"/>
      <c r="EM216" s="181"/>
      <c r="EN216" s="182"/>
      <c r="EO216" s="181"/>
      <c r="EP216" s="183"/>
      <c r="EQ216" s="181"/>
      <c r="ER216" s="184"/>
      <c r="ES216" s="180"/>
      <c r="ET216" s="181"/>
      <c r="EU216" s="182"/>
      <c r="EV216" s="181"/>
      <c r="EW216" s="183"/>
      <c r="EX216" s="181"/>
      <c r="EY216" s="184"/>
      <c r="EZ216" s="180"/>
      <c r="FA216" s="181"/>
      <c r="FB216" s="182"/>
      <c r="FC216" s="181"/>
      <c r="FD216" s="183"/>
      <c r="FE216" s="181"/>
      <c r="FF216" s="184"/>
      <c r="FG216" s="180"/>
      <c r="FH216" s="181"/>
      <c r="FI216" s="182"/>
      <c r="FJ216" s="181"/>
      <c r="FK216" s="183"/>
      <c r="FL216" s="181"/>
      <c r="FM216" s="184"/>
      <c r="FN216" s="180"/>
      <c r="FO216" s="181"/>
      <c r="FP216" s="182"/>
      <c r="FQ216" s="181"/>
      <c r="FR216" s="183"/>
      <c r="FS216" s="181"/>
      <c r="FT216" s="184"/>
      <c r="FU216" s="180"/>
      <c r="FV216" s="181"/>
      <c r="FW216" s="182"/>
      <c r="FX216" s="181"/>
      <c r="FY216" s="183"/>
      <c r="FZ216" s="181"/>
      <c r="GA216" s="184"/>
      <c r="GB216" s="180"/>
      <c r="GC216" s="181"/>
      <c r="GD216" s="182"/>
      <c r="GE216" s="181"/>
      <c r="GF216" s="183"/>
      <c r="GG216" s="181"/>
      <c r="GH216" s="184"/>
      <c r="GI216" s="180"/>
      <c r="GJ216" s="181"/>
      <c r="GK216" s="182"/>
      <c r="GL216" s="181"/>
      <c r="GM216" s="183"/>
      <c r="GN216" s="181"/>
      <c r="GO216" s="184"/>
      <c r="GP216" s="180"/>
      <c r="GQ216" s="181"/>
      <c r="GR216" s="182"/>
      <c r="GS216" s="181"/>
      <c r="GT216" s="183"/>
      <c r="GU216" s="181"/>
      <c r="GV216" s="184"/>
      <c r="GW216" s="180"/>
      <c r="GX216" s="181"/>
      <c r="GY216" s="182"/>
      <c r="GZ216" s="181"/>
      <c r="HA216" s="183"/>
      <c r="HB216" s="181"/>
      <c r="HC216" s="184"/>
      <c r="HD216" s="180"/>
      <c r="HE216" s="181"/>
      <c r="HF216" s="182"/>
      <c r="HG216" s="181"/>
      <c r="HH216" s="183"/>
      <c r="HI216" s="181"/>
      <c r="HJ216" s="184"/>
      <c r="HK216" s="180"/>
      <c r="HL216" s="181"/>
      <c r="HM216" s="182"/>
      <c r="HN216" s="181"/>
      <c r="HO216" s="183"/>
      <c r="HP216" s="181"/>
      <c r="HQ216" s="184"/>
      <c r="HR216" s="344" t="s">
        <v>533</v>
      </c>
      <c r="HS216" s="345"/>
      <c r="HT216" s="345"/>
      <c r="HU216" s="181" t="s">
        <v>75</v>
      </c>
      <c r="HV216" s="376" t="s">
        <v>312</v>
      </c>
      <c r="HW216" s="376"/>
      <c r="HX216" s="377"/>
    </row>
    <row r="217" spans="2:232" outlineLevel="1" x14ac:dyDescent="0.25">
      <c r="B217" s="147"/>
      <c r="C217" s="147"/>
      <c r="D217" s="147"/>
      <c r="E217" s="147"/>
      <c r="F217" s="157"/>
      <c r="G217" s="147"/>
      <c r="H217" s="157"/>
      <c r="I217" s="175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V217" s="161" t="s">
        <v>199</v>
      </c>
      <c r="W217" s="12"/>
      <c r="X217" s="12"/>
      <c r="Y217" s="12"/>
      <c r="Z217" s="12"/>
      <c r="AA217" s="12"/>
      <c r="AB217" s="12"/>
      <c r="AC217" s="14"/>
      <c r="AD217" s="350" t="s">
        <v>22</v>
      </c>
      <c r="AE217" s="337"/>
      <c r="AF217" s="337"/>
      <c r="AG217" s="1" t="s">
        <v>57</v>
      </c>
      <c r="AH217" s="337" t="s">
        <v>218</v>
      </c>
      <c r="AI217" s="337"/>
      <c r="AJ217" s="338"/>
      <c r="AK217" s="350"/>
      <c r="AL217" s="337"/>
      <c r="AM217" s="337"/>
      <c r="AO217" s="337"/>
      <c r="AP217" s="337"/>
      <c r="AQ217" s="338"/>
      <c r="AR217" s="350"/>
      <c r="AS217" s="337"/>
      <c r="AT217" s="337"/>
      <c r="AV217" s="337"/>
      <c r="AW217" s="337"/>
      <c r="AX217" s="338"/>
      <c r="AY217" s="350"/>
      <c r="AZ217" s="337"/>
      <c r="BA217" s="337"/>
      <c r="BC217" s="337"/>
      <c r="BD217" s="337"/>
      <c r="BE217" s="338"/>
      <c r="BF217" s="350"/>
      <c r="BG217" s="337"/>
      <c r="BH217" s="337"/>
      <c r="BJ217" s="337"/>
      <c r="BK217" s="337"/>
      <c r="BL217" s="338"/>
      <c r="BM217" s="350"/>
      <c r="BN217" s="337"/>
      <c r="BO217" s="337"/>
      <c r="BQ217" s="337"/>
      <c r="BR217" s="337"/>
      <c r="BS217" s="338"/>
      <c r="BT217" s="350"/>
      <c r="BU217" s="337"/>
      <c r="BV217" s="337"/>
      <c r="BX217" s="337"/>
      <c r="BY217" s="337"/>
      <c r="BZ217" s="338"/>
      <c r="CA217" s="350"/>
      <c r="CB217" s="337"/>
      <c r="CC217" s="337"/>
      <c r="CE217" s="337"/>
      <c r="CF217" s="337"/>
      <c r="CG217" s="338"/>
      <c r="CH217" s="350"/>
      <c r="CI217" s="337"/>
      <c r="CJ217" s="337"/>
      <c r="CL217" s="337"/>
      <c r="CM217" s="337"/>
      <c r="CN217" s="338"/>
      <c r="CO217" s="350"/>
      <c r="CP217" s="337"/>
      <c r="CQ217" s="337"/>
      <c r="CS217" s="337"/>
      <c r="CT217" s="337"/>
      <c r="CU217" s="338"/>
      <c r="CV217" s="350"/>
      <c r="CW217" s="337"/>
      <c r="CX217" s="337"/>
      <c r="CZ217" s="337"/>
      <c r="DA217" s="337"/>
      <c r="DB217" s="338"/>
      <c r="DC217" s="350"/>
      <c r="DD217" s="337"/>
      <c r="DE217" s="337"/>
      <c r="DG217" s="337"/>
      <c r="DH217" s="337"/>
      <c r="DI217" s="338"/>
      <c r="DJ217" s="350"/>
      <c r="DK217" s="337"/>
      <c r="DL217" s="337"/>
      <c r="DN217" s="337"/>
      <c r="DO217" s="337"/>
      <c r="DP217" s="338"/>
      <c r="DQ217" s="350"/>
      <c r="DR217" s="337"/>
      <c r="DS217" s="337"/>
      <c r="DU217" s="337"/>
      <c r="DV217" s="337"/>
      <c r="DW217" s="338"/>
      <c r="DX217" s="350"/>
      <c r="DY217" s="337"/>
      <c r="DZ217" s="337"/>
      <c r="EB217" s="337"/>
      <c r="EC217" s="337"/>
      <c r="ED217" s="338"/>
      <c r="EE217" s="350"/>
      <c r="EF217" s="337"/>
      <c r="EG217" s="337"/>
      <c r="EI217" s="337"/>
      <c r="EJ217" s="337"/>
      <c r="EK217" s="338"/>
      <c r="EL217" s="350"/>
      <c r="EM217" s="337"/>
      <c r="EN217" s="337"/>
      <c r="EP217" s="337"/>
      <c r="EQ217" s="337"/>
      <c r="ER217" s="338"/>
      <c r="ES217" s="350"/>
      <c r="ET217" s="337"/>
      <c r="EU217" s="337"/>
      <c r="EW217" s="337"/>
      <c r="EX217" s="337"/>
      <c r="EY217" s="338"/>
      <c r="EZ217" s="350"/>
      <c r="FA217" s="337"/>
      <c r="FB217" s="337"/>
      <c r="FD217" s="337"/>
      <c r="FE217" s="337"/>
      <c r="FF217" s="338"/>
      <c r="FG217" s="350"/>
      <c r="FH217" s="337"/>
      <c r="FI217" s="337"/>
      <c r="FK217" s="337"/>
      <c r="FL217" s="337"/>
      <c r="FM217" s="338"/>
      <c r="FN217" s="350"/>
      <c r="FO217" s="337"/>
      <c r="FP217" s="337"/>
      <c r="FR217" s="337"/>
      <c r="FS217" s="337"/>
      <c r="FT217" s="338"/>
      <c r="FU217" s="350"/>
      <c r="FV217" s="337"/>
      <c r="FW217" s="337"/>
      <c r="FY217" s="337"/>
      <c r="FZ217" s="337"/>
      <c r="GA217" s="338"/>
      <c r="GB217" s="350"/>
      <c r="GC217" s="337"/>
      <c r="GD217" s="337"/>
      <c r="GF217" s="337"/>
      <c r="GG217" s="337"/>
      <c r="GH217" s="338"/>
      <c r="GI217" s="350"/>
      <c r="GJ217" s="337"/>
      <c r="GK217" s="337"/>
      <c r="GM217" s="337"/>
      <c r="GN217" s="337"/>
      <c r="GO217" s="338"/>
      <c r="GP217" s="350"/>
      <c r="GQ217" s="337"/>
      <c r="GR217" s="337"/>
      <c r="GT217" s="337"/>
      <c r="GU217" s="337"/>
      <c r="GV217" s="338"/>
      <c r="GW217" s="350"/>
      <c r="GX217" s="337"/>
      <c r="GY217" s="337"/>
      <c r="HA217" s="337"/>
      <c r="HB217" s="337"/>
      <c r="HC217" s="338"/>
      <c r="HD217" s="350"/>
      <c r="HE217" s="337"/>
      <c r="HF217" s="337"/>
      <c r="HH217" s="337"/>
      <c r="HI217" s="337"/>
      <c r="HJ217" s="338"/>
      <c r="HK217" s="350"/>
      <c r="HL217" s="337"/>
      <c r="HM217" s="337"/>
      <c r="HO217" s="337"/>
      <c r="HP217" s="337"/>
      <c r="HQ217" s="338"/>
      <c r="HR217" s="350" t="s">
        <v>218</v>
      </c>
      <c r="HS217" s="337"/>
      <c r="HT217" s="337"/>
      <c r="HU217" s="191"/>
      <c r="HV217" s="337"/>
      <c r="HW217" s="337"/>
      <c r="HX217" s="338"/>
    </row>
    <row r="218" spans="2:232" outlineLevel="1" x14ac:dyDescent="0.25">
      <c r="B218" s="147"/>
      <c r="C218" s="147"/>
      <c r="D218" s="147"/>
      <c r="E218" s="147"/>
      <c r="F218" s="157"/>
      <c r="G218" s="147"/>
      <c r="H218" s="157"/>
      <c r="I218" s="175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V218" s="161" t="s">
        <v>200</v>
      </c>
      <c r="W218" s="12"/>
      <c r="X218" s="12"/>
      <c r="Y218" s="12"/>
      <c r="Z218" s="12"/>
      <c r="AA218" s="12"/>
      <c r="AB218" s="12"/>
      <c r="AC218" s="14"/>
      <c r="AD218" s="352" t="s">
        <v>22</v>
      </c>
      <c r="AE218" s="353"/>
      <c r="AF218" s="353"/>
      <c r="AG218" s="1" t="s">
        <v>57</v>
      </c>
      <c r="AH218" s="353" t="s">
        <v>219</v>
      </c>
      <c r="AI218" s="353"/>
      <c r="AJ218" s="355"/>
      <c r="AK218" s="352"/>
      <c r="AL218" s="353"/>
      <c r="AM218" s="353"/>
      <c r="AO218" s="353"/>
      <c r="AP218" s="353"/>
      <c r="AQ218" s="355"/>
      <c r="AR218" s="352"/>
      <c r="AS218" s="353"/>
      <c r="AT218" s="353"/>
      <c r="AV218" s="353"/>
      <c r="AW218" s="353"/>
      <c r="AX218" s="355"/>
      <c r="AY218" s="352"/>
      <c r="AZ218" s="353"/>
      <c r="BA218" s="353"/>
      <c r="BC218" s="353"/>
      <c r="BD218" s="353"/>
      <c r="BE218" s="355"/>
      <c r="BF218" s="352"/>
      <c r="BG218" s="353"/>
      <c r="BH218" s="353"/>
      <c r="BJ218" s="353"/>
      <c r="BK218" s="353"/>
      <c r="BL218" s="355"/>
      <c r="BM218" s="352"/>
      <c r="BN218" s="353"/>
      <c r="BO218" s="353"/>
      <c r="BQ218" s="353"/>
      <c r="BR218" s="353"/>
      <c r="BS218" s="355"/>
      <c r="BT218" s="352"/>
      <c r="BU218" s="353"/>
      <c r="BV218" s="353"/>
      <c r="BX218" s="353"/>
      <c r="BY218" s="353"/>
      <c r="BZ218" s="355"/>
      <c r="CA218" s="352"/>
      <c r="CB218" s="353"/>
      <c r="CC218" s="353"/>
      <c r="CE218" s="353"/>
      <c r="CF218" s="353"/>
      <c r="CG218" s="355"/>
      <c r="CH218" s="352"/>
      <c r="CI218" s="353"/>
      <c r="CJ218" s="353"/>
      <c r="CL218" s="353"/>
      <c r="CM218" s="353"/>
      <c r="CN218" s="355"/>
      <c r="CO218" s="352"/>
      <c r="CP218" s="353"/>
      <c r="CQ218" s="353"/>
      <c r="CS218" s="353"/>
      <c r="CT218" s="353"/>
      <c r="CU218" s="355"/>
      <c r="CV218" s="352"/>
      <c r="CW218" s="353"/>
      <c r="CX218" s="353"/>
      <c r="CZ218" s="353"/>
      <c r="DA218" s="353"/>
      <c r="DB218" s="355"/>
      <c r="DC218" s="352"/>
      <c r="DD218" s="353"/>
      <c r="DE218" s="353"/>
      <c r="DG218" s="353"/>
      <c r="DH218" s="353"/>
      <c r="DI218" s="355"/>
      <c r="DJ218" s="352"/>
      <c r="DK218" s="353"/>
      <c r="DL218" s="353"/>
      <c r="DN218" s="353"/>
      <c r="DO218" s="353"/>
      <c r="DP218" s="355"/>
      <c r="DQ218" s="352"/>
      <c r="DR218" s="353"/>
      <c r="DS218" s="353"/>
      <c r="DU218" s="353"/>
      <c r="DV218" s="353"/>
      <c r="DW218" s="355"/>
      <c r="DX218" s="352"/>
      <c r="DY218" s="353"/>
      <c r="DZ218" s="353"/>
      <c r="EB218" s="353"/>
      <c r="EC218" s="353"/>
      <c r="ED218" s="355"/>
      <c r="EE218" s="352"/>
      <c r="EF218" s="353"/>
      <c r="EG218" s="353"/>
      <c r="EI218" s="353"/>
      <c r="EJ218" s="353"/>
      <c r="EK218" s="355"/>
      <c r="EL218" s="352"/>
      <c r="EM218" s="353"/>
      <c r="EN218" s="353"/>
      <c r="EP218" s="353"/>
      <c r="EQ218" s="353"/>
      <c r="ER218" s="355"/>
      <c r="ES218" s="352"/>
      <c r="ET218" s="353"/>
      <c r="EU218" s="353"/>
      <c r="EW218" s="353"/>
      <c r="EX218" s="353"/>
      <c r="EY218" s="355"/>
      <c r="EZ218" s="352"/>
      <c r="FA218" s="353"/>
      <c r="FB218" s="353"/>
      <c r="FD218" s="353"/>
      <c r="FE218" s="353"/>
      <c r="FF218" s="355"/>
      <c r="FG218" s="352"/>
      <c r="FH218" s="353"/>
      <c r="FI218" s="353"/>
      <c r="FK218" s="353"/>
      <c r="FL218" s="353"/>
      <c r="FM218" s="355"/>
      <c r="FN218" s="352"/>
      <c r="FO218" s="353"/>
      <c r="FP218" s="353"/>
      <c r="FR218" s="353"/>
      <c r="FS218" s="353"/>
      <c r="FT218" s="355"/>
      <c r="FU218" s="352"/>
      <c r="FV218" s="353"/>
      <c r="FW218" s="353"/>
      <c r="FY218" s="353"/>
      <c r="FZ218" s="353"/>
      <c r="GA218" s="355"/>
      <c r="GB218" s="352"/>
      <c r="GC218" s="353"/>
      <c r="GD218" s="353"/>
      <c r="GF218" s="353"/>
      <c r="GG218" s="353"/>
      <c r="GH218" s="355"/>
      <c r="GI218" s="352"/>
      <c r="GJ218" s="353"/>
      <c r="GK218" s="353"/>
      <c r="GM218" s="353"/>
      <c r="GN218" s="353"/>
      <c r="GO218" s="355"/>
      <c r="GP218" s="352"/>
      <c r="GQ218" s="353"/>
      <c r="GR218" s="353"/>
      <c r="GT218" s="353"/>
      <c r="GU218" s="353"/>
      <c r="GV218" s="355"/>
      <c r="GW218" s="352"/>
      <c r="GX218" s="353"/>
      <c r="GY218" s="353"/>
      <c r="HA218" s="353"/>
      <c r="HB218" s="353"/>
      <c r="HC218" s="355"/>
      <c r="HD218" s="352"/>
      <c r="HE218" s="353"/>
      <c r="HF218" s="353"/>
      <c r="HH218" s="353"/>
      <c r="HI218" s="353"/>
      <c r="HJ218" s="355"/>
      <c r="HK218" s="352"/>
      <c r="HL218" s="353"/>
      <c r="HM218" s="353"/>
      <c r="HO218" s="353"/>
      <c r="HP218" s="353"/>
      <c r="HQ218" s="355"/>
      <c r="HR218" s="352" t="s">
        <v>219</v>
      </c>
      <c r="HS218" s="353"/>
      <c r="HT218" s="353"/>
      <c r="HV218" s="353"/>
      <c r="HW218" s="353"/>
      <c r="HX218" s="355"/>
    </row>
    <row r="219" spans="2:232" outlineLevel="1" x14ac:dyDescent="0.25">
      <c r="B219" s="147"/>
      <c r="C219" s="147"/>
      <c r="D219" s="147"/>
      <c r="E219" s="147"/>
      <c r="F219" s="157"/>
      <c r="G219" s="147"/>
      <c r="H219" s="157"/>
      <c r="I219" s="175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V219" s="162"/>
      <c r="W219" s="159"/>
      <c r="X219" s="159"/>
      <c r="Y219" s="159"/>
      <c r="Z219" s="159"/>
      <c r="AA219" s="159"/>
      <c r="AB219" s="159"/>
      <c r="AC219" s="160"/>
      <c r="AD219" s="361"/>
      <c r="AE219" s="356"/>
      <c r="AF219" s="356"/>
      <c r="AG219" s="163"/>
      <c r="AH219" s="356"/>
      <c r="AI219" s="356"/>
      <c r="AJ219" s="357"/>
      <c r="AK219" s="361"/>
      <c r="AL219" s="356"/>
      <c r="AM219" s="356"/>
      <c r="AN219" s="163"/>
      <c r="AO219" s="356"/>
      <c r="AP219" s="356"/>
      <c r="AQ219" s="357"/>
      <c r="AR219" s="361"/>
      <c r="AS219" s="356"/>
      <c r="AT219" s="356"/>
      <c r="AU219" s="163"/>
      <c r="AV219" s="356"/>
      <c r="AW219" s="356"/>
      <c r="AX219" s="357"/>
      <c r="AY219" s="361"/>
      <c r="AZ219" s="356"/>
      <c r="BA219" s="356"/>
      <c r="BB219" s="163"/>
      <c r="BC219" s="356"/>
      <c r="BD219" s="356"/>
      <c r="BE219" s="357"/>
      <c r="BF219" s="361"/>
      <c r="BG219" s="356"/>
      <c r="BH219" s="356"/>
      <c r="BI219" s="163"/>
      <c r="BJ219" s="356"/>
      <c r="BK219" s="356"/>
      <c r="BL219" s="357"/>
      <c r="BM219" s="361"/>
      <c r="BN219" s="356"/>
      <c r="BO219" s="356"/>
      <c r="BP219" s="163"/>
      <c r="BQ219" s="356"/>
      <c r="BR219" s="356"/>
      <c r="BS219" s="357"/>
      <c r="BT219" s="361"/>
      <c r="BU219" s="356"/>
      <c r="BV219" s="356"/>
      <c r="BW219" s="163"/>
      <c r="BX219" s="356"/>
      <c r="BY219" s="356"/>
      <c r="BZ219" s="357"/>
      <c r="CA219" s="361"/>
      <c r="CB219" s="356"/>
      <c r="CC219" s="356"/>
      <c r="CD219" s="163"/>
      <c r="CE219" s="356"/>
      <c r="CF219" s="356"/>
      <c r="CG219" s="357"/>
      <c r="CH219" s="361"/>
      <c r="CI219" s="356"/>
      <c r="CJ219" s="356"/>
      <c r="CK219" s="163"/>
      <c r="CL219" s="356"/>
      <c r="CM219" s="356"/>
      <c r="CN219" s="357"/>
      <c r="CO219" s="361"/>
      <c r="CP219" s="356"/>
      <c r="CQ219" s="356"/>
      <c r="CR219" s="163"/>
      <c r="CS219" s="356"/>
      <c r="CT219" s="356"/>
      <c r="CU219" s="357"/>
      <c r="CV219" s="361"/>
      <c r="CW219" s="356"/>
      <c r="CX219" s="356"/>
      <c r="CY219" s="163"/>
      <c r="CZ219" s="356"/>
      <c r="DA219" s="356"/>
      <c r="DB219" s="357"/>
      <c r="DC219" s="361"/>
      <c r="DD219" s="356"/>
      <c r="DE219" s="356"/>
      <c r="DF219" s="163"/>
      <c r="DG219" s="356"/>
      <c r="DH219" s="356"/>
      <c r="DI219" s="357"/>
      <c r="DJ219" s="361"/>
      <c r="DK219" s="356"/>
      <c r="DL219" s="356"/>
      <c r="DM219" s="163"/>
      <c r="DN219" s="356"/>
      <c r="DO219" s="356"/>
      <c r="DP219" s="357"/>
      <c r="DQ219" s="361"/>
      <c r="DR219" s="356"/>
      <c r="DS219" s="356"/>
      <c r="DT219" s="163"/>
      <c r="DU219" s="356"/>
      <c r="DV219" s="356"/>
      <c r="DW219" s="357"/>
      <c r="DX219" s="361"/>
      <c r="DY219" s="356"/>
      <c r="DZ219" s="356"/>
      <c r="EA219" s="163"/>
      <c r="EB219" s="356"/>
      <c r="EC219" s="356"/>
      <c r="ED219" s="357"/>
      <c r="EE219" s="361"/>
      <c r="EF219" s="356"/>
      <c r="EG219" s="356"/>
      <c r="EH219" s="163"/>
      <c r="EI219" s="356"/>
      <c r="EJ219" s="356"/>
      <c r="EK219" s="357"/>
      <c r="EL219" s="361"/>
      <c r="EM219" s="356"/>
      <c r="EN219" s="356"/>
      <c r="EO219" s="163"/>
      <c r="EP219" s="356"/>
      <c r="EQ219" s="356"/>
      <c r="ER219" s="357"/>
      <c r="ES219" s="361"/>
      <c r="ET219" s="356"/>
      <c r="EU219" s="356"/>
      <c r="EV219" s="163"/>
      <c r="EW219" s="356"/>
      <c r="EX219" s="356"/>
      <c r="EY219" s="357"/>
      <c r="EZ219" s="361"/>
      <c r="FA219" s="356"/>
      <c r="FB219" s="356"/>
      <c r="FC219" s="163"/>
      <c r="FD219" s="356"/>
      <c r="FE219" s="356"/>
      <c r="FF219" s="357"/>
      <c r="FG219" s="361"/>
      <c r="FH219" s="356"/>
      <c r="FI219" s="356"/>
      <c r="FJ219" s="163"/>
      <c r="FK219" s="356"/>
      <c r="FL219" s="356"/>
      <c r="FM219" s="357"/>
      <c r="FN219" s="361"/>
      <c r="FO219" s="356"/>
      <c r="FP219" s="356"/>
      <c r="FQ219" s="163"/>
      <c r="FR219" s="356"/>
      <c r="FS219" s="356"/>
      <c r="FT219" s="357"/>
      <c r="FU219" s="361"/>
      <c r="FV219" s="356"/>
      <c r="FW219" s="356"/>
      <c r="FX219" s="163"/>
      <c r="FY219" s="356"/>
      <c r="FZ219" s="356"/>
      <c r="GA219" s="357"/>
      <c r="GB219" s="361"/>
      <c r="GC219" s="356"/>
      <c r="GD219" s="356"/>
      <c r="GE219" s="163"/>
      <c r="GF219" s="356"/>
      <c r="GG219" s="356"/>
      <c r="GH219" s="357"/>
      <c r="GI219" s="361"/>
      <c r="GJ219" s="356"/>
      <c r="GK219" s="356"/>
      <c r="GL219" s="163"/>
      <c r="GM219" s="356"/>
      <c r="GN219" s="356"/>
      <c r="GO219" s="357"/>
      <c r="GP219" s="361"/>
      <c r="GQ219" s="356"/>
      <c r="GR219" s="356"/>
      <c r="GS219" s="163"/>
      <c r="GT219" s="356"/>
      <c r="GU219" s="356"/>
      <c r="GV219" s="357"/>
      <c r="GW219" s="361"/>
      <c r="GX219" s="356"/>
      <c r="GY219" s="356"/>
      <c r="GZ219" s="163"/>
      <c r="HA219" s="356"/>
      <c r="HB219" s="356"/>
      <c r="HC219" s="357"/>
      <c r="HD219" s="361"/>
      <c r="HE219" s="356"/>
      <c r="HF219" s="356"/>
      <c r="HG219" s="163"/>
      <c r="HH219" s="356"/>
      <c r="HI219" s="356"/>
      <c r="HJ219" s="357"/>
      <c r="HK219" s="361"/>
      <c r="HL219" s="356"/>
      <c r="HM219" s="356"/>
      <c r="HN219" s="163"/>
      <c r="HO219" s="356"/>
      <c r="HP219" s="356"/>
      <c r="HQ219" s="357"/>
      <c r="HR219" s="361"/>
      <c r="HS219" s="356"/>
      <c r="HT219" s="356"/>
      <c r="HU219" s="163"/>
      <c r="HV219" s="356"/>
      <c r="HW219" s="356"/>
      <c r="HX219" s="357"/>
    </row>
    <row r="220" spans="2:232" outlineLevel="1" x14ac:dyDescent="0.25">
      <c r="B220" s="32"/>
      <c r="C220" s="333">
        <f>MAX(C213:C214)+1</f>
        <v>29</v>
      </c>
      <c r="D220" s="164" t="s">
        <v>21</v>
      </c>
      <c r="E220" s="34"/>
      <c r="F220" s="165" t="s">
        <v>529</v>
      </c>
      <c r="G220" s="165" t="s">
        <v>529</v>
      </c>
      <c r="H220" s="259" t="s">
        <v>193</v>
      </c>
      <c r="I220" s="176" t="s">
        <v>172</v>
      </c>
      <c r="J220" s="165" t="s">
        <v>171</v>
      </c>
      <c r="K220" s="165">
        <v>2031</v>
      </c>
      <c r="L220" s="165">
        <v>6</v>
      </c>
      <c r="M220" s="165"/>
      <c r="N220" s="165"/>
      <c r="O220" s="165"/>
      <c r="P220" s="165"/>
      <c r="Q220" s="165"/>
      <c r="R220" s="165"/>
      <c r="S220" s="165"/>
      <c r="T220" s="165"/>
      <c r="V220" s="11" t="s">
        <v>283</v>
      </c>
      <c r="W220" s="12"/>
      <c r="X220" s="12"/>
      <c r="Y220" s="12"/>
      <c r="Z220" s="12"/>
      <c r="AA220" s="12"/>
      <c r="AB220" s="12"/>
      <c r="AC220" s="14"/>
      <c r="AD220" s="166">
        <f>$C220</f>
        <v>29</v>
      </c>
      <c r="AE220" s="358" t="s">
        <v>175</v>
      </c>
      <c r="AF220" s="358"/>
      <c r="AG220" s="358"/>
      <c r="AH220" s="158"/>
      <c r="AI220" s="337"/>
      <c r="AJ220" s="338"/>
      <c r="AK220" s="166"/>
      <c r="AL220" s="358"/>
      <c r="AM220" s="358"/>
      <c r="AN220" s="358"/>
      <c r="AO220" s="32"/>
      <c r="AP220" s="337"/>
      <c r="AQ220" s="338"/>
      <c r="AR220" s="166"/>
      <c r="AS220" s="358"/>
      <c r="AT220" s="358"/>
      <c r="AU220" s="358"/>
      <c r="AV220" s="32"/>
      <c r="AW220" s="337"/>
      <c r="AX220" s="338"/>
      <c r="AY220" s="166"/>
      <c r="AZ220" s="362"/>
      <c r="BA220" s="362"/>
      <c r="BB220" s="362"/>
      <c r="BC220" s="158"/>
      <c r="BD220" s="337"/>
      <c r="BE220" s="338"/>
      <c r="BF220" s="166"/>
      <c r="BG220" s="362"/>
      <c r="BH220" s="362"/>
      <c r="BI220" s="362"/>
      <c r="BJ220" s="158"/>
      <c r="BK220" s="337"/>
      <c r="BL220" s="338"/>
      <c r="BM220" s="166"/>
      <c r="BN220" s="362"/>
      <c r="BO220" s="362"/>
      <c r="BP220" s="362"/>
      <c r="BQ220" s="158"/>
      <c r="BR220" s="337"/>
      <c r="BS220" s="338"/>
      <c r="BT220" s="166"/>
      <c r="BU220" s="362"/>
      <c r="BV220" s="362"/>
      <c r="BW220" s="362"/>
      <c r="BX220" s="158"/>
      <c r="BY220" s="337"/>
      <c r="BZ220" s="338"/>
      <c r="CA220" s="166"/>
      <c r="CB220" s="362"/>
      <c r="CC220" s="362"/>
      <c r="CD220" s="362"/>
      <c r="CE220" s="158"/>
      <c r="CF220" s="337"/>
      <c r="CG220" s="338"/>
      <c r="CH220" s="166"/>
      <c r="CI220" s="362"/>
      <c r="CJ220" s="362"/>
      <c r="CK220" s="362"/>
      <c r="CL220" s="158"/>
      <c r="CM220" s="337"/>
      <c r="CN220" s="338"/>
      <c r="CO220" s="166"/>
      <c r="CP220" s="362"/>
      <c r="CQ220" s="362"/>
      <c r="CR220" s="362"/>
      <c r="CS220" s="158"/>
      <c r="CT220" s="337"/>
      <c r="CU220" s="338"/>
      <c r="CV220" s="166"/>
      <c r="CW220" s="362"/>
      <c r="CX220" s="362"/>
      <c r="CY220" s="362"/>
      <c r="CZ220" s="158"/>
      <c r="DA220" s="337"/>
      <c r="DB220" s="338"/>
      <c r="DC220" s="166"/>
      <c r="DD220" s="362"/>
      <c r="DE220" s="362"/>
      <c r="DF220" s="362"/>
      <c r="DG220" s="158"/>
      <c r="DH220" s="337"/>
      <c r="DI220" s="338"/>
      <c r="DJ220" s="166"/>
      <c r="DK220" s="362"/>
      <c r="DL220" s="362"/>
      <c r="DM220" s="362"/>
      <c r="DN220" s="158"/>
      <c r="DO220" s="337"/>
      <c r="DP220" s="338"/>
      <c r="DQ220" s="166"/>
      <c r="DR220" s="362"/>
      <c r="DS220" s="362"/>
      <c r="DT220" s="362"/>
      <c r="DU220" s="158"/>
      <c r="DV220" s="337"/>
      <c r="DW220" s="338"/>
      <c r="DX220" s="166"/>
      <c r="DY220" s="362"/>
      <c r="DZ220" s="362"/>
      <c r="EA220" s="362"/>
      <c r="EB220" s="158"/>
      <c r="EC220" s="337"/>
      <c r="ED220" s="338"/>
      <c r="EE220" s="166"/>
      <c r="EF220" s="362"/>
      <c r="EG220" s="362"/>
      <c r="EH220" s="362"/>
      <c r="EI220" s="158"/>
      <c r="EJ220" s="337"/>
      <c r="EK220" s="338"/>
      <c r="EL220" s="166"/>
      <c r="EM220" s="362"/>
      <c r="EN220" s="362"/>
      <c r="EO220" s="362"/>
      <c r="EP220" s="158"/>
      <c r="EQ220" s="337"/>
      <c r="ER220" s="338"/>
      <c r="ES220" s="166"/>
      <c r="ET220" s="362"/>
      <c r="EU220" s="362"/>
      <c r="EV220" s="362"/>
      <c r="EW220" s="158"/>
      <c r="EX220" s="337"/>
      <c r="EY220" s="338"/>
      <c r="EZ220" s="166"/>
      <c r="FA220" s="362"/>
      <c r="FB220" s="362"/>
      <c r="FC220" s="362"/>
      <c r="FD220" s="158"/>
      <c r="FE220" s="337"/>
      <c r="FF220" s="338"/>
      <c r="FG220" s="166"/>
      <c r="FH220" s="362"/>
      <c r="FI220" s="362"/>
      <c r="FJ220" s="362"/>
      <c r="FK220" s="158"/>
      <c r="FL220" s="337"/>
      <c r="FM220" s="338"/>
      <c r="FN220" s="166"/>
      <c r="FO220" s="362"/>
      <c r="FP220" s="362"/>
      <c r="FQ220" s="362"/>
      <c r="FR220" s="158"/>
      <c r="FS220" s="337"/>
      <c r="FT220" s="338"/>
      <c r="FU220" s="166"/>
      <c r="FV220" s="362"/>
      <c r="FW220" s="362"/>
      <c r="FX220" s="362"/>
      <c r="FY220" s="158"/>
      <c r="FZ220" s="337"/>
      <c r="GA220" s="338"/>
      <c r="GB220" s="166"/>
      <c r="GC220" s="362"/>
      <c r="GD220" s="362"/>
      <c r="GE220" s="362"/>
      <c r="GF220" s="158"/>
      <c r="GG220" s="337"/>
      <c r="GH220" s="338"/>
      <c r="GI220" s="166"/>
      <c r="GJ220" s="362"/>
      <c r="GK220" s="362"/>
      <c r="GL220" s="362"/>
      <c r="GM220" s="158"/>
      <c r="GN220" s="337"/>
      <c r="GO220" s="338"/>
      <c r="GP220" s="166"/>
      <c r="GQ220" s="362"/>
      <c r="GR220" s="362"/>
      <c r="GS220" s="362"/>
      <c r="GT220" s="158"/>
      <c r="GU220" s="337"/>
      <c r="GV220" s="338"/>
      <c r="GW220" s="166"/>
      <c r="GX220" s="362"/>
      <c r="GY220" s="362"/>
      <c r="GZ220" s="362"/>
      <c r="HA220" s="158"/>
      <c r="HB220" s="337"/>
      <c r="HC220" s="338"/>
      <c r="HD220" s="166"/>
      <c r="HE220" s="362"/>
      <c r="HF220" s="362"/>
      <c r="HG220" s="362"/>
      <c r="HH220" s="158"/>
      <c r="HI220" s="337"/>
      <c r="HJ220" s="338"/>
      <c r="HK220" s="166"/>
      <c r="HL220" s="362"/>
      <c r="HM220" s="362"/>
      <c r="HN220" s="362"/>
      <c r="HO220" s="158"/>
      <c r="HP220" s="337"/>
      <c r="HQ220" s="338"/>
      <c r="HR220" s="166">
        <f>$AD220</f>
        <v>29</v>
      </c>
      <c r="HS220" s="358" t="s">
        <v>175</v>
      </c>
      <c r="HT220" s="358"/>
      <c r="HU220" s="358"/>
      <c r="HV220" s="257"/>
      <c r="HW220" s="337"/>
      <c r="HX220" s="338"/>
    </row>
    <row r="221" spans="2:232" outlineLevel="1" x14ac:dyDescent="0.25">
      <c r="B221" s="32"/>
      <c r="C221" s="167"/>
      <c r="D221" s="167"/>
      <c r="E221" s="34"/>
      <c r="F221" s="168"/>
      <c r="G221" s="167"/>
      <c r="H221" s="55"/>
      <c r="I221" s="177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V221" s="107"/>
      <c r="W221" s="108"/>
      <c r="X221" s="108"/>
      <c r="Y221" s="108"/>
      <c r="Z221" s="108"/>
      <c r="AA221" s="108"/>
      <c r="AB221" s="108"/>
      <c r="AC221" s="109"/>
      <c r="AD221" s="169"/>
      <c r="AE221" s="365"/>
      <c r="AF221" s="365"/>
      <c r="AG221" s="365"/>
      <c r="AH221" s="30"/>
      <c r="AI221" s="340"/>
      <c r="AJ221" s="341"/>
      <c r="AK221" s="169"/>
      <c r="AL221" s="339"/>
      <c r="AM221" s="339"/>
      <c r="AN221" s="339"/>
      <c r="AO221" s="30"/>
      <c r="AP221" s="340"/>
      <c r="AQ221" s="341"/>
      <c r="AR221" s="169"/>
      <c r="AS221" s="339"/>
      <c r="AT221" s="339"/>
      <c r="AU221" s="339"/>
      <c r="AV221" s="30"/>
      <c r="AW221" s="340"/>
      <c r="AX221" s="341"/>
      <c r="AY221" s="169"/>
      <c r="AZ221" s="339"/>
      <c r="BA221" s="339"/>
      <c r="BB221" s="339"/>
      <c r="BC221" s="30"/>
      <c r="BD221" s="340"/>
      <c r="BE221" s="341"/>
      <c r="BF221" s="169"/>
      <c r="BG221" s="339"/>
      <c r="BH221" s="339"/>
      <c r="BI221" s="339"/>
      <c r="BJ221" s="30"/>
      <c r="BK221" s="340"/>
      <c r="BL221" s="341"/>
      <c r="BM221" s="169"/>
      <c r="BN221" s="339"/>
      <c r="BO221" s="339"/>
      <c r="BP221" s="339"/>
      <c r="BQ221" s="30"/>
      <c r="BR221" s="340"/>
      <c r="BS221" s="341"/>
      <c r="BT221" s="169"/>
      <c r="BU221" s="339"/>
      <c r="BV221" s="339"/>
      <c r="BW221" s="339"/>
      <c r="BX221" s="30"/>
      <c r="BY221" s="340"/>
      <c r="BZ221" s="341"/>
      <c r="CA221" s="169"/>
      <c r="CB221" s="339"/>
      <c r="CC221" s="339"/>
      <c r="CD221" s="339"/>
      <c r="CE221" s="30"/>
      <c r="CF221" s="340"/>
      <c r="CG221" s="341"/>
      <c r="CH221" s="169"/>
      <c r="CI221" s="339"/>
      <c r="CJ221" s="339"/>
      <c r="CK221" s="339"/>
      <c r="CL221" s="30"/>
      <c r="CM221" s="340"/>
      <c r="CN221" s="341"/>
      <c r="CO221" s="169"/>
      <c r="CP221" s="339"/>
      <c r="CQ221" s="339"/>
      <c r="CR221" s="339"/>
      <c r="CS221" s="30"/>
      <c r="CT221" s="340"/>
      <c r="CU221" s="341"/>
      <c r="CV221" s="169"/>
      <c r="CW221" s="339"/>
      <c r="CX221" s="339"/>
      <c r="CY221" s="339"/>
      <c r="CZ221" s="30"/>
      <c r="DA221" s="340"/>
      <c r="DB221" s="341"/>
      <c r="DC221" s="169"/>
      <c r="DD221" s="339"/>
      <c r="DE221" s="339"/>
      <c r="DF221" s="339"/>
      <c r="DG221" s="30"/>
      <c r="DH221" s="340"/>
      <c r="DI221" s="341"/>
      <c r="DJ221" s="169"/>
      <c r="DK221" s="339"/>
      <c r="DL221" s="339"/>
      <c r="DM221" s="339"/>
      <c r="DN221" s="30"/>
      <c r="DO221" s="340"/>
      <c r="DP221" s="341"/>
      <c r="DQ221" s="169"/>
      <c r="DR221" s="339"/>
      <c r="DS221" s="339"/>
      <c r="DT221" s="339"/>
      <c r="DU221" s="30"/>
      <c r="DV221" s="340"/>
      <c r="DW221" s="341"/>
      <c r="DX221" s="169"/>
      <c r="DY221" s="339"/>
      <c r="DZ221" s="339"/>
      <c r="EA221" s="339"/>
      <c r="EB221" s="30"/>
      <c r="EC221" s="340"/>
      <c r="ED221" s="341"/>
      <c r="EE221" s="169"/>
      <c r="EF221" s="339"/>
      <c r="EG221" s="339"/>
      <c r="EH221" s="339"/>
      <c r="EI221" s="30"/>
      <c r="EJ221" s="340"/>
      <c r="EK221" s="341"/>
      <c r="EL221" s="169"/>
      <c r="EM221" s="339"/>
      <c r="EN221" s="339"/>
      <c r="EO221" s="339"/>
      <c r="EP221" s="30"/>
      <c r="EQ221" s="340"/>
      <c r="ER221" s="341"/>
      <c r="ES221" s="169"/>
      <c r="ET221" s="339"/>
      <c r="EU221" s="339"/>
      <c r="EV221" s="339"/>
      <c r="EW221" s="30"/>
      <c r="EX221" s="340"/>
      <c r="EY221" s="341"/>
      <c r="EZ221" s="169"/>
      <c r="FA221" s="339"/>
      <c r="FB221" s="339"/>
      <c r="FC221" s="339"/>
      <c r="FD221" s="30"/>
      <c r="FE221" s="340"/>
      <c r="FF221" s="341"/>
      <c r="FG221" s="169"/>
      <c r="FH221" s="339"/>
      <c r="FI221" s="339"/>
      <c r="FJ221" s="339"/>
      <c r="FK221" s="30"/>
      <c r="FL221" s="340"/>
      <c r="FM221" s="341"/>
      <c r="FN221" s="169"/>
      <c r="FO221" s="339"/>
      <c r="FP221" s="339"/>
      <c r="FQ221" s="339"/>
      <c r="FR221" s="30"/>
      <c r="FS221" s="340"/>
      <c r="FT221" s="341"/>
      <c r="FU221" s="169"/>
      <c r="FV221" s="339"/>
      <c r="FW221" s="339"/>
      <c r="FX221" s="339"/>
      <c r="FY221" s="30"/>
      <c r="FZ221" s="340"/>
      <c r="GA221" s="341"/>
      <c r="GB221" s="169"/>
      <c r="GC221" s="339"/>
      <c r="GD221" s="339"/>
      <c r="GE221" s="339"/>
      <c r="GF221" s="30"/>
      <c r="GG221" s="340"/>
      <c r="GH221" s="341"/>
      <c r="GI221" s="169"/>
      <c r="GJ221" s="339"/>
      <c r="GK221" s="339"/>
      <c r="GL221" s="339"/>
      <c r="GM221" s="30"/>
      <c r="GN221" s="340"/>
      <c r="GO221" s="341"/>
      <c r="GP221" s="169"/>
      <c r="GQ221" s="339"/>
      <c r="GR221" s="339"/>
      <c r="GS221" s="339"/>
      <c r="GT221" s="30"/>
      <c r="GU221" s="340"/>
      <c r="GV221" s="341"/>
      <c r="GW221" s="169"/>
      <c r="GX221" s="339"/>
      <c r="GY221" s="339"/>
      <c r="GZ221" s="339"/>
      <c r="HA221" s="30"/>
      <c r="HB221" s="340"/>
      <c r="HC221" s="341"/>
      <c r="HD221" s="169"/>
      <c r="HE221" s="339"/>
      <c r="HF221" s="339"/>
      <c r="HG221" s="339"/>
      <c r="HH221" s="30"/>
      <c r="HI221" s="340"/>
      <c r="HJ221" s="341"/>
      <c r="HK221" s="169"/>
      <c r="HL221" s="339"/>
      <c r="HM221" s="339"/>
      <c r="HN221" s="339"/>
      <c r="HO221" s="30"/>
      <c r="HP221" s="340"/>
      <c r="HQ221" s="341"/>
      <c r="HR221" s="169"/>
      <c r="HS221" s="365"/>
      <c r="HT221" s="365"/>
      <c r="HU221" s="365"/>
      <c r="HV221" s="258"/>
      <c r="HW221" s="340"/>
      <c r="HX221" s="341"/>
    </row>
    <row r="222" spans="2:232" outlineLevel="1" x14ac:dyDescent="0.25">
      <c r="B222" s="147"/>
      <c r="C222" s="147"/>
      <c r="D222" s="147"/>
      <c r="E222" s="147"/>
      <c r="F222" s="157"/>
      <c r="G222" s="147"/>
      <c r="H222" s="157"/>
      <c r="I222" s="175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V222" s="150" t="s">
        <v>170</v>
      </c>
      <c r="W222" s="151"/>
      <c r="X222" s="151"/>
      <c r="Y222" s="151"/>
      <c r="Z222" s="151"/>
      <c r="AA222" s="151"/>
      <c r="AB222" s="369"/>
      <c r="AC222" s="370"/>
      <c r="AD222" s="342" t="s">
        <v>217</v>
      </c>
      <c r="AE222" s="343"/>
      <c r="AF222" s="343"/>
      <c r="AG222" s="343"/>
      <c r="AH222" s="343"/>
      <c r="AI222" s="152"/>
      <c r="AJ222" s="155">
        <f>COUNTA(AD227:AD228)</f>
        <v>1</v>
      </c>
      <c r="AK222" s="156"/>
      <c r="AL222" s="152"/>
      <c r="AM222" s="153"/>
      <c r="AN222" s="152"/>
      <c r="AO222" s="154"/>
      <c r="AP222" s="152"/>
      <c r="AQ222" s="155">
        <f>COUNTA(AK227:AK228)</f>
        <v>0</v>
      </c>
      <c r="AR222" s="156"/>
      <c r="AS222" s="152"/>
      <c r="AT222" s="153"/>
      <c r="AU222" s="152"/>
      <c r="AV222" s="154"/>
      <c r="AW222" s="152"/>
      <c r="AX222" s="155">
        <f>COUNTA(AR227:AR228)</f>
        <v>0</v>
      </c>
      <c r="AY222" s="156"/>
      <c r="AZ222" s="152"/>
      <c r="BA222" s="153"/>
      <c r="BB222" s="152"/>
      <c r="BC222" s="154"/>
      <c r="BD222" s="152"/>
      <c r="BE222" s="155">
        <f>COUNTA(AY227:AY228)</f>
        <v>0</v>
      </c>
      <c r="BF222" s="156"/>
      <c r="BG222" s="152"/>
      <c r="BH222" s="153"/>
      <c r="BI222" s="152"/>
      <c r="BJ222" s="154"/>
      <c r="BK222" s="152"/>
      <c r="BL222" s="155">
        <f>COUNTA(BF227:BF228)</f>
        <v>0</v>
      </c>
      <c r="BM222" s="156"/>
      <c r="BN222" s="152"/>
      <c r="BO222" s="153"/>
      <c r="BP222" s="152"/>
      <c r="BQ222" s="154"/>
      <c r="BR222" s="152"/>
      <c r="BS222" s="155">
        <f>COUNTA(BM227:BM228)</f>
        <v>0</v>
      </c>
      <c r="BT222" s="156"/>
      <c r="BU222" s="152"/>
      <c r="BV222" s="153"/>
      <c r="BW222" s="152"/>
      <c r="BX222" s="154"/>
      <c r="BY222" s="152"/>
      <c r="BZ222" s="155">
        <f>COUNTA(BT227:BT228)</f>
        <v>0</v>
      </c>
      <c r="CA222" s="156"/>
      <c r="CB222" s="152"/>
      <c r="CC222" s="153"/>
      <c r="CD222" s="152"/>
      <c r="CE222" s="154"/>
      <c r="CF222" s="152"/>
      <c r="CG222" s="155">
        <f>COUNTA(CA227:CA228)</f>
        <v>0</v>
      </c>
      <c r="CH222" s="156"/>
      <c r="CI222" s="152"/>
      <c r="CJ222" s="153"/>
      <c r="CK222" s="152"/>
      <c r="CL222" s="154"/>
      <c r="CM222" s="152"/>
      <c r="CN222" s="155">
        <f>COUNTA(CH227:CH228)</f>
        <v>0</v>
      </c>
      <c r="CO222" s="156"/>
      <c r="CP222" s="152"/>
      <c r="CQ222" s="153"/>
      <c r="CR222" s="152"/>
      <c r="CS222" s="154"/>
      <c r="CT222" s="152"/>
      <c r="CU222" s="155">
        <f>COUNTA(CO227:CO228)</f>
        <v>0</v>
      </c>
      <c r="CV222" s="156"/>
      <c r="CW222" s="152"/>
      <c r="CX222" s="153"/>
      <c r="CY222" s="152"/>
      <c r="CZ222" s="154"/>
      <c r="DA222" s="152"/>
      <c r="DB222" s="155">
        <f>COUNTA(CV227:CV228)</f>
        <v>0</v>
      </c>
      <c r="DC222" s="156"/>
      <c r="DD222" s="152"/>
      <c r="DE222" s="153"/>
      <c r="DF222" s="152"/>
      <c r="DG222" s="154"/>
      <c r="DH222" s="152"/>
      <c r="DI222" s="155">
        <f>COUNTA(DC227:DC228)</f>
        <v>0</v>
      </c>
      <c r="DJ222" s="156"/>
      <c r="DK222" s="152"/>
      <c r="DL222" s="153"/>
      <c r="DM222" s="152"/>
      <c r="DN222" s="154"/>
      <c r="DO222" s="152"/>
      <c r="DP222" s="155">
        <f>COUNTA(DJ227:DJ228)</f>
        <v>0</v>
      </c>
      <c r="DQ222" s="156"/>
      <c r="DR222" s="152"/>
      <c r="DS222" s="153"/>
      <c r="DT222" s="152"/>
      <c r="DU222" s="154"/>
      <c r="DV222" s="152"/>
      <c r="DW222" s="155">
        <f>COUNTA(DQ227:DQ228)</f>
        <v>0</v>
      </c>
      <c r="DX222" s="156"/>
      <c r="DY222" s="152"/>
      <c r="DZ222" s="153"/>
      <c r="EA222" s="152"/>
      <c r="EB222" s="154"/>
      <c r="EC222" s="152"/>
      <c r="ED222" s="155">
        <f>COUNTA(DX227:DX228)</f>
        <v>0</v>
      </c>
      <c r="EE222" s="156"/>
      <c r="EF222" s="152"/>
      <c r="EG222" s="153"/>
      <c r="EH222" s="152"/>
      <c r="EI222" s="154"/>
      <c r="EJ222" s="152"/>
      <c r="EK222" s="155">
        <f>COUNTA(EE227:EE228)</f>
        <v>0</v>
      </c>
      <c r="EL222" s="156"/>
      <c r="EM222" s="152"/>
      <c r="EN222" s="153"/>
      <c r="EO222" s="152"/>
      <c r="EP222" s="154"/>
      <c r="EQ222" s="152"/>
      <c r="ER222" s="155">
        <f>COUNTA(EL227:EL228)</f>
        <v>0</v>
      </c>
      <c r="ES222" s="156"/>
      <c r="ET222" s="152"/>
      <c r="EU222" s="153"/>
      <c r="EV222" s="152"/>
      <c r="EW222" s="154"/>
      <c r="EX222" s="152"/>
      <c r="EY222" s="155">
        <f>COUNTA(ES227:ES228)</f>
        <v>0</v>
      </c>
      <c r="EZ222" s="156"/>
      <c r="FA222" s="152"/>
      <c r="FB222" s="153"/>
      <c r="FC222" s="152"/>
      <c r="FD222" s="154"/>
      <c r="FE222" s="152"/>
      <c r="FF222" s="155">
        <f>COUNTA(EZ227:EZ228)</f>
        <v>0</v>
      </c>
      <c r="FG222" s="156"/>
      <c r="FH222" s="152"/>
      <c r="FI222" s="153"/>
      <c r="FJ222" s="152"/>
      <c r="FK222" s="154"/>
      <c r="FL222" s="152"/>
      <c r="FM222" s="155">
        <f>COUNTA(FG227:FG228)</f>
        <v>0</v>
      </c>
      <c r="FN222" s="156"/>
      <c r="FO222" s="152"/>
      <c r="FP222" s="153"/>
      <c r="FQ222" s="152"/>
      <c r="FR222" s="154"/>
      <c r="FS222" s="152"/>
      <c r="FT222" s="155">
        <f>COUNTA(FN227:FN228)</f>
        <v>0</v>
      </c>
      <c r="FU222" s="156"/>
      <c r="FV222" s="152"/>
      <c r="FW222" s="153"/>
      <c r="FX222" s="152"/>
      <c r="FY222" s="154"/>
      <c r="FZ222" s="152"/>
      <c r="GA222" s="155">
        <f>COUNTA(FU227:FU228)</f>
        <v>0</v>
      </c>
      <c r="GB222" s="156"/>
      <c r="GC222" s="152"/>
      <c r="GD222" s="153"/>
      <c r="GE222" s="152"/>
      <c r="GF222" s="154"/>
      <c r="GG222" s="152"/>
      <c r="GH222" s="155">
        <f>COUNTA(GB227:GB228)</f>
        <v>0</v>
      </c>
      <c r="GI222" s="156"/>
      <c r="GJ222" s="152"/>
      <c r="GK222" s="153"/>
      <c r="GL222" s="152"/>
      <c r="GM222" s="154"/>
      <c r="GN222" s="152"/>
      <c r="GO222" s="155">
        <f>COUNTA(GI227:GI228)</f>
        <v>0</v>
      </c>
      <c r="GP222" s="156"/>
      <c r="GQ222" s="152"/>
      <c r="GR222" s="153"/>
      <c r="GS222" s="152"/>
      <c r="GT222" s="154"/>
      <c r="GU222" s="152"/>
      <c r="GV222" s="155">
        <f>COUNTA(GP227:GP228)</f>
        <v>0</v>
      </c>
      <c r="GW222" s="156"/>
      <c r="GX222" s="152"/>
      <c r="GY222" s="153"/>
      <c r="GZ222" s="152"/>
      <c r="HA222" s="154"/>
      <c r="HB222" s="152"/>
      <c r="HC222" s="155">
        <f>COUNTA(GW227:GW228)</f>
        <v>0</v>
      </c>
      <c r="HD222" s="156"/>
      <c r="HE222" s="152"/>
      <c r="HF222" s="153"/>
      <c r="HG222" s="152"/>
      <c r="HH222" s="154"/>
      <c r="HI222" s="152"/>
      <c r="HJ222" s="155">
        <f>COUNTA(HD227:HD228)</f>
        <v>0</v>
      </c>
      <c r="HK222" s="156"/>
      <c r="HL222" s="152"/>
      <c r="HM222" s="153"/>
      <c r="HN222" s="152"/>
      <c r="HO222" s="154"/>
      <c r="HP222" s="152"/>
      <c r="HQ222" s="155">
        <f>COUNTA(HK227:HK228)</f>
        <v>0</v>
      </c>
      <c r="HR222" s="342" t="s">
        <v>217</v>
      </c>
      <c r="HS222" s="343"/>
      <c r="HT222" s="343"/>
      <c r="HU222" s="343"/>
      <c r="HV222" s="343"/>
      <c r="HW222" s="152"/>
      <c r="HX222" s="155">
        <f>COUNTA(HR227:HR228)</f>
        <v>1</v>
      </c>
    </row>
    <row r="223" spans="2:232" ht="15" customHeight="1" outlineLevel="1" x14ac:dyDescent="0.25">
      <c r="B223" s="147"/>
      <c r="C223" s="147"/>
      <c r="D223" s="147"/>
      <c r="E223" s="147"/>
      <c r="F223" s="157"/>
      <c r="G223" s="147"/>
      <c r="H223" s="157"/>
      <c r="I223" s="175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V223" s="185" t="s">
        <v>224</v>
      </c>
      <c r="W223" s="186"/>
      <c r="X223" s="186"/>
      <c r="Y223" s="186"/>
      <c r="Z223" s="186"/>
      <c r="AA223" s="186"/>
      <c r="AB223" s="187"/>
      <c r="AC223" s="188"/>
      <c r="AD223" s="344" t="s">
        <v>533</v>
      </c>
      <c r="AE223" s="345"/>
      <c r="AF223" s="345"/>
      <c r="AG223" s="181" t="s">
        <v>75</v>
      </c>
      <c r="AH223" s="346" t="s">
        <v>313</v>
      </c>
      <c r="AI223" s="346"/>
      <c r="AJ223" s="349"/>
      <c r="AK223" s="180"/>
      <c r="AL223" s="181"/>
      <c r="AM223" s="182"/>
      <c r="AN223" s="181"/>
      <c r="AO223" s="183"/>
      <c r="AP223" s="181"/>
      <c r="AQ223" s="184"/>
      <c r="AR223" s="180"/>
      <c r="AS223" s="181"/>
      <c r="AT223" s="182"/>
      <c r="AU223" s="181"/>
      <c r="AV223" s="183"/>
      <c r="AW223" s="181"/>
      <c r="AX223" s="184"/>
      <c r="AY223" s="180"/>
      <c r="AZ223" s="181"/>
      <c r="BA223" s="182"/>
      <c r="BB223" s="181"/>
      <c r="BC223" s="183"/>
      <c r="BD223" s="181"/>
      <c r="BE223" s="184"/>
      <c r="BF223" s="180"/>
      <c r="BG223" s="181"/>
      <c r="BH223" s="182"/>
      <c r="BI223" s="181"/>
      <c r="BJ223" s="183"/>
      <c r="BK223" s="181"/>
      <c r="BL223" s="184"/>
      <c r="BM223" s="180"/>
      <c r="BN223" s="181"/>
      <c r="BO223" s="182"/>
      <c r="BP223" s="181"/>
      <c r="BQ223" s="183"/>
      <c r="BR223" s="181"/>
      <c r="BS223" s="184"/>
      <c r="BT223" s="180"/>
      <c r="BU223" s="181"/>
      <c r="BV223" s="182"/>
      <c r="BW223" s="181"/>
      <c r="BX223" s="183"/>
      <c r="BY223" s="181"/>
      <c r="BZ223" s="184"/>
      <c r="CA223" s="180"/>
      <c r="CB223" s="181"/>
      <c r="CC223" s="182"/>
      <c r="CD223" s="181"/>
      <c r="CE223" s="183"/>
      <c r="CF223" s="181"/>
      <c r="CG223" s="184"/>
      <c r="CH223" s="180"/>
      <c r="CI223" s="181"/>
      <c r="CJ223" s="182"/>
      <c r="CK223" s="181"/>
      <c r="CL223" s="183"/>
      <c r="CM223" s="181"/>
      <c r="CN223" s="184"/>
      <c r="CO223" s="180"/>
      <c r="CP223" s="181"/>
      <c r="CQ223" s="182"/>
      <c r="CR223" s="181"/>
      <c r="CS223" s="183"/>
      <c r="CT223" s="181"/>
      <c r="CU223" s="184"/>
      <c r="CV223" s="180"/>
      <c r="CW223" s="181"/>
      <c r="CX223" s="182"/>
      <c r="CY223" s="181"/>
      <c r="CZ223" s="183"/>
      <c r="DA223" s="181"/>
      <c r="DB223" s="184"/>
      <c r="DC223" s="180"/>
      <c r="DD223" s="181"/>
      <c r="DE223" s="182"/>
      <c r="DF223" s="181"/>
      <c r="DG223" s="183"/>
      <c r="DH223" s="181"/>
      <c r="DI223" s="184"/>
      <c r="DJ223" s="180"/>
      <c r="DK223" s="181"/>
      <c r="DL223" s="182"/>
      <c r="DM223" s="181"/>
      <c r="DN223" s="183"/>
      <c r="DO223" s="181"/>
      <c r="DP223" s="184"/>
      <c r="DQ223" s="180"/>
      <c r="DR223" s="181"/>
      <c r="DS223" s="182"/>
      <c r="DT223" s="181"/>
      <c r="DU223" s="183"/>
      <c r="DV223" s="181"/>
      <c r="DW223" s="184"/>
      <c r="DX223" s="180"/>
      <c r="DY223" s="181"/>
      <c r="DZ223" s="182"/>
      <c r="EA223" s="181"/>
      <c r="EB223" s="183"/>
      <c r="EC223" s="181"/>
      <c r="ED223" s="184"/>
      <c r="EE223" s="180"/>
      <c r="EF223" s="181"/>
      <c r="EG223" s="182"/>
      <c r="EH223" s="181"/>
      <c r="EI223" s="183"/>
      <c r="EJ223" s="181"/>
      <c r="EK223" s="184"/>
      <c r="EL223" s="180"/>
      <c r="EM223" s="181"/>
      <c r="EN223" s="182"/>
      <c r="EO223" s="181"/>
      <c r="EP223" s="183"/>
      <c r="EQ223" s="181"/>
      <c r="ER223" s="184"/>
      <c r="ES223" s="180"/>
      <c r="ET223" s="181"/>
      <c r="EU223" s="182"/>
      <c r="EV223" s="181"/>
      <c r="EW223" s="183"/>
      <c r="EX223" s="181"/>
      <c r="EY223" s="184"/>
      <c r="EZ223" s="180"/>
      <c r="FA223" s="181"/>
      <c r="FB223" s="182"/>
      <c r="FC223" s="181"/>
      <c r="FD223" s="183"/>
      <c r="FE223" s="181"/>
      <c r="FF223" s="184"/>
      <c r="FG223" s="180"/>
      <c r="FH223" s="181"/>
      <c r="FI223" s="182"/>
      <c r="FJ223" s="181"/>
      <c r="FK223" s="183"/>
      <c r="FL223" s="181"/>
      <c r="FM223" s="184"/>
      <c r="FN223" s="180"/>
      <c r="FO223" s="181"/>
      <c r="FP223" s="182"/>
      <c r="FQ223" s="181"/>
      <c r="FR223" s="183"/>
      <c r="FS223" s="181"/>
      <c r="FT223" s="184"/>
      <c r="FU223" s="180"/>
      <c r="FV223" s="181"/>
      <c r="FW223" s="182"/>
      <c r="FX223" s="181"/>
      <c r="FY223" s="183"/>
      <c r="FZ223" s="181"/>
      <c r="GA223" s="184"/>
      <c r="GB223" s="180"/>
      <c r="GC223" s="181"/>
      <c r="GD223" s="182"/>
      <c r="GE223" s="181"/>
      <c r="GF223" s="183"/>
      <c r="GG223" s="181"/>
      <c r="GH223" s="184"/>
      <c r="GI223" s="180"/>
      <c r="GJ223" s="181"/>
      <c r="GK223" s="182"/>
      <c r="GL223" s="181"/>
      <c r="GM223" s="183"/>
      <c r="GN223" s="181"/>
      <c r="GO223" s="184"/>
      <c r="GP223" s="180"/>
      <c r="GQ223" s="181"/>
      <c r="GR223" s="182"/>
      <c r="GS223" s="181"/>
      <c r="GT223" s="183"/>
      <c r="GU223" s="181"/>
      <c r="GV223" s="184"/>
      <c r="GW223" s="180"/>
      <c r="GX223" s="181"/>
      <c r="GY223" s="182"/>
      <c r="GZ223" s="181"/>
      <c r="HA223" s="183"/>
      <c r="HB223" s="181"/>
      <c r="HC223" s="184"/>
      <c r="HD223" s="180"/>
      <c r="HE223" s="181"/>
      <c r="HF223" s="182"/>
      <c r="HG223" s="181"/>
      <c r="HH223" s="183"/>
      <c r="HI223" s="181"/>
      <c r="HJ223" s="184"/>
      <c r="HK223" s="180"/>
      <c r="HL223" s="181"/>
      <c r="HM223" s="182"/>
      <c r="HN223" s="181"/>
      <c r="HO223" s="183"/>
      <c r="HP223" s="181"/>
      <c r="HQ223" s="184"/>
      <c r="HR223" s="344" t="s">
        <v>533</v>
      </c>
      <c r="HS223" s="345"/>
      <c r="HT223" s="345"/>
      <c r="HU223" s="181" t="s">
        <v>75</v>
      </c>
      <c r="HV223" s="376" t="s">
        <v>313</v>
      </c>
      <c r="HW223" s="376"/>
      <c r="HX223" s="377"/>
    </row>
    <row r="224" spans="2:232" outlineLevel="1" x14ac:dyDescent="0.25">
      <c r="B224" s="147"/>
      <c r="C224" s="147"/>
      <c r="D224" s="147"/>
      <c r="E224" s="147"/>
      <c r="F224" s="157"/>
      <c r="G224" s="147"/>
      <c r="H224" s="157"/>
      <c r="I224" s="175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V224" s="161" t="s">
        <v>199</v>
      </c>
      <c r="W224" s="12"/>
      <c r="X224" s="12"/>
      <c r="Y224" s="12"/>
      <c r="Z224" s="12"/>
      <c r="AA224" s="12"/>
      <c r="AB224" s="12"/>
      <c r="AC224" s="14"/>
      <c r="AD224" s="350" t="s">
        <v>22</v>
      </c>
      <c r="AE224" s="337"/>
      <c r="AF224" s="337"/>
      <c r="AG224" s="1" t="s">
        <v>57</v>
      </c>
      <c r="AH224" s="337" t="s">
        <v>218</v>
      </c>
      <c r="AI224" s="337"/>
      <c r="AJ224" s="338"/>
      <c r="AK224" s="350"/>
      <c r="AL224" s="337"/>
      <c r="AM224" s="337"/>
      <c r="AO224" s="337"/>
      <c r="AP224" s="337"/>
      <c r="AQ224" s="338"/>
      <c r="AR224" s="350"/>
      <c r="AS224" s="337"/>
      <c r="AT224" s="337"/>
      <c r="AV224" s="337"/>
      <c r="AW224" s="337"/>
      <c r="AX224" s="338"/>
      <c r="AY224" s="350"/>
      <c r="AZ224" s="337"/>
      <c r="BA224" s="337"/>
      <c r="BC224" s="337"/>
      <c r="BD224" s="337"/>
      <c r="BE224" s="338"/>
      <c r="BF224" s="350"/>
      <c r="BG224" s="337"/>
      <c r="BH224" s="337"/>
      <c r="BJ224" s="337"/>
      <c r="BK224" s="337"/>
      <c r="BL224" s="338"/>
      <c r="BM224" s="350"/>
      <c r="BN224" s="337"/>
      <c r="BO224" s="337"/>
      <c r="BQ224" s="337"/>
      <c r="BR224" s="337"/>
      <c r="BS224" s="338"/>
      <c r="BT224" s="350"/>
      <c r="BU224" s="337"/>
      <c r="BV224" s="337"/>
      <c r="BX224" s="337"/>
      <c r="BY224" s="337"/>
      <c r="BZ224" s="338"/>
      <c r="CA224" s="350"/>
      <c r="CB224" s="337"/>
      <c r="CC224" s="337"/>
      <c r="CE224" s="337"/>
      <c r="CF224" s="337"/>
      <c r="CG224" s="338"/>
      <c r="CH224" s="350"/>
      <c r="CI224" s="337"/>
      <c r="CJ224" s="337"/>
      <c r="CL224" s="337"/>
      <c r="CM224" s="337"/>
      <c r="CN224" s="338"/>
      <c r="CO224" s="350"/>
      <c r="CP224" s="337"/>
      <c r="CQ224" s="337"/>
      <c r="CS224" s="337"/>
      <c r="CT224" s="337"/>
      <c r="CU224" s="338"/>
      <c r="CV224" s="350"/>
      <c r="CW224" s="337"/>
      <c r="CX224" s="337"/>
      <c r="CZ224" s="337"/>
      <c r="DA224" s="337"/>
      <c r="DB224" s="338"/>
      <c r="DC224" s="350"/>
      <c r="DD224" s="337"/>
      <c r="DE224" s="337"/>
      <c r="DG224" s="337"/>
      <c r="DH224" s="337"/>
      <c r="DI224" s="338"/>
      <c r="DJ224" s="350"/>
      <c r="DK224" s="337"/>
      <c r="DL224" s="337"/>
      <c r="DN224" s="337"/>
      <c r="DO224" s="337"/>
      <c r="DP224" s="338"/>
      <c r="DQ224" s="350"/>
      <c r="DR224" s="337"/>
      <c r="DS224" s="337"/>
      <c r="DU224" s="337"/>
      <c r="DV224" s="337"/>
      <c r="DW224" s="338"/>
      <c r="DX224" s="350"/>
      <c r="DY224" s="337"/>
      <c r="DZ224" s="337"/>
      <c r="EB224" s="337"/>
      <c r="EC224" s="337"/>
      <c r="ED224" s="338"/>
      <c r="EE224" s="350"/>
      <c r="EF224" s="337"/>
      <c r="EG224" s="337"/>
      <c r="EI224" s="337"/>
      <c r="EJ224" s="337"/>
      <c r="EK224" s="338"/>
      <c r="EL224" s="350"/>
      <c r="EM224" s="337"/>
      <c r="EN224" s="337"/>
      <c r="EP224" s="337"/>
      <c r="EQ224" s="337"/>
      <c r="ER224" s="338"/>
      <c r="ES224" s="350"/>
      <c r="ET224" s="337"/>
      <c r="EU224" s="337"/>
      <c r="EW224" s="337"/>
      <c r="EX224" s="337"/>
      <c r="EY224" s="338"/>
      <c r="EZ224" s="350"/>
      <c r="FA224" s="337"/>
      <c r="FB224" s="337"/>
      <c r="FD224" s="337"/>
      <c r="FE224" s="337"/>
      <c r="FF224" s="338"/>
      <c r="FG224" s="350"/>
      <c r="FH224" s="337"/>
      <c r="FI224" s="337"/>
      <c r="FK224" s="337"/>
      <c r="FL224" s="337"/>
      <c r="FM224" s="338"/>
      <c r="FN224" s="350"/>
      <c r="FO224" s="337"/>
      <c r="FP224" s="337"/>
      <c r="FR224" s="337"/>
      <c r="FS224" s="337"/>
      <c r="FT224" s="338"/>
      <c r="FU224" s="350"/>
      <c r="FV224" s="337"/>
      <c r="FW224" s="337"/>
      <c r="FY224" s="337"/>
      <c r="FZ224" s="337"/>
      <c r="GA224" s="338"/>
      <c r="GB224" s="350"/>
      <c r="GC224" s="337"/>
      <c r="GD224" s="337"/>
      <c r="GF224" s="337"/>
      <c r="GG224" s="337"/>
      <c r="GH224" s="338"/>
      <c r="GI224" s="350"/>
      <c r="GJ224" s="337"/>
      <c r="GK224" s="337"/>
      <c r="GM224" s="337"/>
      <c r="GN224" s="337"/>
      <c r="GO224" s="338"/>
      <c r="GP224" s="350"/>
      <c r="GQ224" s="337"/>
      <c r="GR224" s="337"/>
      <c r="GT224" s="337"/>
      <c r="GU224" s="337"/>
      <c r="GV224" s="338"/>
      <c r="GW224" s="350"/>
      <c r="GX224" s="337"/>
      <c r="GY224" s="337"/>
      <c r="HA224" s="337"/>
      <c r="HB224" s="337"/>
      <c r="HC224" s="338"/>
      <c r="HD224" s="350"/>
      <c r="HE224" s="337"/>
      <c r="HF224" s="337"/>
      <c r="HH224" s="337"/>
      <c r="HI224" s="337"/>
      <c r="HJ224" s="338"/>
      <c r="HK224" s="350"/>
      <c r="HL224" s="337"/>
      <c r="HM224" s="337"/>
      <c r="HO224" s="337"/>
      <c r="HP224" s="337"/>
      <c r="HQ224" s="338"/>
      <c r="HR224" s="350" t="s">
        <v>218</v>
      </c>
      <c r="HS224" s="337"/>
      <c r="HT224" s="337"/>
      <c r="HU224" s="191"/>
      <c r="HV224" s="337"/>
      <c r="HW224" s="337"/>
      <c r="HX224" s="338"/>
    </row>
    <row r="225" spans="2:232" outlineLevel="1" x14ac:dyDescent="0.25">
      <c r="B225" s="147"/>
      <c r="C225" s="147"/>
      <c r="D225" s="147"/>
      <c r="E225" s="147"/>
      <c r="F225" s="157"/>
      <c r="G225" s="147"/>
      <c r="H225" s="157"/>
      <c r="I225" s="175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V225" s="161" t="s">
        <v>200</v>
      </c>
      <c r="W225" s="12"/>
      <c r="X225" s="12"/>
      <c r="Y225" s="12"/>
      <c r="Z225" s="12"/>
      <c r="AA225" s="12"/>
      <c r="AB225" s="12"/>
      <c r="AC225" s="14"/>
      <c r="AD225" s="352" t="s">
        <v>22</v>
      </c>
      <c r="AE225" s="353"/>
      <c r="AF225" s="353"/>
      <c r="AG225" s="1" t="s">
        <v>57</v>
      </c>
      <c r="AH225" s="353" t="s">
        <v>219</v>
      </c>
      <c r="AI225" s="353"/>
      <c r="AJ225" s="355"/>
      <c r="AK225" s="352"/>
      <c r="AL225" s="353"/>
      <c r="AM225" s="353"/>
      <c r="AO225" s="353"/>
      <c r="AP225" s="353"/>
      <c r="AQ225" s="355"/>
      <c r="AR225" s="352"/>
      <c r="AS225" s="353"/>
      <c r="AT225" s="353"/>
      <c r="AV225" s="353"/>
      <c r="AW225" s="353"/>
      <c r="AX225" s="355"/>
      <c r="AY225" s="352"/>
      <c r="AZ225" s="353"/>
      <c r="BA225" s="353"/>
      <c r="BC225" s="353"/>
      <c r="BD225" s="353"/>
      <c r="BE225" s="355"/>
      <c r="BF225" s="352"/>
      <c r="BG225" s="353"/>
      <c r="BH225" s="353"/>
      <c r="BJ225" s="353"/>
      <c r="BK225" s="353"/>
      <c r="BL225" s="355"/>
      <c r="BM225" s="352"/>
      <c r="BN225" s="353"/>
      <c r="BO225" s="353"/>
      <c r="BQ225" s="353"/>
      <c r="BR225" s="353"/>
      <c r="BS225" s="355"/>
      <c r="BT225" s="352"/>
      <c r="BU225" s="353"/>
      <c r="BV225" s="353"/>
      <c r="BX225" s="353"/>
      <c r="BY225" s="353"/>
      <c r="BZ225" s="355"/>
      <c r="CA225" s="352"/>
      <c r="CB225" s="353"/>
      <c r="CC225" s="353"/>
      <c r="CE225" s="353"/>
      <c r="CF225" s="353"/>
      <c r="CG225" s="355"/>
      <c r="CH225" s="352"/>
      <c r="CI225" s="353"/>
      <c r="CJ225" s="353"/>
      <c r="CL225" s="353"/>
      <c r="CM225" s="353"/>
      <c r="CN225" s="355"/>
      <c r="CO225" s="352"/>
      <c r="CP225" s="353"/>
      <c r="CQ225" s="353"/>
      <c r="CS225" s="353"/>
      <c r="CT225" s="353"/>
      <c r="CU225" s="355"/>
      <c r="CV225" s="352"/>
      <c r="CW225" s="353"/>
      <c r="CX225" s="353"/>
      <c r="CZ225" s="353"/>
      <c r="DA225" s="353"/>
      <c r="DB225" s="355"/>
      <c r="DC225" s="352"/>
      <c r="DD225" s="353"/>
      <c r="DE225" s="353"/>
      <c r="DG225" s="353"/>
      <c r="DH225" s="353"/>
      <c r="DI225" s="355"/>
      <c r="DJ225" s="352"/>
      <c r="DK225" s="353"/>
      <c r="DL225" s="353"/>
      <c r="DN225" s="353"/>
      <c r="DO225" s="353"/>
      <c r="DP225" s="355"/>
      <c r="DQ225" s="352"/>
      <c r="DR225" s="353"/>
      <c r="DS225" s="353"/>
      <c r="DU225" s="353"/>
      <c r="DV225" s="353"/>
      <c r="DW225" s="355"/>
      <c r="DX225" s="352"/>
      <c r="DY225" s="353"/>
      <c r="DZ225" s="353"/>
      <c r="EB225" s="353"/>
      <c r="EC225" s="353"/>
      <c r="ED225" s="355"/>
      <c r="EE225" s="352"/>
      <c r="EF225" s="353"/>
      <c r="EG225" s="353"/>
      <c r="EI225" s="353"/>
      <c r="EJ225" s="353"/>
      <c r="EK225" s="355"/>
      <c r="EL225" s="352"/>
      <c r="EM225" s="353"/>
      <c r="EN225" s="353"/>
      <c r="EP225" s="353"/>
      <c r="EQ225" s="353"/>
      <c r="ER225" s="355"/>
      <c r="ES225" s="352"/>
      <c r="ET225" s="353"/>
      <c r="EU225" s="353"/>
      <c r="EW225" s="353"/>
      <c r="EX225" s="353"/>
      <c r="EY225" s="355"/>
      <c r="EZ225" s="352"/>
      <c r="FA225" s="353"/>
      <c r="FB225" s="353"/>
      <c r="FD225" s="353"/>
      <c r="FE225" s="353"/>
      <c r="FF225" s="355"/>
      <c r="FG225" s="352"/>
      <c r="FH225" s="353"/>
      <c r="FI225" s="353"/>
      <c r="FK225" s="353"/>
      <c r="FL225" s="353"/>
      <c r="FM225" s="355"/>
      <c r="FN225" s="352"/>
      <c r="FO225" s="353"/>
      <c r="FP225" s="353"/>
      <c r="FR225" s="353"/>
      <c r="FS225" s="353"/>
      <c r="FT225" s="355"/>
      <c r="FU225" s="352"/>
      <c r="FV225" s="353"/>
      <c r="FW225" s="353"/>
      <c r="FY225" s="353"/>
      <c r="FZ225" s="353"/>
      <c r="GA225" s="355"/>
      <c r="GB225" s="352"/>
      <c r="GC225" s="353"/>
      <c r="GD225" s="353"/>
      <c r="GF225" s="353"/>
      <c r="GG225" s="353"/>
      <c r="GH225" s="355"/>
      <c r="GI225" s="352"/>
      <c r="GJ225" s="353"/>
      <c r="GK225" s="353"/>
      <c r="GM225" s="353"/>
      <c r="GN225" s="353"/>
      <c r="GO225" s="355"/>
      <c r="GP225" s="352"/>
      <c r="GQ225" s="353"/>
      <c r="GR225" s="353"/>
      <c r="GT225" s="353"/>
      <c r="GU225" s="353"/>
      <c r="GV225" s="355"/>
      <c r="GW225" s="352"/>
      <c r="GX225" s="353"/>
      <c r="GY225" s="353"/>
      <c r="HA225" s="353"/>
      <c r="HB225" s="353"/>
      <c r="HC225" s="355"/>
      <c r="HD225" s="352"/>
      <c r="HE225" s="353"/>
      <c r="HF225" s="353"/>
      <c r="HH225" s="353"/>
      <c r="HI225" s="353"/>
      <c r="HJ225" s="355"/>
      <c r="HK225" s="352"/>
      <c r="HL225" s="353"/>
      <c r="HM225" s="353"/>
      <c r="HO225" s="353"/>
      <c r="HP225" s="353"/>
      <c r="HQ225" s="355"/>
      <c r="HR225" s="352" t="s">
        <v>219</v>
      </c>
      <c r="HS225" s="353"/>
      <c r="HT225" s="353"/>
      <c r="HV225" s="353"/>
      <c r="HW225" s="353"/>
      <c r="HX225" s="355"/>
    </row>
    <row r="226" spans="2:232" outlineLevel="1" x14ac:dyDescent="0.25">
      <c r="B226" s="147"/>
      <c r="C226" s="147"/>
      <c r="D226" s="147"/>
      <c r="E226" s="147"/>
      <c r="F226" s="157"/>
      <c r="G226" s="147"/>
      <c r="H226" s="157"/>
      <c r="I226" s="175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V226" s="162"/>
      <c r="W226" s="159"/>
      <c r="X226" s="159"/>
      <c r="Y226" s="159"/>
      <c r="Z226" s="159"/>
      <c r="AA226" s="159"/>
      <c r="AB226" s="159"/>
      <c r="AC226" s="160"/>
      <c r="AD226" s="361"/>
      <c r="AE226" s="356"/>
      <c r="AF226" s="356"/>
      <c r="AG226" s="163"/>
      <c r="AH226" s="356"/>
      <c r="AI226" s="356"/>
      <c r="AJ226" s="357"/>
      <c r="AK226" s="361"/>
      <c r="AL226" s="356"/>
      <c r="AM226" s="356"/>
      <c r="AN226" s="163"/>
      <c r="AO226" s="356"/>
      <c r="AP226" s="356"/>
      <c r="AQ226" s="357"/>
      <c r="AR226" s="361"/>
      <c r="AS226" s="356"/>
      <c r="AT226" s="356"/>
      <c r="AU226" s="163"/>
      <c r="AV226" s="356"/>
      <c r="AW226" s="356"/>
      <c r="AX226" s="357"/>
      <c r="AY226" s="361"/>
      <c r="AZ226" s="356"/>
      <c r="BA226" s="356"/>
      <c r="BB226" s="163"/>
      <c r="BC226" s="356"/>
      <c r="BD226" s="356"/>
      <c r="BE226" s="357"/>
      <c r="BF226" s="361"/>
      <c r="BG226" s="356"/>
      <c r="BH226" s="356"/>
      <c r="BI226" s="163"/>
      <c r="BJ226" s="356"/>
      <c r="BK226" s="356"/>
      <c r="BL226" s="357"/>
      <c r="BM226" s="361"/>
      <c r="BN226" s="356"/>
      <c r="BO226" s="356"/>
      <c r="BP226" s="163"/>
      <c r="BQ226" s="356"/>
      <c r="BR226" s="356"/>
      <c r="BS226" s="357"/>
      <c r="BT226" s="361"/>
      <c r="BU226" s="356"/>
      <c r="BV226" s="356"/>
      <c r="BW226" s="163"/>
      <c r="BX226" s="356"/>
      <c r="BY226" s="356"/>
      <c r="BZ226" s="357"/>
      <c r="CA226" s="361"/>
      <c r="CB226" s="356"/>
      <c r="CC226" s="356"/>
      <c r="CD226" s="163"/>
      <c r="CE226" s="356"/>
      <c r="CF226" s="356"/>
      <c r="CG226" s="357"/>
      <c r="CH226" s="361"/>
      <c r="CI226" s="356"/>
      <c r="CJ226" s="356"/>
      <c r="CK226" s="163"/>
      <c r="CL226" s="356"/>
      <c r="CM226" s="356"/>
      <c r="CN226" s="357"/>
      <c r="CO226" s="361"/>
      <c r="CP226" s="356"/>
      <c r="CQ226" s="356"/>
      <c r="CR226" s="163"/>
      <c r="CS226" s="356"/>
      <c r="CT226" s="356"/>
      <c r="CU226" s="357"/>
      <c r="CV226" s="361"/>
      <c r="CW226" s="356"/>
      <c r="CX226" s="356"/>
      <c r="CY226" s="163"/>
      <c r="CZ226" s="356"/>
      <c r="DA226" s="356"/>
      <c r="DB226" s="357"/>
      <c r="DC226" s="361"/>
      <c r="DD226" s="356"/>
      <c r="DE226" s="356"/>
      <c r="DF226" s="163"/>
      <c r="DG226" s="356"/>
      <c r="DH226" s="356"/>
      <c r="DI226" s="357"/>
      <c r="DJ226" s="361"/>
      <c r="DK226" s="356"/>
      <c r="DL226" s="356"/>
      <c r="DM226" s="163"/>
      <c r="DN226" s="356"/>
      <c r="DO226" s="356"/>
      <c r="DP226" s="357"/>
      <c r="DQ226" s="361"/>
      <c r="DR226" s="356"/>
      <c r="DS226" s="356"/>
      <c r="DT226" s="163"/>
      <c r="DU226" s="356"/>
      <c r="DV226" s="356"/>
      <c r="DW226" s="357"/>
      <c r="DX226" s="361"/>
      <c r="DY226" s="356"/>
      <c r="DZ226" s="356"/>
      <c r="EA226" s="163"/>
      <c r="EB226" s="356"/>
      <c r="EC226" s="356"/>
      <c r="ED226" s="357"/>
      <c r="EE226" s="361"/>
      <c r="EF226" s="356"/>
      <c r="EG226" s="356"/>
      <c r="EH226" s="163"/>
      <c r="EI226" s="356"/>
      <c r="EJ226" s="356"/>
      <c r="EK226" s="357"/>
      <c r="EL226" s="361"/>
      <c r="EM226" s="356"/>
      <c r="EN226" s="356"/>
      <c r="EO226" s="163"/>
      <c r="EP226" s="356"/>
      <c r="EQ226" s="356"/>
      <c r="ER226" s="357"/>
      <c r="ES226" s="361"/>
      <c r="ET226" s="356"/>
      <c r="EU226" s="356"/>
      <c r="EV226" s="163"/>
      <c r="EW226" s="356"/>
      <c r="EX226" s="356"/>
      <c r="EY226" s="357"/>
      <c r="EZ226" s="361"/>
      <c r="FA226" s="356"/>
      <c r="FB226" s="356"/>
      <c r="FC226" s="163"/>
      <c r="FD226" s="356"/>
      <c r="FE226" s="356"/>
      <c r="FF226" s="357"/>
      <c r="FG226" s="361"/>
      <c r="FH226" s="356"/>
      <c r="FI226" s="356"/>
      <c r="FJ226" s="163"/>
      <c r="FK226" s="356"/>
      <c r="FL226" s="356"/>
      <c r="FM226" s="357"/>
      <c r="FN226" s="361"/>
      <c r="FO226" s="356"/>
      <c r="FP226" s="356"/>
      <c r="FQ226" s="163"/>
      <c r="FR226" s="356"/>
      <c r="FS226" s="356"/>
      <c r="FT226" s="357"/>
      <c r="FU226" s="361"/>
      <c r="FV226" s="356"/>
      <c r="FW226" s="356"/>
      <c r="FX226" s="163"/>
      <c r="FY226" s="356"/>
      <c r="FZ226" s="356"/>
      <c r="GA226" s="357"/>
      <c r="GB226" s="361"/>
      <c r="GC226" s="356"/>
      <c r="GD226" s="356"/>
      <c r="GE226" s="163"/>
      <c r="GF226" s="356"/>
      <c r="GG226" s="356"/>
      <c r="GH226" s="357"/>
      <c r="GI226" s="361"/>
      <c r="GJ226" s="356"/>
      <c r="GK226" s="356"/>
      <c r="GL226" s="163"/>
      <c r="GM226" s="356"/>
      <c r="GN226" s="356"/>
      <c r="GO226" s="357"/>
      <c r="GP226" s="361"/>
      <c r="GQ226" s="356"/>
      <c r="GR226" s="356"/>
      <c r="GS226" s="163"/>
      <c r="GT226" s="356"/>
      <c r="GU226" s="356"/>
      <c r="GV226" s="357"/>
      <c r="GW226" s="361"/>
      <c r="GX226" s="356"/>
      <c r="GY226" s="356"/>
      <c r="GZ226" s="163"/>
      <c r="HA226" s="356"/>
      <c r="HB226" s="356"/>
      <c r="HC226" s="357"/>
      <c r="HD226" s="361"/>
      <c r="HE226" s="356"/>
      <c r="HF226" s="356"/>
      <c r="HG226" s="163"/>
      <c r="HH226" s="356"/>
      <c r="HI226" s="356"/>
      <c r="HJ226" s="357"/>
      <c r="HK226" s="361"/>
      <c r="HL226" s="356"/>
      <c r="HM226" s="356"/>
      <c r="HN226" s="163"/>
      <c r="HO226" s="356"/>
      <c r="HP226" s="356"/>
      <c r="HQ226" s="357"/>
      <c r="HR226" s="361"/>
      <c r="HS226" s="356"/>
      <c r="HT226" s="356"/>
      <c r="HU226" s="163"/>
      <c r="HV226" s="356"/>
      <c r="HW226" s="356"/>
      <c r="HX226" s="357"/>
    </row>
    <row r="227" spans="2:232" outlineLevel="1" x14ac:dyDescent="0.25">
      <c r="B227" s="32"/>
      <c r="C227" s="333">
        <f>MAX(C220:C221)+1</f>
        <v>30</v>
      </c>
      <c r="D227" s="164" t="s">
        <v>21</v>
      </c>
      <c r="E227" s="34"/>
      <c r="F227" s="165" t="s">
        <v>529</v>
      </c>
      <c r="G227" s="165" t="s">
        <v>529</v>
      </c>
      <c r="H227" s="259" t="s">
        <v>204</v>
      </c>
      <c r="I227" s="176" t="s">
        <v>216</v>
      </c>
      <c r="J227" s="165" t="s">
        <v>171</v>
      </c>
      <c r="K227" s="165">
        <v>2031</v>
      </c>
      <c r="L227" s="165">
        <v>6</v>
      </c>
      <c r="M227" s="165"/>
      <c r="N227" s="165"/>
      <c r="O227" s="165"/>
      <c r="P227" s="165"/>
      <c r="Q227" s="165"/>
      <c r="R227" s="165"/>
      <c r="S227" s="165"/>
      <c r="T227" s="165"/>
      <c r="V227" s="11" t="s">
        <v>283</v>
      </c>
      <c r="W227" s="12"/>
      <c r="X227" s="12"/>
      <c r="Y227" s="12"/>
      <c r="Z227" s="12"/>
      <c r="AA227" s="12"/>
      <c r="AB227" s="12"/>
      <c r="AC227" s="14"/>
      <c r="AD227" s="166">
        <f>$C227</f>
        <v>30</v>
      </c>
      <c r="AE227" s="358" t="s">
        <v>175</v>
      </c>
      <c r="AF227" s="358"/>
      <c r="AG227" s="358"/>
      <c r="AH227" s="158"/>
      <c r="AI227" s="337"/>
      <c r="AJ227" s="338"/>
      <c r="AK227" s="166"/>
      <c r="AL227" s="358"/>
      <c r="AM227" s="358"/>
      <c r="AN227" s="358"/>
      <c r="AO227" s="32"/>
      <c r="AP227" s="337"/>
      <c r="AQ227" s="338"/>
      <c r="AR227" s="166"/>
      <c r="AS227" s="358"/>
      <c r="AT227" s="358"/>
      <c r="AU227" s="358"/>
      <c r="AV227" s="32"/>
      <c r="AW227" s="337"/>
      <c r="AX227" s="338"/>
      <c r="AY227" s="166"/>
      <c r="AZ227" s="362"/>
      <c r="BA227" s="362"/>
      <c r="BB227" s="362"/>
      <c r="BC227" s="158"/>
      <c r="BD227" s="337"/>
      <c r="BE227" s="338"/>
      <c r="BF227" s="166"/>
      <c r="BG227" s="362"/>
      <c r="BH227" s="362"/>
      <c r="BI227" s="362"/>
      <c r="BJ227" s="158"/>
      <c r="BK227" s="337"/>
      <c r="BL227" s="338"/>
      <c r="BM227" s="166"/>
      <c r="BN227" s="362"/>
      <c r="BO227" s="362"/>
      <c r="BP227" s="362"/>
      <c r="BQ227" s="158"/>
      <c r="BR227" s="337"/>
      <c r="BS227" s="338"/>
      <c r="BT227" s="166"/>
      <c r="BU227" s="362"/>
      <c r="BV227" s="362"/>
      <c r="BW227" s="362"/>
      <c r="BX227" s="158"/>
      <c r="BY227" s="337"/>
      <c r="BZ227" s="338"/>
      <c r="CA227" s="166"/>
      <c r="CB227" s="362"/>
      <c r="CC227" s="362"/>
      <c r="CD227" s="362"/>
      <c r="CE227" s="158"/>
      <c r="CF227" s="337"/>
      <c r="CG227" s="338"/>
      <c r="CH227" s="166"/>
      <c r="CI227" s="362"/>
      <c r="CJ227" s="362"/>
      <c r="CK227" s="362"/>
      <c r="CL227" s="158"/>
      <c r="CM227" s="337"/>
      <c r="CN227" s="338"/>
      <c r="CO227" s="166"/>
      <c r="CP227" s="362"/>
      <c r="CQ227" s="362"/>
      <c r="CR227" s="362"/>
      <c r="CS227" s="158"/>
      <c r="CT227" s="337"/>
      <c r="CU227" s="338"/>
      <c r="CV227" s="166"/>
      <c r="CW227" s="362"/>
      <c r="CX227" s="362"/>
      <c r="CY227" s="362"/>
      <c r="CZ227" s="158"/>
      <c r="DA227" s="337"/>
      <c r="DB227" s="338"/>
      <c r="DC227" s="166"/>
      <c r="DD227" s="362"/>
      <c r="DE227" s="362"/>
      <c r="DF227" s="362"/>
      <c r="DG227" s="158"/>
      <c r="DH227" s="337"/>
      <c r="DI227" s="338"/>
      <c r="DJ227" s="166"/>
      <c r="DK227" s="362"/>
      <c r="DL227" s="362"/>
      <c r="DM227" s="362"/>
      <c r="DN227" s="158"/>
      <c r="DO227" s="337"/>
      <c r="DP227" s="338"/>
      <c r="DQ227" s="166"/>
      <c r="DR227" s="362"/>
      <c r="DS227" s="362"/>
      <c r="DT227" s="362"/>
      <c r="DU227" s="158"/>
      <c r="DV227" s="337"/>
      <c r="DW227" s="338"/>
      <c r="DX227" s="166"/>
      <c r="DY227" s="362"/>
      <c r="DZ227" s="362"/>
      <c r="EA227" s="362"/>
      <c r="EB227" s="158"/>
      <c r="EC227" s="337"/>
      <c r="ED227" s="338"/>
      <c r="EE227" s="166"/>
      <c r="EF227" s="362"/>
      <c r="EG227" s="362"/>
      <c r="EH227" s="362"/>
      <c r="EI227" s="158"/>
      <c r="EJ227" s="337"/>
      <c r="EK227" s="338"/>
      <c r="EL227" s="166"/>
      <c r="EM227" s="362"/>
      <c r="EN227" s="362"/>
      <c r="EO227" s="362"/>
      <c r="EP227" s="158"/>
      <c r="EQ227" s="337"/>
      <c r="ER227" s="338"/>
      <c r="ES227" s="166"/>
      <c r="ET227" s="362"/>
      <c r="EU227" s="362"/>
      <c r="EV227" s="362"/>
      <c r="EW227" s="158"/>
      <c r="EX227" s="337"/>
      <c r="EY227" s="338"/>
      <c r="EZ227" s="166"/>
      <c r="FA227" s="362"/>
      <c r="FB227" s="362"/>
      <c r="FC227" s="362"/>
      <c r="FD227" s="158"/>
      <c r="FE227" s="337"/>
      <c r="FF227" s="338"/>
      <c r="FG227" s="166"/>
      <c r="FH227" s="362"/>
      <c r="FI227" s="362"/>
      <c r="FJ227" s="362"/>
      <c r="FK227" s="158"/>
      <c r="FL227" s="337"/>
      <c r="FM227" s="338"/>
      <c r="FN227" s="166"/>
      <c r="FO227" s="362"/>
      <c r="FP227" s="362"/>
      <c r="FQ227" s="362"/>
      <c r="FR227" s="158"/>
      <c r="FS227" s="337"/>
      <c r="FT227" s="338"/>
      <c r="FU227" s="166"/>
      <c r="FV227" s="362"/>
      <c r="FW227" s="362"/>
      <c r="FX227" s="362"/>
      <c r="FY227" s="158"/>
      <c r="FZ227" s="337"/>
      <c r="GA227" s="338"/>
      <c r="GB227" s="166"/>
      <c r="GC227" s="362"/>
      <c r="GD227" s="362"/>
      <c r="GE227" s="362"/>
      <c r="GF227" s="158"/>
      <c r="GG227" s="337"/>
      <c r="GH227" s="338"/>
      <c r="GI227" s="166"/>
      <c r="GJ227" s="362"/>
      <c r="GK227" s="362"/>
      <c r="GL227" s="362"/>
      <c r="GM227" s="158"/>
      <c r="GN227" s="337"/>
      <c r="GO227" s="338"/>
      <c r="GP227" s="166"/>
      <c r="GQ227" s="362"/>
      <c r="GR227" s="362"/>
      <c r="GS227" s="362"/>
      <c r="GT227" s="158"/>
      <c r="GU227" s="337"/>
      <c r="GV227" s="338"/>
      <c r="GW227" s="166"/>
      <c r="GX227" s="362"/>
      <c r="GY227" s="362"/>
      <c r="GZ227" s="362"/>
      <c r="HA227" s="158"/>
      <c r="HB227" s="337"/>
      <c r="HC227" s="338"/>
      <c r="HD227" s="166"/>
      <c r="HE227" s="362"/>
      <c r="HF227" s="362"/>
      <c r="HG227" s="362"/>
      <c r="HH227" s="158"/>
      <c r="HI227" s="337"/>
      <c r="HJ227" s="338"/>
      <c r="HK227" s="166"/>
      <c r="HL227" s="362"/>
      <c r="HM227" s="362"/>
      <c r="HN227" s="362"/>
      <c r="HO227" s="158"/>
      <c r="HP227" s="337"/>
      <c r="HQ227" s="338"/>
      <c r="HR227" s="166">
        <f>$AD227</f>
        <v>30</v>
      </c>
      <c r="HS227" s="358" t="s">
        <v>175</v>
      </c>
      <c r="HT227" s="358"/>
      <c r="HU227" s="358"/>
      <c r="HV227" s="257"/>
      <c r="HW227" s="337"/>
      <c r="HX227" s="338"/>
    </row>
    <row r="228" spans="2:232" outlineLevel="1" x14ac:dyDescent="0.25">
      <c r="B228" s="32"/>
      <c r="C228" s="167"/>
      <c r="D228" s="167"/>
      <c r="E228" s="34"/>
      <c r="F228" s="168"/>
      <c r="G228" s="167"/>
      <c r="H228" s="55"/>
      <c r="I228" s="177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V228" s="107"/>
      <c r="W228" s="108"/>
      <c r="X228" s="108"/>
      <c r="Y228" s="108"/>
      <c r="Z228" s="108"/>
      <c r="AA228" s="108"/>
      <c r="AB228" s="108"/>
      <c r="AC228" s="109"/>
      <c r="AD228" s="169"/>
      <c r="AE228" s="365"/>
      <c r="AF228" s="365"/>
      <c r="AG228" s="365"/>
      <c r="AH228" s="30"/>
      <c r="AI228" s="340"/>
      <c r="AJ228" s="341"/>
      <c r="AK228" s="169"/>
      <c r="AL228" s="339"/>
      <c r="AM228" s="339"/>
      <c r="AN228" s="339"/>
      <c r="AO228" s="30"/>
      <c r="AP228" s="340"/>
      <c r="AQ228" s="341"/>
      <c r="AR228" s="169"/>
      <c r="AS228" s="339"/>
      <c r="AT228" s="339"/>
      <c r="AU228" s="339"/>
      <c r="AV228" s="30"/>
      <c r="AW228" s="340"/>
      <c r="AX228" s="341"/>
      <c r="AY228" s="169"/>
      <c r="AZ228" s="339"/>
      <c r="BA228" s="339"/>
      <c r="BB228" s="339"/>
      <c r="BC228" s="30"/>
      <c r="BD228" s="340"/>
      <c r="BE228" s="341"/>
      <c r="BF228" s="169"/>
      <c r="BG228" s="339"/>
      <c r="BH228" s="339"/>
      <c r="BI228" s="339"/>
      <c r="BJ228" s="30"/>
      <c r="BK228" s="340"/>
      <c r="BL228" s="341"/>
      <c r="BM228" s="169"/>
      <c r="BN228" s="339"/>
      <c r="BO228" s="339"/>
      <c r="BP228" s="339"/>
      <c r="BQ228" s="30"/>
      <c r="BR228" s="340"/>
      <c r="BS228" s="341"/>
      <c r="BT228" s="169"/>
      <c r="BU228" s="339"/>
      <c r="BV228" s="339"/>
      <c r="BW228" s="339"/>
      <c r="BX228" s="30"/>
      <c r="BY228" s="340"/>
      <c r="BZ228" s="341"/>
      <c r="CA228" s="169"/>
      <c r="CB228" s="339"/>
      <c r="CC228" s="339"/>
      <c r="CD228" s="339"/>
      <c r="CE228" s="30"/>
      <c r="CF228" s="340"/>
      <c r="CG228" s="341"/>
      <c r="CH228" s="169"/>
      <c r="CI228" s="339"/>
      <c r="CJ228" s="339"/>
      <c r="CK228" s="339"/>
      <c r="CL228" s="30"/>
      <c r="CM228" s="340"/>
      <c r="CN228" s="341"/>
      <c r="CO228" s="169"/>
      <c r="CP228" s="339"/>
      <c r="CQ228" s="339"/>
      <c r="CR228" s="339"/>
      <c r="CS228" s="30"/>
      <c r="CT228" s="340"/>
      <c r="CU228" s="341"/>
      <c r="CV228" s="169"/>
      <c r="CW228" s="339"/>
      <c r="CX228" s="339"/>
      <c r="CY228" s="339"/>
      <c r="CZ228" s="30"/>
      <c r="DA228" s="340"/>
      <c r="DB228" s="341"/>
      <c r="DC228" s="169"/>
      <c r="DD228" s="339"/>
      <c r="DE228" s="339"/>
      <c r="DF228" s="339"/>
      <c r="DG228" s="30"/>
      <c r="DH228" s="340"/>
      <c r="DI228" s="341"/>
      <c r="DJ228" s="169"/>
      <c r="DK228" s="339"/>
      <c r="DL228" s="339"/>
      <c r="DM228" s="339"/>
      <c r="DN228" s="30"/>
      <c r="DO228" s="340"/>
      <c r="DP228" s="341"/>
      <c r="DQ228" s="169"/>
      <c r="DR228" s="339"/>
      <c r="DS228" s="339"/>
      <c r="DT228" s="339"/>
      <c r="DU228" s="30"/>
      <c r="DV228" s="340"/>
      <c r="DW228" s="341"/>
      <c r="DX228" s="169"/>
      <c r="DY228" s="339"/>
      <c r="DZ228" s="339"/>
      <c r="EA228" s="339"/>
      <c r="EB228" s="30"/>
      <c r="EC228" s="340"/>
      <c r="ED228" s="341"/>
      <c r="EE228" s="169"/>
      <c r="EF228" s="339"/>
      <c r="EG228" s="339"/>
      <c r="EH228" s="339"/>
      <c r="EI228" s="30"/>
      <c r="EJ228" s="340"/>
      <c r="EK228" s="341"/>
      <c r="EL228" s="169"/>
      <c r="EM228" s="339"/>
      <c r="EN228" s="339"/>
      <c r="EO228" s="339"/>
      <c r="EP228" s="30"/>
      <c r="EQ228" s="340"/>
      <c r="ER228" s="341"/>
      <c r="ES228" s="169"/>
      <c r="ET228" s="339"/>
      <c r="EU228" s="339"/>
      <c r="EV228" s="339"/>
      <c r="EW228" s="30"/>
      <c r="EX228" s="340"/>
      <c r="EY228" s="341"/>
      <c r="EZ228" s="169"/>
      <c r="FA228" s="339"/>
      <c r="FB228" s="339"/>
      <c r="FC228" s="339"/>
      <c r="FD228" s="30"/>
      <c r="FE228" s="340"/>
      <c r="FF228" s="341"/>
      <c r="FG228" s="169"/>
      <c r="FH228" s="339"/>
      <c r="FI228" s="339"/>
      <c r="FJ228" s="339"/>
      <c r="FK228" s="30"/>
      <c r="FL228" s="340"/>
      <c r="FM228" s="341"/>
      <c r="FN228" s="169"/>
      <c r="FO228" s="339"/>
      <c r="FP228" s="339"/>
      <c r="FQ228" s="339"/>
      <c r="FR228" s="30"/>
      <c r="FS228" s="340"/>
      <c r="FT228" s="341"/>
      <c r="FU228" s="169"/>
      <c r="FV228" s="339"/>
      <c r="FW228" s="339"/>
      <c r="FX228" s="339"/>
      <c r="FY228" s="30"/>
      <c r="FZ228" s="340"/>
      <c r="GA228" s="341"/>
      <c r="GB228" s="169"/>
      <c r="GC228" s="339"/>
      <c r="GD228" s="339"/>
      <c r="GE228" s="339"/>
      <c r="GF228" s="30"/>
      <c r="GG228" s="340"/>
      <c r="GH228" s="341"/>
      <c r="GI228" s="169"/>
      <c r="GJ228" s="339"/>
      <c r="GK228" s="339"/>
      <c r="GL228" s="339"/>
      <c r="GM228" s="30"/>
      <c r="GN228" s="340"/>
      <c r="GO228" s="341"/>
      <c r="GP228" s="169"/>
      <c r="GQ228" s="339"/>
      <c r="GR228" s="339"/>
      <c r="GS228" s="339"/>
      <c r="GT228" s="30"/>
      <c r="GU228" s="340"/>
      <c r="GV228" s="341"/>
      <c r="GW228" s="169"/>
      <c r="GX228" s="339"/>
      <c r="GY228" s="339"/>
      <c r="GZ228" s="339"/>
      <c r="HA228" s="30"/>
      <c r="HB228" s="340"/>
      <c r="HC228" s="341"/>
      <c r="HD228" s="169"/>
      <c r="HE228" s="339"/>
      <c r="HF228" s="339"/>
      <c r="HG228" s="339"/>
      <c r="HH228" s="30"/>
      <c r="HI228" s="340"/>
      <c r="HJ228" s="341"/>
      <c r="HK228" s="169"/>
      <c r="HL228" s="339"/>
      <c r="HM228" s="339"/>
      <c r="HN228" s="339"/>
      <c r="HO228" s="30"/>
      <c r="HP228" s="340"/>
      <c r="HQ228" s="341"/>
      <c r="HR228" s="169"/>
      <c r="HS228" s="365"/>
      <c r="HT228" s="365"/>
      <c r="HU228" s="365"/>
      <c r="HV228" s="258"/>
      <c r="HW228" s="340"/>
      <c r="HX228" s="341"/>
    </row>
  </sheetData>
  <mergeCells count="10218">
    <mergeCell ref="FH228:FJ228"/>
    <mergeCell ref="FL228:FM228"/>
    <mergeCell ref="FN88:FR88"/>
    <mergeCell ref="FN89:FP89"/>
    <mergeCell ref="FR89:FT89"/>
    <mergeCell ref="HV146:HX146"/>
    <mergeCell ref="HV153:HX153"/>
    <mergeCell ref="HV160:HX160"/>
    <mergeCell ref="HV167:HX167"/>
    <mergeCell ref="HV174:HX174"/>
    <mergeCell ref="HV181:HX181"/>
    <mergeCell ref="HV188:HX188"/>
    <mergeCell ref="HV195:HX195"/>
    <mergeCell ref="HV202:HX202"/>
    <mergeCell ref="HV209:HX209"/>
    <mergeCell ref="HV216:HX216"/>
    <mergeCell ref="HV223:HX223"/>
    <mergeCell ref="FG217:FI217"/>
    <mergeCell ref="FK217:FM217"/>
    <mergeCell ref="FG218:FI218"/>
    <mergeCell ref="FK218:FM218"/>
    <mergeCell ref="FG219:FI219"/>
    <mergeCell ref="FK219:FM219"/>
    <mergeCell ref="FH220:FJ220"/>
    <mergeCell ref="FL220:FM220"/>
    <mergeCell ref="FH221:FJ221"/>
    <mergeCell ref="FL221:FM221"/>
    <mergeCell ref="FG224:FI224"/>
    <mergeCell ref="FK224:FM224"/>
    <mergeCell ref="FG225:FI225"/>
    <mergeCell ref="FK225:FM225"/>
    <mergeCell ref="FG226:FI226"/>
    <mergeCell ref="FK226:FM226"/>
    <mergeCell ref="FH227:FJ227"/>
    <mergeCell ref="FL227:FM227"/>
    <mergeCell ref="FG204:FI204"/>
    <mergeCell ref="FK204:FM204"/>
    <mergeCell ref="FG205:FI205"/>
    <mergeCell ref="FK205:FM205"/>
    <mergeCell ref="FH206:FJ206"/>
    <mergeCell ref="FL206:FM206"/>
    <mergeCell ref="FH207:FJ207"/>
    <mergeCell ref="FL207:FM207"/>
    <mergeCell ref="FG210:FI210"/>
    <mergeCell ref="FK210:FM210"/>
    <mergeCell ref="FG211:FI211"/>
    <mergeCell ref="FK211:FM211"/>
    <mergeCell ref="FG212:FI212"/>
    <mergeCell ref="FK212:FM212"/>
    <mergeCell ref="FH213:FJ213"/>
    <mergeCell ref="FL213:FM213"/>
    <mergeCell ref="FH214:FJ214"/>
    <mergeCell ref="FL214:FM214"/>
    <mergeCell ref="FG191:FI191"/>
    <mergeCell ref="FK191:FM191"/>
    <mergeCell ref="FH192:FJ192"/>
    <mergeCell ref="FL192:FM192"/>
    <mergeCell ref="FH193:FJ193"/>
    <mergeCell ref="FL193:FM193"/>
    <mergeCell ref="FG196:FI196"/>
    <mergeCell ref="FK196:FM196"/>
    <mergeCell ref="FG197:FI197"/>
    <mergeCell ref="FK197:FM197"/>
    <mergeCell ref="FG198:FI198"/>
    <mergeCell ref="FK198:FM198"/>
    <mergeCell ref="FH199:FJ199"/>
    <mergeCell ref="FL199:FM199"/>
    <mergeCell ref="FH200:FJ200"/>
    <mergeCell ref="FL200:FM200"/>
    <mergeCell ref="FG203:FI203"/>
    <mergeCell ref="FK203:FM203"/>
    <mergeCell ref="FH178:FJ178"/>
    <mergeCell ref="FL178:FM178"/>
    <mergeCell ref="FH179:FJ179"/>
    <mergeCell ref="FL179:FM179"/>
    <mergeCell ref="FG182:FI182"/>
    <mergeCell ref="FK182:FM182"/>
    <mergeCell ref="FG183:FI183"/>
    <mergeCell ref="FK183:FM183"/>
    <mergeCell ref="FG184:FI184"/>
    <mergeCell ref="FK184:FM184"/>
    <mergeCell ref="FH185:FJ185"/>
    <mergeCell ref="FL185:FM185"/>
    <mergeCell ref="FH186:FJ186"/>
    <mergeCell ref="FL186:FM186"/>
    <mergeCell ref="FG189:FI189"/>
    <mergeCell ref="FK189:FM189"/>
    <mergeCell ref="FG190:FI190"/>
    <mergeCell ref="FK190:FM190"/>
    <mergeCell ref="FH165:FJ165"/>
    <mergeCell ref="FL165:FM165"/>
    <mergeCell ref="FG168:FI168"/>
    <mergeCell ref="FK168:FM168"/>
    <mergeCell ref="FG169:FI169"/>
    <mergeCell ref="FK169:FM169"/>
    <mergeCell ref="FG170:FI170"/>
    <mergeCell ref="FK170:FM170"/>
    <mergeCell ref="FH171:FJ171"/>
    <mergeCell ref="FL171:FM171"/>
    <mergeCell ref="FH172:FJ172"/>
    <mergeCell ref="FL172:FM172"/>
    <mergeCell ref="FG175:FI175"/>
    <mergeCell ref="FK175:FM175"/>
    <mergeCell ref="FG176:FI176"/>
    <mergeCell ref="FK176:FM176"/>
    <mergeCell ref="FG177:FI177"/>
    <mergeCell ref="FK177:FM177"/>
    <mergeCell ref="FG154:FI154"/>
    <mergeCell ref="FK154:FM154"/>
    <mergeCell ref="FG155:FI155"/>
    <mergeCell ref="FK155:FM155"/>
    <mergeCell ref="FG156:FI156"/>
    <mergeCell ref="FK156:FM156"/>
    <mergeCell ref="FH157:FJ157"/>
    <mergeCell ref="FL157:FM157"/>
    <mergeCell ref="FH158:FJ158"/>
    <mergeCell ref="FL158:FM158"/>
    <mergeCell ref="FG161:FI161"/>
    <mergeCell ref="FK161:FM161"/>
    <mergeCell ref="FG162:FI162"/>
    <mergeCell ref="FK162:FM162"/>
    <mergeCell ref="FG163:FI163"/>
    <mergeCell ref="FK163:FM163"/>
    <mergeCell ref="FH164:FJ164"/>
    <mergeCell ref="FL164:FM164"/>
    <mergeCell ref="FG140:FI140"/>
    <mergeCell ref="FK140:FM140"/>
    <mergeCell ref="FG141:FI141"/>
    <mergeCell ref="FK141:FM141"/>
    <mergeCell ref="FH142:FJ142"/>
    <mergeCell ref="FL142:FM142"/>
    <mergeCell ref="FH143:FJ143"/>
    <mergeCell ref="FL143:FM143"/>
    <mergeCell ref="FG147:FI147"/>
    <mergeCell ref="FK147:FM147"/>
    <mergeCell ref="FG148:FI148"/>
    <mergeCell ref="FK148:FM148"/>
    <mergeCell ref="FG149:FI149"/>
    <mergeCell ref="FK149:FM149"/>
    <mergeCell ref="FH150:FJ150"/>
    <mergeCell ref="FL150:FM150"/>
    <mergeCell ref="FH151:FJ151"/>
    <mergeCell ref="FL151:FM151"/>
    <mergeCell ref="FG130:FK130"/>
    <mergeCell ref="FG131:FI131"/>
    <mergeCell ref="FK131:FM131"/>
    <mergeCell ref="FG132:FI132"/>
    <mergeCell ref="FK132:FM132"/>
    <mergeCell ref="FG133:FI133"/>
    <mergeCell ref="FK133:FM133"/>
    <mergeCell ref="FG134:FI134"/>
    <mergeCell ref="FK134:FM134"/>
    <mergeCell ref="FH135:FJ135"/>
    <mergeCell ref="FL135:FM135"/>
    <mergeCell ref="FH136:FJ136"/>
    <mergeCell ref="FL136:FM136"/>
    <mergeCell ref="FG137:FK137"/>
    <mergeCell ref="FG138:FI138"/>
    <mergeCell ref="FK138:FM138"/>
    <mergeCell ref="FG139:FI139"/>
    <mergeCell ref="FK139:FM139"/>
    <mergeCell ref="FH121:FJ121"/>
    <mergeCell ref="FL121:FM121"/>
    <mergeCell ref="FH122:FJ122"/>
    <mergeCell ref="FL122:FM122"/>
    <mergeCell ref="FG123:FK123"/>
    <mergeCell ref="FG124:FI124"/>
    <mergeCell ref="FK124:FM124"/>
    <mergeCell ref="FG125:FI125"/>
    <mergeCell ref="FK125:FM125"/>
    <mergeCell ref="FG126:FI126"/>
    <mergeCell ref="FK126:FM126"/>
    <mergeCell ref="FG127:FI127"/>
    <mergeCell ref="FK127:FM127"/>
    <mergeCell ref="FH128:FJ128"/>
    <mergeCell ref="FL128:FM128"/>
    <mergeCell ref="FH129:FJ129"/>
    <mergeCell ref="FL129:FM129"/>
    <mergeCell ref="FG112:FI112"/>
    <mergeCell ref="FK112:FM112"/>
    <mergeCell ref="FG113:FI113"/>
    <mergeCell ref="FK113:FM113"/>
    <mergeCell ref="FH114:FJ114"/>
    <mergeCell ref="FL114:FM114"/>
    <mergeCell ref="FH115:FJ115"/>
    <mergeCell ref="FL115:FM115"/>
    <mergeCell ref="FG116:FK116"/>
    <mergeCell ref="FG117:FI117"/>
    <mergeCell ref="FK117:FM117"/>
    <mergeCell ref="FG118:FI118"/>
    <mergeCell ref="FK118:FM118"/>
    <mergeCell ref="FG119:FI119"/>
    <mergeCell ref="FK119:FM119"/>
    <mergeCell ref="FG120:FI120"/>
    <mergeCell ref="FK120:FM120"/>
    <mergeCell ref="FG102:FK102"/>
    <mergeCell ref="FG103:FI103"/>
    <mergeCell ref="FK103:FM103"/>
    <mergeCell ref="FG104:FI104"/>
    <mergeCell ref="FK104:FM104"/>
    <mergeCell ref="FG105:FI105"/>
    <mergeCell ref="FK105:FM105"/>
    <mergeCell ref="FG106:FI106"/>
    <mergeCell ref="FK106:FM106"/>
    <mergeCell ref="FH107:FJ107"/>
    <mergeCell ref="FL107:FM107"/>
    <mergeCell ref="FH108:FJ108"/>
    <mergeCell ref="FL108:FM108"/>
    <mergeCell ref="FG109:FK109"/>
    <mergeCell ref="FG110:FI110"/>
    <mergeCell ref="FK110:FM110"/>
    <mergeCell ref="FG111:FI111"/>
    <mergeCell ref="FK111:FM111"/>
    <mergeCell ref="FH93:FJ93"/>
    <mergeCell ref="FL93:FM93"/>
    <mergeCell ref="FH94:FJ94"/>
    <mergeCell ref="FL94:FM94"/>
    <mergeCell ref="FG95:FK95"/>
    <mergeCell ref="FG96:FI96"/>
    <mergeCell ref="FK96:FM96"/>
    <mergeCell ref="FG97:FI97"/>
    <mergeCell ref="FK97:FM97"/>
    <mergeCell ref="FG98:FI98"/>
    <mergeCell ref="FK98:FM98"/>
    <mergeCell ref="FG99:FI99"/>
    <mergeCell ref="FK99:FM99"/>
    <mergeCell ref="FH100:FJ100"/>
    <mergeCell ref="FL100:FM100"/>
    <mergeCell ref="FH101:FJ101"/>
    <mergeCell ref="FL101:FM101"/>
    <mergeCell ref="FG60:FK60"/>
    <mergeCell ref="FG61:FI61"/>
    <mergeCell ref="FK61:FM61"/>
    <mergeCell ref="FG62:FI62"/>
    <mergeCell ref="FK62:FM62"/>
    <mergeCell ref="FG63:FI63"/>
    <mergeCell ref="FK63:FM63"/>
    <mergeCell ref="FG64:FI64"/>
    <mergeCell ref="FK64:FM64"/>
    <mergeCell ref="FG84:FI84"/>
    <mergeCell ref="FK84:FM84"/>
    <mergeCell ref="FG85:FI85"/>
    <mergeCell ref="FK85:FM85"/>
    <mergeCell ref="FH86:FJ86"/>
    <mergeCell ref="FL86:FM86"/>
    <mergeCell ref="FH87:FJ87"/>
    <mergeCell ref="FL87:FM87"/>
    <mergeCell ref="FG88:FK88"/>
    <mergeCell ref="FG89:FI89"/>
    <mergeCell ref="FK89:FM89"/>
    <mergeCell ref="FG90:FI90"/>
    <mergeCell ref="FK90:FM90"/>
    <mergeCell ref="FG91:FI91"/>
    <mergeCell ref="FK91:FM91"/>
    <mergeCell ref="FG92:FI92"/>
    <mergeCell ref="FK92:FM92"/>
    <mergeCell ref="FG74:FK74"/>
    <mergeCell ref="FG75:FI75"/>
    <mergeCell ref="FK75:FM75"/>
    <mergeCell ref="FG76:FI76"/>
    <mergeCell ref="FK76:FM76"/>
    <mergeCell ref="FG77:FI77"/>
    <mergeCell ref="FK77:FM77"/>
    <mergeCell ref="FG78:FI78"/>
    <mergeCell ref="FK78:FM78"/>
    <mergeCell ref="FH79:FJ79"/>
    <mergeCell ref="FL79:FM79"/>
    <mergeCell ref="FH80:FJ80"/>
    <mergeCell ref="FL80:FM80"/>
    <mergeCell ref="FG81:FK81"/>
    <mergeCell ref="FG82:FI82"/>
    <mergeCell ref="FK82:FM82"/>
    <mergeCell ref="FG83:FI83"/>
    <mergeCell ref="FK83:FM83"/>
    <mergeCell ref="FH73:FJ73"/>
    <mergeCell ref="FL73:FM73"/>
    <mergeCell ref="FG56:FI56"/>
    <mergeCell ref="FK56:FM56"/>
    <mergeCell ref="FG57:FI57"/>
    <mergeCell ref="FK57:FM57"/>
    <mergeCell ref="FH58:FJ58"/>
    <mergeCell ref="FL58:FM58"/>
    <mergeCell ref="FH59:FJ59"/>
    <mergeCell ref="FL59:FM59"/>
    <mergeCell ref="FG19:FI19"/>
    <mergeCell ref="FK19:FM19"/>
    <mergeCell ref="FG20:FI20"/>
    <mergeCell ref="FK20:FM20"/>
    <mergeCell ref="FG21:FI21"/>
    <mergeCell ref="FK21:FM21"/>
    <mergeCell ref="FG22:FI22"/>
    <mergeCell ref="FK22:FM22"/>
    <mergeCell ref="FH23:FJ23"/>
    <mergeCell ref="FL23:FM23"/>
    <mergeCell ref="FH24:FJ24"/>
    <mergeCell ref="FL24:FM24"/>
    <mergeCell ref="FG25:FK25"/>
    <mergeCell ref="FG26:FI26"/>
    <mergeCell ref="FK26:FM26"/>
    <mergeCell ref="FG27:FI27"/>
    <mergeCell ref="FK27:FM27"/>
    <mergeCell ref="FG46:FK46"/>
    <mergeCell ref="FG47:FI47"/>
    <mergeCell ref="FK47:FM47"/>
    <mergeCell ref="FG48:FI48"/>
    <mergeCell ref="FK48:FM48"/>
    <mergeCell ref="FG49:FI49"/>
    <mergeCell ref="FK49:FM49"/>
    <mergeCell ref="FG50:FI50"/>
    <mergeCell ref="FK50:FM50"/>
    <mergeCell ref="FH51:FJ51"/>
    <mergeCell ref="FL51:FM51"/>
    <mergeCell ref="FH52:FJ52"/>
    <mergeCell ref="FL52:FM52"/>
    <mergeCell ref="FG53:FK53"/>
    <mergeCell ref="FG54:FI54"/>
    <mergeCell ref="FK54:FM54"/>
    <mergeCell ref="FH37:FJ37"/>
    <mergeCell ref="FL37:FM37"/>
    <mergeCell ref="FH38:FJ38"/>
    <mergeCell ref="FL38:FM38"/>
    <mergeCell ref="FG39:FK39"/>
    <mergeCell ref="FG40:FI40"/>
    <mergeCell ref="FK40:FM40"/>
    <mergeCell ref="FG41:FI41"/>
    <mergeCell ref="FK41:FM41"/>
    <mergeCell ref="FG42:FI42"/>
    <mergeCell ref="FK42:FM42"/>
    <mergeCell ref="FG43:FI43"/>
    <mergeCell ref="FK43:FM43"/>
    <mergeCell ref="FH44:FJ44"/>
    <mergeCell ref="FL44:FM44"/>
    <mergeCell ref="FH45:FJ45"/>
    <mergeCell ref="FL45:FM45"/>
    <mergeCell ref="FG28:FI28"/>
    <mergeCell ref="FK28:FM28"/>
    <mergeCell ref="FG29:FI29"/>
    <mergeCell ref="FK29:FM29"/>
    <mergeCell ref="FH30:FJ30"/>
    <mergeCell ref="FL30:FM30"/>
    <mergeCell ref="FH31:FJ31"/>
    <mergeCell ref="FL31:FM31"/>
    <mergeCell ref="FG32:FK32"/>
    <mergeCell ref="FG33:FI33"/>
    <mergeCell ref="FK33:FM33"/>
    <mergeCell ref="FG34:FI34"/>
    <mergeCell ref="FK34:FM34"/>
    <mergeCell ref="FG35:FI35"/>
    <mergeCell ref="FK35:FM35"/>
    <mergeCell ref="FG36:FI36"/>
    <mergeCell ref="FK36:FM36"/>
    <mergeCell ref="FG55:FI55"/>
    <mergeCell ref="FK55:FM55"/>
    <mergeCell ref="FH65:FJ65"/>
    <mergeCell ref="FL65:FM65"/>
    <mergeCell ref="FH66:FJ66"/>
    <mergeCell ref="FL66:FM66"/>
    <mergeCell ref="FG67:FK67"/>
    <mergeCell ref="FG68:FI68"/>
    <mergeCell ref="FK68:FM68"/>
    <mergeCell ref="FG69:FI69"/>
    <mergeCell ref="FK69:FM69"/>
    <mergeCell ref="FG70:FI70"/>
    <mergeCell ref="FK70:FM70"/>
    <mergeCell ref="FG71:FI71"/>
    <mergeCell ref="FK71:FM71"/>
    <mergeCell ref="FH72:FJ72"/>
    <mergeCell ref="FL72:FM72"/>
    <mergeCell ref="BG228:BI228"/>
    <mergeCell ref="BK228:BL228"/>
    <mergeCell ref="BM118:BO118"/>
    <mergeCell ref="BQ118:BS118"/>
    <mergeCell ref="BM119:BO119"/>
    <mergeCell ref="BQ119:BS119"/>
    <mergeCell ref="BM120:BO120"/>
    <mergeCell ref="BQ120:BS120"/>
    <mergeCell ref="BN121:BP121"/>
    <mergeCell ref="BR121:BS121"/>
    <mergeCell ref="BN122:BP122"/>
    <mergeCell ref="BR122:BS122"/>
    <mergeCell ref="BM125:BO125"/>
    <mergeCell ref="BQ125:BS125"/>
    <mergeCell ref="BM126:BO126"/>
    <mergeCell ref="BQ126:BS126"/>
    <mergeCell ref="BM127:BO127"/>
    <mergeCell ref="BQ127:BS127"/>
    <mergeCell ref="BN128:BP128"/>
    <mergeCell ref="BR128:BS128"/>
    <mergeCell ref="BN129:BP129"/>
    <mergeCell ref="BR129:BS129"/>
    <mergeCell ref="BM132:BO132"/>
    <mergeCell ref="BQ132:BS132"/>
    <mergeCell ref="BM133:BO133"/>
    <mergeCell ref="BQ133:BS133"/>
    <mergeCell ref="BM134:BO134"/>
    <mergeCell ref="BQ134:BS134"/>
    <mergeCell ref="BF211:BH211"/>
    <mergeCell ref="BJ211:BL211"/>
    <mergeCell ref="BF212:BH212"/>
    <mergeCell ref="BJ212:BL212"/>
    <mergeCell ref="BG213:BI213"/>
    <mergeCell ref="BK213:BL213"/>
    <mergeCell ref="BG214:BI214"/>
    <mergeCell ref="BK214:BL214"/>
    <mergeCell ref="BF217:BH217"/>
    <mergeCell ref="BJ217:BL217"/>
    <mergeCell ref="BF218:BH218"/>
    <mergeCell ref="BJ218:BL218"/>
    <mergeCell ref="BF219:BH219"/>
    <mergeCell ref="BJ219:BL219"/>
    <mergeCell ref="BG221:BI221"/>
    <mergeCell ref="BK221:BL221"/>
    <mergeCell ref="BF198:BH198"/>
    <mergeCell ref="BJ198:BL198"/>
    <mergeCell ref="BG199:BI199"/>
    <mergeCell ref="BK199:BL199"/>
    <mergeCell ref="BG200:BI200"/>
    <mergeCell ref="BK200:BL200"/>
    <mergeCell ref="BF203:BH203"/>
    <mergeCell ref="BJ203:BL203"/>
    <mergeCell ref="BF204:BH204"/>
    <mergeCell ref="BJ204:BL204"/>
    <mergeCell ref="BF205:BH205"/>
    <mergeCell ref="BJ205:BL205"/>
    <mergeCell ref="BG206:BI206"/>
    <mergeCell ref="BK206:BL206"/>
    <mergeCell ref="BG207:BI207"/>
    <mergeCell ref="BK207:BL207"/>
    <mergeCell ref="BG165:BI165"/>
    <mergeCell ref="BK165:BL165"/>
    <mergeCell ref="BG164:BI164"/>
    <mergeCell ref="BK164:BL164"/>
    <mergeCell ref="BF168:BH168"/>
    <mergeCell ref="BJ168:BL168"/>
    <mergeCell ref="BF141:BH141"/>
    <mergeCell ref="BJ141:BL141"/>
    <mergeCell ref="BG142:BI142"/>
    <mergeCell ref="BK142:BL142"/>
    <mergeCell ref="BG143:BI143"/>
    <mergeCell ref="BK143:BL143"/>
    <mergeCell ref="BF147:BH147"/>
    <mergeCell ref="BJ147:BL147"/>
    <mergeCell ref="BF148:BH148"/>
    <mergeCell ref="BJ148:BL148"/>
    <mergeCell ref="BF149:BH149"/>
    <mergeCell ref="BJ149:BL149"/>
    <mergeCell ref="BG150:BI150"/>
    <mergeCell ref="BK150:BL150"/>
    <mergeCell ref="BG151:BI151"/>
    <mergeCell ref="BK151:BL151"/>
    <mergeCell ref="BF154:BH154"/>
    <mergeCell ref="BJ154:BL154"/>
    <mergeCell ref="BG193:BI193"/>
    <mergeCell ref="BK193:BL193"/>
    <mergeCell ref="BF196:BH196"/>
    <mergeCell ref="BJ196:BL196"/>
    <mergeCell ref="BF169:BH169"/>
    <mergeCell ref="BJ169:BL169"/>
    <mergeCell ref="BF170:BH170"/>
    <mergeCell ref="BJ170:BL170"/>
    <mergeCell ref="BG171:BI171"/>
    <mergeCell ref="BK171:BL171"/>
    <mergeCell ref="BG172:BI172"/>
    <mergeCell ref="BK172:BL172"/>
    <mergeCell ref="BF175:BH175"/>
    <mergeCell ref="BJ175:BL175"/>
    <mergeCell ref="BF176:BH176"/>
    <mergeCell ref="BJ176:BL176"/>
    <mergeCell ref="BF177:BH177"/>
    <mergeCell ref="BJ177:BL177"/>
    <mergeCell ref="BG178:BI178"/>
    <mergeCell ref="BK178:BL178"/>
    <mergeCell ref="BG179:BI179"/>
    <mergeCell ref="BK179:BL179"/>
    <mergeCell ref="BF106:BH106"/>
    <mergeCell ref="BJ106:BL106"/>
    <mergeCell ref="BG107:BI107"/>
    <mergeCell ref="BK107:BL107"/>
    <mergeCell ref="BG108:BI108"/>
    <mergeCell ref="BK108:BL108"/>
    <mergeCell ref="BF109:BJ109"/>
    <mergeCell ref="BF110:BH110"/>
    <mergeCell ref="BJ110:BL110"/>
    <mergeCell ref="BF111:BH111"/>
    <mergeCell ref="BJ111:BL111"/>
    <mergeCell ref="BF112:BH112"/>
    <mergeCell ref="BJ112:BL112"/>
    <mergeCell ref="BF126:BH126"/>
    <mergeCell ref="BJ126:BL126"/>
    <mergeCell ref="BF127:BH127"/>
    <mergeCell ref="BJ127:BL127"/>
    <mergeCell ref="BG128:BI128"/>
    <mergeCell ref="BK128:BL128"/>
    <mergeCell ref="BG129:BI129"/>
    <mergeCell ref="BK129:BL129"/>
    <mergeCell ref="BF130:BJ130"/>
    <mergeCell ref="BF131:BH131"/>
    <mergeCell ref="BJ131:BL131"/>
    <mergeCell ref="BF156:BH156"/>
    <mergeCell ref="BJ156:BL156"/>
    <mergeCell ref="BG157:BI157"/>
    <mergeCell ref="BK157:BL157"/>
    <mergeCell ref="BG158:BI158"/>
    <mergeCell ref="BK158:BL158"/>
    <mergeCell ref="BF161:BH161"/>
    <mergeCell ref="BJ161:BL161"/>
    <mergeCell ref="BF162:BH162"/>
    <mergeCell ref="BJ162:BL162"/>
    <mergeCell ref="BJ21:BL21"/>
    <mergeCell ref="BF22:BH22"/>
    <mergeCell ref="BJ22:BL22"/>
    <mergeCell ref="BG23:BI23"/>
    <mergeCell ref="BK23:BL23"/>
    <mergeCell ref="BG24:BI24"/>
    <mergeCell ref="BK24:BL24"/>
    <mergeCell ref="BF25:BJ25"/>
    <mergeCell ref="BF26:BH26"/>
    <mergeCell ref="BJ26:BL26"/>
    <mergeCell ref="BF27:BH27"/>
    <mergeCell ref="BJ27:BL27"/>
    <mergeCell ref="BG51:BI51"/>
    <mergeCell ref="BK51:BL51"/>
    <mergeCell ref="BG52:BI52"/>
    <mergeCell ref="BK52:BL52"/>
    <mergeCell ref="BF53:BJ53"/>
    <mergeCell ref="BF54:BH54"/>
    <mergeCell ref="BJ54:BL54"/>
    <mergeCell ref="BF55:BH55"/>
    <mergeCell ref="BJ55:BL55"/>
    <mergeCell ref="BF56:BH56"/>
    <mergeCell ref="BJ56:BL56"/>
    <mergeCell ref="BF57:BH57"/>
    <mergeCell ref="BJ57:BL57"/>
    <mergeCell ref="BG58:BI58"/>
    <mergeCell ref="BK58:BL58"/>
    <mergeCell ref="BG59:BI59"/>
    <mergeCell ref="BK59:BL59"/>
    <mergeCell ref="BF42:BH42"/>
    <mergeCell ref="BJ42:BL42"/>
    <mergeCell ref="BF43:BH43"/>
    <mergeCell ref="BJ43:BL43"/>
    <mergeCell ref="BG44:BI44"/>
    <mergeCell ref="BK44:BL44"/>
    <mergeCell ref="BG45:BI45"/>
    <mergeCell ref="BK45:BL45"/>
    <mergeCell ref="BF46:BJ46"/>
    <mergeCell ref="BF47:BH47"/>
    <mergeCell ref="BJ47:BL47"/>
    <mergeCell ref="BF48:BH48"/>
    <mergeCell ref="BJ48:BL48"/>
    <mergeCell ref="BF49:BH49"/>
    <mergeCell ref="BJ49:BL49"/>
    <mergeCell ref="BF50:BH50"/>
    <mergeCell ref="BJ50:BL50"/>
    <mergeCell ref="GX221:GZ221"/>
    <mergeCell ref="HB221:HC221"/>
    <mergeCell ref="GW224:GY224"/>
    <mergeCell ref="HA224:HC224"/>
    <mergeCell ref="GW225:GY225"/>
    <mergeCell ref="HA225:HC225"/>
    <mergeCell ref="GW226:GY226"/>
    <mergeCell ref="HA226:HC226"/>
    <mergeCell ref="GX227:GZ227"/>
    <mergeCell ref="HB227:HC227"/>
    <mergeCell ref="GX228:GZ228"/>
    <mergeCell ref="HB228:HC228"/>
    <mergeCell ref="GW210:GY210"/>
    <mergeCell ref="HA210:HC210"/>
    <mergeCell ref="GW211:GY211"/>
    <mergeCell ref="HA211:HC211"/>
    <mergeCell ref="GW212:GY212"/>
    <mergeCell ref="HA212:HC212"/>
    <mergeCell ref="GX213:GZ213"/>
    <mergeCell ref="HB213:HC213"/>
    <mergeCell ref="GX214:GZ214"/>
    <mergeCell ref="HB214:HC214"/>
    <mergeCell ref="GW217:GY217"/>
    <mergeCell ref="HA217:HC217"/>
    <mergeCell ref="GW218:GY218"/>
    <mergeCell ref="HA218:HC218"/>
    <mergeCell ref="GW219:GY219"/>
    <mergeCell ref="HA219:HC219"/>
    <mergeCell ref="GX220:GZ220"/>
    <mergeCell ref="HB220:HC220"/>
    <mergeCell ref="BF28:BH28"/>
    <mergeCell ref="BJ28:BL28"/>
    <mergeCell ref="BF29:BH29"/>
    <mergeCell ref="BJ29:BL29"/>
    <mergeCell ref="BG30:BI30"/>
    <mergeCell ref="BK30:BL30"/>
    <mergeCell ref="BG31:BI31"/>
    <mergeCell ref="BK31:BL31"/>
    <mergeCell ref="BF32:BJ32"/>
    <mergeCell ref="BF33:BH33"/>
    <mergeCell ref="BJ33:BL33"/>
    <mergeCell ref="BF34:BH34"/>
    <mergeCell ref="BJ34:BL34"/>
    <mergeCell ref="BF35:BH35"/>
    <mergeCell ref="BJ35:BL35"/>
    <mergeCell ref="BF36:BH36"/>
    <mergeCell ref="BJ36:BL36"/>
    <mergeCell ref="BJ75:BL75"/>
    <mergeCell ref="BF76:BH76"/>
    <mergeCell ref="BJ76:BL76"/>
    <mergeCell ref="BF77:BH77"/>
    <mergeCell ref="BJ77:BL77"/>
    <mergeCell ref="BF78:BH78"/>
    <mergeCell ref="BJ78:BL78"/>
    <mergeCell ref="BG79:BI79"/>
    <mergeCell ref="BK79:BL79"/>
    <mergeCell ref="BG80:BI80"/>
    <mergeCell ref="BK80:BL80"/>
    <mergeCell ref="BF81:BJ81"/>
    <mergeCell ref="BF82:BH82"/>
    <mergeCell ref="BJ82:BL82"/>
    <mergeCell ref="BF83:BH83"/>
    <mergeCell ref="BJ83:BL83"/>
    <mergeCell ref="BF84:BH84"/>
    <mergeCell ref="GX164:GZ164"/>
    <mergeCell ref="HB164:HC164"/>
    <mergeCell ref="GX165:GZ165"/>
    <mergeCell ref="HB165:HC165"/>
    <mergeCell ref="GW168:GY168"/>
    <mergeCell ref="HA168:HC168"/>
    <mergeCell ref="GW169:GY169"/>
    <mergeCell ref="HA169:HC169"/>
    <mergeCell ref="GX171:GZ171"/>
    <mergeCell ref="HB171:HC171"/>
    <mergeCell ref="GX172:GZ172"/>
    <mergeCell ref="HB172:HC172"/>
    <mergeCell ref="GW175:GY175"/>
    <mergeCell ref="HA175:HC175"/>
    <mergeCell ref="GW176:GY176"/>
    <mergeCell ref="HA176:HC176"/>
    <mergeCell ref="GW177:GY177"/>
    <mergeCell ref="HA177:HC177"/>
    <mergeCell ref="GX178:GZ178"/>
    <mergeCell ref="HB178:HC178"/>
    <mergeCell ref="GX179:GZ179"/>
    <mergeCell ref="HB179:HC179"/>
    <mergeCell ref="GW182:GY182"/>
    <mergeCell ref="HA182:HC182"/>
    <mergeCell ref="GW183:GY183"/>
    <mergeCell ref="HA183:HC183"/>
    <mergeCell ref="GX206:GZ206"/>
    <mergeCell ref="HB206:HC206"/>
    <mergeCell ref="GX207:GZ207"/>
    <mergeCell ref="HB207:HC207"/>
    <mergeCell ref="GW184:GY184"/>
    <mergeCell ref="HA184:HC184"/>
    <mergeCell ref="GX185:GZ185"/>
    <mergeCell ref="HB185:HC185"/>
    <mergeCell ref="GX186:GZ186"/>
    <mergeCell ref="HB186:HC186"/>
    <mergeCell ref="GW189:GY189"/>
    <mergeCell ref="HA189:HC189"/>
    <mergeCell ref="GW190:GY190"/>
    <mergeCell ref="HA190:HC190"/>
    <mergeCell ref="GW191:GY191"/>
    <mergeCell ref="HA191:HC191"/>
    <mergeCell ref="GX192:GZ192"/>
    <mergeCell ref="HB192:HC192"/>
    <mergeCell ref="GX193:GZ193"/>
    <mergeCell ref="HB193:HC193"/>
    <mergeCell ref="GW196:GY196"/>
    <mergeCell ref="HA196:HC196"/>
    <mergeCell ref="GW197:GY197"/>
    <mergeCell ref="HA197:HC197"/>
    <mergeCell ref="GW198:GY198"/>
    <mergeCell ref="HA198:HC198"/>
    <mergeCell ref="GX199:GZ199"/>
    <mergeCell ref="HB199:HC199"/>
    <mergeCell ref="GX200:GZ200"/>
    <mergeCell ref="HB200:HC200"/>
    <mergeCell ref="GW203:GY203"/>
    <mergeCell ref="HA203:HC203"/>
    <mergeCell ref="GW204:GY204"/>
    <mergeCell ref="HA204:HC204"/>
    <mergeCell ref="GW205:GY205"/>
    <mergeCell ref="HA205:HC205"/>
    <mergeCell ref="GW170:GY170"/>
    <mergeCell ref="HA170:HC170"/>
    <mergeCell ref="GW161:GY161"/>
    <mergeCell ref="HA161:HC161"/>
    <mergeCell ref="GW162:GY162"/>
    <mergeCell ref="HA162:HC162"/>
    <mergeCell ref="GW163:GY163"/>
    <mergeCell ref="HA163:HC163"/>
    <mergeCell ref="GW102:HA102"/>
    <mergeCell ref="GW103:GY103"/>
    <mergeCell ref="GW104:GY104"/>
    <mergeCell ref="HA104:HC104"/>
    <mergeCell ref="GW105:GY105"/>
    <mergeCell ref="HA105:HC105"/>
    <mergeCell ref="GW106:GY106"/>
    <mergeCell ref="HA106:HC106"/>
    <mergeCell ref="GX107:GZ107"/>
    <mergeCell ref="HB107:HC107"/>
    <mergeCell ref="GX108:GZ108"/>
    <mergeCell ref="HB108:HC108"/>
    <mergeCell ref="GW109:HA109"/>
    <mergeCell ref="GW110:GY110"/>
    <mergeCell ref="GW111:GY111"/>
    <mergeCell ref="HA111:HC111"/>
    <mergeCell ref="GW112:GY112"/>
    <mergeCell ref="HA112:HC112"/>
    <mergeCell ref="HA103:HC103"/>
    <mergeCell ref="GW113:GY113"/>
    <mergeCell ref="HA113:HC113"/>
    <mergeCell ref="GX114:GZ114"/>
    <mergeCell ref="GW119:GY119"/>
    <mergeCell ref="HA119:HC119"/>
    <mergeCell ref="GW120:GY120"/>
    <mergeCell ref="HA120:HC120"/>
    <mergeCell ref="GX121:GZ121"/>
    <mergeCell ref="HB121:HC121"/>
    <mergeCell ref="GX122:GZ122"/>
    <mergeCell ref="HB122:HC122"/>
    <mergeCell ref="HA131:HC131"/>
    <mergeCell ref="HA138:HC138"/>
    <mergeCell ref="GW123:HA123"/>
    <mergeCell ref="GW124:GY124"/>
    <mergeCell ref="GW125:GY125"/>
    <mergeCell ref="HA125:HC125"/>
    <mergeCell ref="GW126:GY126"/>
    <mergeCell ref="HA126:HC126"/>
    <mergeCell ref="GW127:GY127"/>
    <mergeCell ref="HA127:HC127"/>
    <mergeCell ref="GX128:GZ128"/>
    <mergeCell ref="HB128:HC128"/>
    <mergeCell ref="GX129:GZ129"/>
    <mergeCell ref="HB129:HC129"/>
    <mergeCell ref="GW130:HA130"/>
    <mergeCell ref="GW131:GY131"/>
    <mergeCell ref="GW132:GY132"/>
    <mergeCell ref="HA132:HC132"/>
    <mergeCell ref="GW133:GY133"/>
    <mergeCell ref="HA133:HC133"/>
    <mergeCell ref="GW134:GY134"/>
    <mergeCell ref="HA134:HC134"/>
    <mergeCell ref="GX135:GZ135"/>
    <mergeCell ref="HB135:HC135"/>
    <mergeCell ref="GX136:GZ136"/>
    <mergeCell ref="HB136:HC136"/>
    <mergeCell ref="GW137:HA137"/>
    <mergeCell ref="GW138:GY138"/>
    <mergeCell ref="GX94:GZ94"/>
    <mergeCell ref="HB94:HC94"/>
    <mergeCell ref="GW95:HA95"/>
    <mergeCell ref="GW96:GY96"/>
    <mergeCell ref="GW97:GY97"/>
    <mergeCell ref="HA97:HC97"/>
    <mergeCell ref="GW98:GY98"/>
    <mergeCell ref="HA98:HC98"/>
    <mergeCell ref="GW99:GY99"/>
    <mergeCell ref="HA99:HC99"/>
    <mergeCell ref="GX100:GZ100"/>
    <mergeCell ref="HB100:HC100"/>
    <mergeCell ref="GX143:GZ143"/>
    <mergeCell ref="HB143:HC143"/>
    <mergeCell ref="GW147:GY147"/>
    <mergeCell ref="HA147:HC147"/>
    <mergeCell ref="GW148:GY148"/>
    <mergeCell ref="HA148:HC148"/>
    <mergeCell ref="GW149:GY149"/>
    <mergeCell ref="HA149:HC149"/>
    <mergeCell ref="GX150:GZ150"/>
    <mergeCell ref="HB150:HC150"/>
    <mergeCell ref="GX151:GZ151"/>
    <mergeCell ref="HB151:HC151"/>
    <mergeCell ref="GW154:GY154"/>
    <mergeCell ref="HA154:HC154"/>
    <mergeCell ref="GW155:GY155"/>
    <mergeCell ref="HA155:HC155"/>
    <mergeCell ref="GW156:GY156"/>
    <mergeCell ref="HA156:HC156"/>
    <mergeCell ref="GX157:GZ157"/>
    <mergeCell ref="HB157:HC157"/>
    <mergeCell ref="GX158:GZ158"/>
    <mergeCell ref="HB158:HC158"/>
    <mergeCell ref="GW139:GY139"/>
    <mergeCell ref="HA139:HC139"/>
    <mergeCell ref="GW140:GY140"/>
    <mergeCell ref="HA140:HC140"/>
    <mergeCell ref="GW141:GY141"/>
    <mergeCell ref="HA141:HC141"/>
    <mergeCell ref="GX142:GZ142"/>
    <mergeCell ref="HB142:HC142"/>
    <mergeCell ref="DJ225:DL225"/>
    <mergeCell ref="DN225:DP225"/>
    <mergeCell ref="DJ226:DL226"/>
    <mergeCell ref="DN226:DP226"/>
    <mergeCell ref="DK227:DM227"/>
    <mergeCell ref="DO227:DP227"/>
    <mergeCell ref="DK228:DM228"/>
    <mergeCell ref="DO228:DP228"/>
    <mergeCell ref="DJ210:DL210"/>
    <mergeCell ref="DN210:DP210"/>
    <mergeCell ref="DJ211:DL211"/>
    <mergeCell ref="DN211:DP211"/>
    <mergeCell ref="DJ212:DL212"/>
    <mergeCell ref="DN212:DP212"/>
    <mergeCell ref="DK213:DM213"/>
    <mergeCell ref="DO213:DP213"/>
    <mergeCell ref="DK214:DM214"/>
    <mergeCell ref="DO214:DP214"/>
    <mergeCell ref="DJ217:DL217"/>
    <mergeCell ref="DN217:DP217"/>
    <mergeCell ref="DJ218:DL218"/>
    <mergeCell ref="DN218:DP218"/>
    <mergeCell ref="DJ219:DL219"/>
    <mergeCell ref="DJ184:DL184"/>
    <mergeCell ref="DN184:DP184"/>
    <mergeCell ref="DK185:DM185"/>
    <mergeCell ref="DO185:DP185"/>
    <mergeCell ref="DK186:DM186"/>
    <mergeCell ref="DO186:DP186"/>
    <mergeCell ref="DJ189:DL189"/>
    <mergeCell ref="DN189:DP189"/>
    <mergeCell ref="DJ190:DL190"/>
    <mergeCell ref="DN190:DP190"/>
    <mergeCell ref="DJ191:DL191"/>
    <mergeCell ref="DN191:DP191"/>
    <mergeCell ref="DK192:DM192"/>
    <mergeCell ref="DO192:DP192"/>
    <mergeCell ref="DK193:DM193"/>
    <mergeCell ref="DO193:DP193"/>
    <mergeCell ref="DJ196:DL196"/>
    <mergeCell ref="DN196:DP196"/>
    <mergeCell ref="DK221:DM221"/>
    <mergeCell ref="DO221:DP221"/>
    <mergeCell ref="DJ224:DL224"/>
    <mergeCell ref="DN224:DP224"/>
    <mergeCell ref="DN219:DP219"/>
    <mergeCell ref="DK220:DM220"/>
    <mergeCell ref="DO220:DP220"/>
    <mergeCell ref="DJ197:DL197"/>
    <mergeCell ref="DN197:DP197"/>
    <mergeCell ref="DJ198:DL198"/>
    <mergeCell ref="DN198:DP198"/>
    <mergeCell ref="DK199:DM199"/>
    <mergeCell ref="DO199:DP199"/>
    <mergeCell ref="DK200:DM200"/>
    <mergeCell ref="DO200:DP200"/>
    <mergeCell ref="DJ203:DL203"/>
    <mergeCell ref="DN203:DP203"/>
    <mergeCell ref="DJ204:DL204"/>
    <mergeCell ref="DN204:DP204"/>
    <mergeCell ref="DJ205:DL205"/>
    <mergeCell ref="DN205:DP205"/>
    <mergeCell ref="DK206:DM206"/>
    <mergeCell ref="DO206:DP206"/>
    <mergeCell ref="DN176:DP176"/>
    <mergeCell ref="DJ177:DL177"/>
    <mergeCell ref="DN177:DP177"/>
    <mergeCell ref="DK178:DM178"/>
    <mergeCell ref="DO178:DP178"/>
    <mergeCell ref="DK179:DM179"/>
    <mergeCell ref="DO179:DP179"/>
    <mergeCell ref="DN149:DP149"/>
    <mergeCell ref="DK150:DM150"/>
    <mergeCell ref="DO150:DP150"/>
    <mergeCell ref="DK151:DM151"/>
    <mergeCell ref="DO151:DP151"/>
    <mergeCell ref="DJ154:DL154"/>
    <mergeCell ref="DN154:DP154"/>
    <mergeCell ref="DJ155:DL155"/>
    <mergeCell ref="DN155:DP155"/>
    <mergeCell ref="DJ156:DL156"/>
    <mergeCell ref="DN156:DP156"/>
    <mergeCell ref="EC179:ED179"/>
    <mergeCell ref="DY143:EA143"/>
    <mergeCell ref="EC143:ED143"/>
    <mergeCell ref="EC114:ED114"/>
    <mergeCell ref="DY115:EA115"/>
    <mergeCell ref="EC115:ED115"/>
    <mergeCell ref="DX116:EB116"/>
    <mergeCell ref="DX117:DZ117"/>
    <mergeCell ref="DX118:DZ118"/>
    <mergeCell ref="EB118:ED118"/>
    <mergeCell ref="DX119:DZ119"/>
    <mergeCell ref="EB119:ED119"/>
    <mergeCell ref="DX120:DZ120"/>
    <mergeCell ref="EB120:ED120"/>
    <mergeCell ref="DY121:EA121"/>
    <mergeCell ref="EC121:ED121"/>
    <mergeCell ref="DX138:DZ138"/>
    <mergeCell ref="DX139:DZ139"/>
    <mergeCell ref="EB139:ED139"/>
    <mergeCell ref="GW77:GY77"/>
    <mergeCell ref="HA77:HC77"/>
    <mergeCell ref="GW78:GY78"/>
    <mergeCell ref="HA78:HC78"/>
    <mergeCell ref="GX79:GZ79"/>
    <mergeCell ref="HB79:HC79"/>
    <mergeCell ref="GX80:GZ80"/>
    <mergeCell ref="DK136:DM136"/>
    <mergeCell ref="DO136:DP136"/>
    <mergeCell ref="DJ137:DN137"/>
    <mergeCell ref="DJ138:DL138"/>
    <mergeCell ref="DJ139:DL139"/>
    <mergeCell ref="DN139:DP139"/>
    <mergeCell ref="DJ140:DL140"/>
    <mergeCell ref="DN140:DP140"/>
    <mergeCell ref="DJ141:DL141"/>
    <mergeCell ref="DN141:DP141"/>
    <mergeCell ref="DK142:DM142"/>
    <mergeCell ref="DO142:DP142"/>
    <mergeCell ref="DK143:DM143"/>
    <mergeCell ref="DO143:DP143"/>
    <mergeCell ref="DJ147:DL147"/>
    <mergeCell ref="DN147:DP147"/>
    <mergeCell ref="DJ148:DL148"/>
    <mergeCell ref="DN148:DP148"/>
    <mergeCell ref="DJ149:DL149"/>
    <mergeCell ref="GX101:GZ101"/>
    <mergeCell ref="HB101:HC101"/>
    <mergeCell ref="HA96:HC96"/>
    <mergeCell ref="GW61:GY61"/>
    <mergeCell ref="GW62:GY62"/>
    <mergeCell ref="HA62:HC62"/>
    <mergeCell ref="GW63:GY63"/>
    <mergeCell ref="HA63:HC63"/>
    <mergeCell ref="GW64:GY64"/>
    <mergeCell ref="HA64:HC64"/>
    <mergeCell ref="GX65:GZ65"/>
    <mergeCell ref="HB65:HC65"/>
    <mergeCell ref="GX66:GZ66"/>
    <mergeCell ref="HB66:HC66"/>
    <mergeCell ref="GW67:HA67"/>
    <mergeCell ref="HB80:HC80"/>
    <mergeCell ref="GW81:HA81"/>
    <mergeCell ref="GW82:GY82"/>
    <mergeCell ref="GW83:GY83"/>
    <mergeCell ref="HA83:HC83"/>
    <mergeCell ref="GW84:GY84"/>
    <mergeCell ref="HA84:HC84"/>
    <mergeCell ref="GW85:GY85"/>
    <mergeCell ref="HA85:HC85"/>
    <mergeCell ref="GX86:GZ86"/>
    <mergeCell ref="HB86:HC86"/>
    <mergeCell ref="GX87:GZ87"/>
    <mergeCell ref="HB87:HC87"/>
    <mergeCell ref="GW88:HA88"/>
    <mergeCell ref="GW89:GY89"/>
    <mergeCell ref="GW90:GY90"/>
    <mergeCell ref="HA90:HC90"/>
    <mergeCell ref="GW91:GY91"/>
    <mergeCell ref="HA91:HC91"/>
    <mergeCell ref="GW92:GY92"/>
    <mergeCell ref="HA92:HC92"/>
    <mergeCell ref="GX93:GZ93"/>
    <mergeCell ref="HB93:HC93"/>
    <mergeCell ref="GW19:GY19"/>
    <mergeCell ref="GW20:GY20"/>
    <mergeCell ref="HA20:HC20"/>
    <mergeCell ref="GW21:GY21"/>
    <mergeCell ref="HA21:HC21"/>
    <mergeCell ref="GW22:GY22"/>
    <mergeCell ref="HA22:HC22"/>
    <mergeCell ref="GX23:GZ23"/>
    <mergeCell ref="HB23:HC23"/>
    <mergeCell ref="GX24:GZ24"/>
    <mergeCell ref="HB24:HC24"/>
    <mergeCell ref="GW25:HA25"/>
    <mergeCell ref="GW26:GY26"/>
    <mergeCell ref="GW27:GY27"/>
    <mergeCell ref="HA27:HC27"/>
    <mergeCell ref="GW28:GY28"/>
    <mergeCell ref="HA28:HC28"/>
    <mergeCell ref="GW39:HA39"/>
    <mergeCell ref="GW40:GY40"/>
    <mergeCell ref="GW68:GY68"/>
    <mergeCell ref="GW69:GY69"/>
    <mergeCell ref="HA69:HC69"/>
    <mergeCell ref="GW70:GY70"/>
    <mergeCell ref="HA70:HC70"/>
    <mergeCell ref="GW71:GY71"/>
    <mergeCell ref="HA71:HC71"/>
    <mergeCell ref="GX72:GZ72"/>
    <mergeCell ref="HB72:HC72"/>
    <mergeCell ref="GX73:GZ73"/>
    <mergeCell ref="HB73:HC73"/>
    <mergeCell ref="GW74:HA74"/>
    <mergeCell ref="GW75:GY75"/>
    <mergeCell ref="GW76:GY76"/>
    <mergeCell ref="HA76:HC76"/>
    <mergeCell ref="GX59:GZ59"/>
    <mergeCell ref="HB59:HC59"/>
    <mergeCell ref="GW60:HA60"/>
    <mergeCell ref="GW41:GY41"/>
    <mergeCell ref="HA41:HC41"/>
    <mergeCell ref="GW42:GY42"/>
    <mergeCell ref="HA42:HC42"/>
    <mergeCell ref="GW43:GY43"/>
    <mergeCell ref="HA43:HC43"/>
    <mergeCell ref="GX44:GZ44"/>
    <mergeCell ref="HB44:HC44"/>
    <mergeCell ref="GX45:GZ45"/>
    <mergeCell ref="HB45:HC45"/>
    <mergeCell ref="GW46:HA46"/>
    <mergeCell ref="GW47:GY47"/>
    <mergeCell ref="GW48:GY48"/>
    <mergeCell ref="HA48:HC48"/>
    <mergeCell ref="GW49:GY49"/>
    <mergeCell ref="HA49:HC49"/>
    <mergeCell ref="GW50:GY50"/>
    <mergeCell ref="HA50:HC50"/>
    <mergeCell ref="GW29:GY29"/>
    <mergeCell ref="HA29:HC29"/>
    <mergeCell ref="GX30:GZ30"/>
    <mergeCell ref="GX51:GZ51"/>
    <mergeCell ref="HB51:HC51"/>
    <mergeCell ref="GX52:GZ52"/>
    <mergeCell ref="HB52:HC52"/>
    <mergeCell ref="GW53:HA53"/>
    <mergeCell ref="GW54:GY54"/>
    <mergeCell ref="DK207:DM207"/>
    <mergeCell ref="DO207:DP207"/>
    <mergeCell ref="DK158:DM158"/>
    <mergeCell ref="DO158:DP158"/>
    <mergeCell ref="DJ161:DL161"/>
    <mergeCell ref="DN161:DP161"/>
    <mergeCell ref="DJ162:DL162"/>
    <mergeCell ref="DN162:DP162"/>
    <mergeCell ref="DJ163:DL163"/>
    <mergeCell ref="DN163:DP163"/>
    <mergeCell ref="DK164:DM164"/>
    <mergeCell ref="DO164:DP164"/>
    <mergeCell ref="DK165:DM165"/>
    <mergeCell ref="DO165:DP165"/>
    <mergeCell ref="DJ168:DL168"/>
    <mergeCell ref="DJ116:DN116"/>
    <mergeCell ref="DJ117:DL117"/>
    <mergeCell ref="DJ118:DL118"/>
    <mergeCell ref="DN118:DP118"/>
    <mergeCell ref="DJ119:DL119"/>
    <mergeCell ref="DN119:DP119"/>
    <mergeCell ref="DJ120:DL120"/>
    <mergeCell ref="DN120:DP120"/>
    <mergeCell ref="DK121:DM121"/>
    <mergeCell ref="DO121:DP121"/>
    <mergeCell ref="DK122:DM122"/>
    <mergeCell ref="DO122:DP122"/>
    <mergeCell ref="DJ123:DN123"/>
    <mergeCell ref="DJ124:DL124"/>
    <mergeCell ref="DJ125:DL125"/>
    <mergeCell ref="DN125:DP125"/>
    <mergeCell ref="DJ126:DL126"/>
    <mergeCell ref="DN126:DP126"/>
    <mergeCell ref="DJ127:DL127"/>
    <mergeCell ref="DN127:DP127"/>
    <mergeCell ref="DK128:DM128"/>
    <mergeCell ref="DO128:DP128"/>
    <mergeCell ref="DK129:DM129"/>
    <mergeCell ref="DO129:DP129"/>
    <mergeCell ref="DJ130:DN130"/>
    <mergeCell ref="DJ131:DL131"/>
    <mergeCell ref="DJ132:DL132"/>
    <mergeCell ref="DN132:DP132"/>
    <mergeCell ref="DJ133:DL133"/>
    <mergeCell ref="DN133:DP133"/>
    <mergeCell ref="DJ134:DL134"/>
    <mergeCell ref="DN134:DP134"/>
    <mergeCell ref="DK135:DM135"/>
    <mergeCell ref="DO135:DP135"/>
    <mergeCell ref="DN138:DP138"/>
    <mergeCell ref="DJ182:DL182"/>
    <mergeCell ref="DN182:DP182"/>
    <mergeCell ref="DJ183:DL183"/>
    <mergeCell ref="DN183:DP183"/>
    <mergeCell ref="DN168:DP168"/>
    <mergeCell ref="DJ169:DL169"/>
    <mergeCell ref="DN169:DP169"/>
    <mergeCell ref="DJ170:DL170"/>
    <mergeCell ref="DN170:DP170"/>
    <mergeCell ref="DK171:DM171"/>
    <mergeCell ref="DO171:DP171"/>
    <mergeCell ref="DK172:DM172"/>
    <mergeCell ref="DO172:DP172"/>
    <mergeCell ref="DJ175:DL175"/>
    <mergeCell ref="DO30:DP30"/>
    <mergeCell ref="DK31:DM31"/>
    <mergeCell ref="DO31:DP31"/>
    <mergeCell ref="DJ32:DN32"/>
    <mergeCell ref="DJ33:DL33"/>
    <mergeCell ref="DJ34:DL34"/>
    <mergeCell ref="DN34:DP34"/>
    <mergeCell ref="DJ35:DL35"/>
    <mergeCell ref="DN35:DP35"/>
    <mergeCell ref="DJ36:DL36"/>
    <mergeCell ref="DN36:DP36"/>
    <mergeCell ref="DK37:DM37"/>
    <mergeCell ref="DO37:DP37"/>
    <mergeCell ref="DK38:DM38"/>
    <mergeCell ref="DO38:DP38"/>
    <mergeCell ref="DJ39:DN39"/>
    <mergeCell ref="DJ40:DL40"/>
    <mergeCell ref="DN40:DP40"/>
    <mergeCell ref="DN68:DP68"/>
    <mergeCell ref="DJ112:DL112"/>
    <mergeCell ref="DN112:DP112"/>
    <mergeCell ref="DJ71:DL71"/>
    <mergeCell ref="DN71:DP71"/>
    <mergeCell ref="DK72:DM72"/>
    <mergeCell ref="DO72:DP72"/>
    <mergeCell ref="DK73:DM73"/>
    <mergeCell ref="DO73:DP73"/>
    <mergeCell ref="DJ74:DN74"/>
    <mergeCell ref="DJ75:DL75"/>
    <mergeCell ref="DJ76:DL76"/>
    <mergeCell ref="DN76:DP76"/>
    <mergeCell ref="DJ77:DL77"/>
    <mergeCell ref="DN77:DP77"/>
    <mergeCell ref="DJ78:DL78"/>
    <mergeCell ref="DN78:DP78"/>
    <mergeCell ref="DK79:DM79"/>
    <mergeCell ref="DO79:DP79"/>
    <mergeCell ref="DK80:DM80"/>
    <mergeCell ref="DO80:DP80"/>
    <mergeCell ref="DJ81:DN81"/>
    <mergeCell ref="DJ82:DL82"/>
    <mergeCell ref="DJ83:DL83"/>
    <mergeCell ref="DN83:DP83"/>
    <mergeCell ref="DJ84:DL84"/>
    <mergeCell ref="DN84:DP84"/>
    <mergeCell ref="DJ85:DL85"/>
    <mergeCell ref="DN85:DP85"/>
    <mergeCell ref="DK86:DM86"/>
    <mergeCell ref="DO86:DP86"/>
    <mergeCell ref="DK87:DM87"/>
    <mergeCell ref="DO87:DP87"/>
    <mergeCell ref="DJ88:DN88"/>
    <mergeCell ref="DJ89:DL89"/>
    <mergeCell ref="DJ90:DL90"/>
    <mergeCell ref="DN90:DP90"/>
    <mergeCell ref="DJ91:DL91"/>
    <mergeCell ref="DN91:DP91"/>
    <mergeCell ref="DN89:DP89"/>
    <mergeCell ref="DJ92:DL92"/>
    <mergeCell ref="DN92:DP92"/>
    <mergeCell ref="DK93:DM93"/>
    <mergeCell ref="DO93:DP93"/>
    <mergeCell ref="DK94:DM94"/>
    <mergeCell ref="DO94:DP94"/>
    <mergeCell ref="DX210:DZ210"/>
    <mergeCell ref="EB210:ED210"/>
    <mergeCell ref="DX183:DZ183"/>
    <mergeCell ref="EB183:ED183"/>
    <mergeCell ref="DY206:EA206"/>
    <mergeCell ref="EC206:ED206"/>
    <mergeCell ref="DY207:EA207"/>
    <mergeCell ref="EC207:ED207"/>
    <mergeCell ref="DX184:DZ184"/>
    <mergeCell ref="EB184:ED184"/>
    <mergeCell ref="DY185:EA185"/>
    <mergeCell ref="EC185:ED185"/>
    <mergeCell ref="DY186:EA186"/>
    <mergeCell ref="EC186:ED186"/>
    <mergeCell ref="DX189:DZ189"/>
    <mergeCell ref="EB189:ED189"/>
    <mergeCell ref="DX190:DZ190"/>
    <mergeCell ref="EB190:ED190"/>
    <mergeCell ref="DX191:DZ191"/>
    <mergeCell ref="EB191:ED191"/>
    <mergeCell ref="DY192:EA192"/>
    <mergeCell ref="EC192:ED192"/>
    <mergeCell ref="DY193:EA193"/>
    <mergeCell ref="EC193:ED193"/>
    <mergeCell ref="DX196:DZ196"/>
    <mergeCell ref="EB196:ED196"/>
    <mergeCell ref="DX197:DZ197"/>
    <mergeCell ref="EB197:ED197"/>
    <mergeCell ref="DX198:DZ198"/>
    <mergeCell ref="EB198:ED198"/>
    <mergeCell ref="DY199:EA199"/>
    <mergeCell ref="EC199:ED199"/>
    <mergeCell ref="DO66:DP66"/>
    <mergeCell ref="DN69:DP69"/>
    <mergeCell ref="DN70:DP70"/>
    <mergeCell ref="DN75:DP75"/>
    <mergeCell ref="DJ95:DN95"/>
    <mergeCell ref="DJ96:DL96"/>
    <mergeCell ref="DJ97:DL97"/>
    <mergeCell ref="DN97:DP97"/>
    <mergeCell ref="DJ98:DL98"/>
    <mergeCell ref="DN98:DP98"/>
    <mergeCell ref="DJ99:DL99"/>
    <mergeCell ref="DN99:DP99"/>
    <mergeCell ref="DK100:DM100"/>
    <mergeCell ref="DO100:DP100"/>
    <mergeCell ref="DK101:DM101"/>
    <mergeCell ref="DO101:DP101"/>
    <mergeCell ref="DJ102:DN102"/>
    <mergeCell ref="DJ103:DL103"/>
    <mergeCell ref="DJ104:DL104"/>
    <mergeCell ref="DN104:DP104"/>
    <mergeCell ref="DJ105:DL105"/>
    <mergeCell ref="DN105:DP105"/>
    <mergeCell ref="DJ106:DL106"/>
    <mergeCell ref="DN106:DP106"/>
    <mergeCell ref="DK107:DM107"/>
    <mergeCell ref="DO107:DP107"/>
    <mergeCell ref="DK108:DM108"/>
    <mergeCell ref="DO108:DP108"/>
    <mergeCell ref="DJ109:DN109"/>
    <mergeCell ref="DJ110:DL110"/>
    <mergeCell ref="DJ111:DL111"/>
    <mergeCell ref="DN111:DP111"/>
    <mergeCell ref="DX204:DZ204"/>
    <mergeCell ref="EB204:ED204"/>
    <mergeCell ref="DX205:DZ205"/>
    <mergeCell ref="EB205:ED205"/>
    <mergeCell ref="DJ41:DL41"/>
    <mergeCell ref="DN41:DP41"/>
    <mergeCell ref="DJ42:DL42"/>
    <mergeCell ref="DN42:DP42"/>
    <mergeCell ref="DJ43:DL43"/>
    <mergeCell ref="DN43:DP43"/>
    <mergeCell ref="DK44:DM44"/>
    <mergeCell ref="DO44:DP44"/>
    <mergeCell ref="DK45:DM45"/>
    <mergeCell ref="DO45:DP45"/>
    <mergeCell ref="DJ46:DN46"/>
    <mergeCell ref="DJ47:DL47"/>
    <mergeCell ref="DJ48:DL48"/>
    <mergeCell ref="DN48:DP48"/>
    <mergeCell ref="DJ49:DL49"/>
    <mergeCell ref="DN49:DP49"/>
    <mergeCell ref="DJ50:DL50"/>
    <mergeCell ref="DN50:DP50"/>
    <mergeCell ref="DJ61:DL61"/>
    <mergeCell ref="DJ62:DL62"/>
    <mergeCell ref="DN62:DP62"/>
    <mergeCell ref="DJ63:DL63"/>
    <mergeCell ref="DN63:DP63"/>
    <mergeCell ref="DJ64:DL64"/>
    <mergeCell ref="DN64:DP64"/>
    <mergeCell ref="DK65:DM65"/>
    <mergeCell ref="DO65:DP65"/>
    <mergeCell ref="DK66:DM66"/>
    <mergeCell ref="DJ67:DN67"/>
    <mergeCell ref="DJ68:DL68"/>
    <mergeCell ref="DJ69:DL69"/>
    <mergeCell ref="DJ70:DL70"/>
    <mergeCell ref="DK51:DM51"/>
    <mergeCell ref="DO51:DP51"/>
    <mergeCell ref="DK52:DM52"/>
    <mergeCell ref="DO52:DP52"/>
    <mergeCell ref="DJ53:DN53"/>
    <mergeCell ref="DJ54:DL54"/>
    <mergeCell ref="DJ55:DL55"/>
    <mergeCell ref="DN55:DP55"/>
    <mergeCell ref="DJ56:DL56"/>
    <mergeCell ref="DN56:DP56"/>
    <mergeCell ref="DJ57:DL57"/>
    <mergeCell ref="DN57:DP57"/>
    <mergeCell ref="DK58:DM58"/>
    <mergeCell ref="DO58:DP58"/>
    <mergeCell ref="DK59:DM59"/>
    <mergeCell ref="DO59:DP59"/>
    <mergeCell ref="DJ60:DN60"/>
    <mergeCell ref="DK157:DM157"/>
    <mergeCell ref="DO157:DP157"/>
    <mergeCell ref="DJ113:DL113"/>
    <mergeCell ref="DN113:DP113"/>
    <mergeCell ref="DK114:DM114"/>
    <mergeCell ref="DO114:DP114"/>
    <mergeCell ref="DK115:DM115"/>
    <mergeCell ref="DO115:DP115"/>
    <mergeCell ref="EB170:ED170"/>
    <mergeCell ref="DN175:DP175"/>
    <mergeCell ref="DJ176:DL176"/>
    <mergeCell ref="DX211:DZ211"/>
    <mergeCell ref="EB211:ED211"/>
    <mergeCell ref="DX212:DZ212"/>
    <mergeCell ref="EB212:ED212"/>
    <mergeCell ref="DY213:EA213"/>
    <mergeCell ref="EC213:ED213"/>
    <mergeCell ref="DY214:EA214"/>
    <mergeCell ref="EC214:ED214"/>
    <mergeCell ref="DX217:DZ217"/>
    <mergeCell ref="EB217:ED217"/>
    <mergeCell ref="DX218:DZ218"/>
    <mergeCell ref="EB218:ED218"/>
    <mergeCell ref="DX219:DZ219"/>
    <mergeCell ref="EB219:ED219"/>
    <mergeCell ref="DY220:EA220"/>
    <mergeCell ref="EC220:ED220"/>
    <mergeCell ref="DY221:EA221"/>
    <mergeCell ref="EC221:ED221"/>
    <mergeCell ref="DX224:DZ224"/>
    <mergeCell ref="EB224:ED224"/>
    <mergeCell ref="DX225:DZ225"/>
    <mergeCell ref="EB225:ED225"/>
    <mergeCell ref="DX226:DZ226"/>
    <mergeCell ref="EB226:ED226"/>
    <mergeCell ref="DY227:EA227"/>
    <mergeCell ref="EC227:ED227"/>
    <mergeCell ref="DY228:EA228"/>
    <mergeCell ref="EC228:ED228"/>
    <mergeCell ref="DJ19:DL19"/>
    <mergeCell ref="DJ20:DL20"/>
    <mergeCell ref="DN20:DP20"/>
    <mergeCell ref="DJ21:DL21"/>
    <mergeCell ref="DN21:DP21"/>
    <mergeCell ref="DJ22:DL22"/>
    <mergeCell ref="DN22:DP22"/>
    <mergeCell ref="DK23:DM23"/>
    <mergeCell ref="DO23:DP23"/>
    <mergeCell ref="DK24:DM24"/>
    <mergeCell ref="DO24:DP24"/>
    <mergeCell ref="DJ25:DN25"/>
    <mergeCell ref="DJ26:DL26"/>
    <mergeCell ref="DJ27:DL27"/>
    <mergeCell ref="DN27:DP27"/>
    <mergeCell ref="DJ28:DL28"/>
    <mergeCell ref="DN28:DP28"/>
    <mergeCell ref="DJ29:DL29"/>
    <mergeCell ref="DN29:DP29"/>
    <mergeCell ref="DK30:DM30"/>
    <mergeCell ref="DY171:EA171"/>
    <mergeCell ref="EC171:ED171"/>
    <mergeCell ref="DY172:EA172"/>
    <mergeCell ref="EC172:ED172"/>
    <mergeCell ref="DX175:DZ175"/>
    <mergeCell ref="EB175:ED175"/>
    <mergeCell ref="DX176:DZ176"/>
    <mergeCell ref="EB176:ED176"/>
    <mergeCell ref="DX177:DZ177"/>
    <mergeCell ref="EB177:ED177"/>
    <mergeCell ref="DY178:EA178"/>
    <mergeCell ref="EC178:ED178"/>
    <mergeCell ref="DY179:EA179"/>
    <mergeCell ref="DX113:DZ113"/>
    <mergeCell ref="EB113:ED113"/>
    <mergeCell ref="DY114:EA114"/>
    <mergeCell ref="DX140:DZ140"/>
    <mergeCell ref="EB140:ED140"/>
    <mergeCell ref="DX141:DZ141"/>
    <mergeCell ref="EB141:ED141"/>
    <mergeCell ref="DY142:EA142"/>
    <mergeCell ref="EC142:ED142"/>
    <mergeCell ref="DY200:EA200"/>
    <mergeCell ref="EC200:ED200"/>
    <mergeCell ref="DX203:DZ203"/>
    <mergeCell ref="EB203:ED203"/>
    <mergeCell ref="DX147:DZ147"/>
    <mergeCell ref="EB147:ED147"/>
    <mergeCell ref="DX148:DZ148"/>
    <mergeCell ref="EB148:ED148"/>
    <mergeCell ref="DX149:DZ149"/>
    <mergeCell ref="EB149:ED149"/>
    <mergeCell ref="DY150:EA150"/>
    <mergeCell ref="EC150:ED150"/>
    <mergeCell ref="DY151:EA151"/>
    <mergeCell ref="EC151:ED151"/>
    <mergeCell ref="DX154:DZ154"/>
    <mergeCell ref="EB154:ED154"/>
    <mergeCell ref="DX155:DZ155"/>
    <mergeCell ref="EB155:ED155"/>
    <mergeCell ref="DX156:DZ156"/>
    <mergeCell ref="EB156:ED156"/>
    <mergeCell ref="DY157:EA157"/>
    <mergeCell ref="EC157:ED157"/>
    <mergeCell ref="DY158:EA158"/>
    <mergeCell ref="EC158:ED158"/>
    <mergeCell ref="DX161:DZ161"/>
    <mergeCell ref="EB161:ED161"/>
    <mergeCell ref="DX162:DZ162"/>
    <mergeCell ref="EB162:ED162"/>
    <mergeCell ref="DX163:DZ163"/>
    <mergeCell ref="EB163:ED163"/>
    <mergeCell ref="DY164:EA164"/>
    <mergeCell ref="EC164:ED164"/>
    <mergeCell ref="DY165:EA165"/>
    <mergeCell ref="EC165:ED165"/>
    <mergeCell ref="DX168:DZ168"/>
    <mergeCell ref="EB168:ED168"/>
    <mergeCell ref="DX169:DZ169"/>
    <mergeCell ref="EB169:ED169"/>
    <mergeCell ref="DX170:DZ170"/>
    <mergeCell ref="DX182:DZ182"/>
    <mergeCell ref="EB182:ED182"/>
    <mergeCell ref="EB132:ED132"/>
    <mergeCell ref="DX133:DZ133"/>
    <mergeCell ref="EB133:ED133"/>
    <mergeCell ref="DX134:DZ134"/>
    <mergeCell ref="EB134:ED134"/>
    <mergeCell ref="DY135:EA135"/>
    <mergeCell ref="EC135:ED135"/>
    <mergeCell ref="DY136:EA136"/>
    <mergeCell ref="EC136:ED136"/>
    <mergeCell ref="DX137:EB137"/>
    <mergeCell ref="EB62:ED62"/>
    <mergeCell ref="DX63:DZ63"/>
    <mergeCell ref="EB63:ED63"/>
    <mergeCell ref="DX64:DZ64"/>
    <mergeCell ref="DY51:EA51"/>
    <mergeCell ref="EC51:ED51"/>
    <mergeCell ref="DY52:EA52"/>
    <mergeCell ref="EC52:ED52"/>
    <mergeCell ref="DX53:EB53"/>
    <mergeCell ref="DX54:DZ54"/>
    <mergeCell ref="DX55:DZ55"/>
    <mergeCell ref="EB55:ED55"/>
    <mergeCell ref="EB64:ED64"/>
    <mergeCell ref="DY65:EA65"/>
    <mergeCell ref="EC65:ED65"/>
    <mergeCell ref="DY66:EA66"/>
    <mergeCell ref="EC66:ED66"/>
    <mergeCell ref="DX67:EB67"/>
    <mergeCell ref="DX68:DZ68"/>
    <mergeCell ref="DX69:DZ69"/>
    <mergeCell ref="EB68:ED68"/>
    <mergeCell ref="DX56:DZ56"/>
    <mergeCell ref="EB56:ED56"/>
    <mergeCell ref="DX57:DZ57"/>
    <mergeCell ref="DX98:DZ98"/>
    <mergeCell ref="EB98:ED98"/>
    <mergeCell ref="DX99:DZ99"/>
    <mergeCell ref="EB99:ED99"/>
    <mergeCell ref="DY100:EA100"/>
    <mergeCell ref="EC100:ED100"/>
    <mergeCell ref="DY101:EA101"/>
    <mergeCell ref="EC101:ED101"/>
    <mergeCell ref="DX81:EB81"/>
    <mergeCell ref="DX82:DZ82"/>
    <mergeCell ref="DX83:DZ83"/>
    <mergeCell ref="EB83:ED83"/>
    <mergeCell ref="DX102:EB102"/>
    <mergeCell ref="DX103:DZ103"/>
    <mergeCell ref="DX104:DZ104"/>
    <mergeCell ref="EB104:ED104"/>
    <mergeCell ref="DX105:DZ105"/>
    <mergeCell ref="EB105:ED105"/>
    <mergeCell ref="DX106:DZ106"/>
    <mergeCell ref="EB106:ED106"/>
    <mergeCell ref="DY107:EA107"/>
    <mergeCell ref="EC107:ED107"/>
    <mergeCell ref="DY108:EA108"/>
    <mergeCell ref="EC108:ED108"/>
    <mergeCell ref="DX109:EB109"/>
    <mergeCell ref="DX110:DZ110"/>
    <mergeCell ref="DX111:DZ111"/>
    <mergeCell ref="EB111:ED111"/>
    <mergeCell ref="DX112:DZ112"/>
    <mergeCell ref="EB112:ED112"/>
    <mergeCell ref="DY94:EA94"/>
    <mergeCell ref="EC94:ED94"/>
    <mergeCell ref="DX95:EB95"/>
    <mergeCell ref="DX96:DZ96"/>
    <mergeCell ref="DX97:DZ97"/>
    <mergeCell ref="EB97:ED97"/>
    <mergeCell ref="DX77:DZ77"/>
    <mergeCell ref="CO156:CQ156"/>
    <mergeCell ref="CP228:CR228"/>
    <mergeCell ref="CT228:CU228"/>
    <mergeCell ref="DX19:DZ19"/>
    <mergeCell ref="DX20:DZ20"/>
    <mergeCell ref="EB20:ED20"/>
    <mergeCell ref="DX21:DZ21"/>
    <mergeCell ref="EB21:ED21"/>
    <mergeCell ref="DX22:DZ22"/>
    <mergeCell ref="EB22:ED22"/>
    <mergeCell ref="DY23:EA23"/>
    <mergeCell ref="EC23:ED23"/>
    <mergeCell ref="DY24:EA24"/>
    <mergeCell ref="EC24:ED24"/>
    <mergeCell ref="DX25:EB25"/>
    <mergeCell ref="DX26:DZ26"/>
    <mergeCell ref="DX27:DZ27"/>
    <mergeCell ref="EB27:ED27"/>
    <mergeCell ref="DX28:DZ28"/>
    <mergeCell ref="EB28:ED28"/>
    <mergeCell ref="DX29:DZ29"/>
    <mergeCell ref="EB29:ED29"/>
    <mergeCell ref="DX49:DZ49"/>
    <mergeCell ref="EB49:ED49"/>
    <mergeCell ref="DX50:DZ50"/>
    <mergeCell ref="EB50:ED50"/>
    <mergeCell ref="DX71:DZ71"/>
    <mergeCell ref="EB71:ED71"/>
    <mergeCell ref="DY72:EA72"/>
    <mergeCell ref="EC72:ED72"/>
    <mergeCell ref="DY73:EA73"/>
    <mergeCell ref="DY30:EA30"/>
    <mergeCell ref="CO210:CQ210"/>
    <mergeCell ref="EC30:ED30"/>
    <mergeCell ref="DY31:EA31"/>
    <mergeCell ref="EC31:ED31"/>
    <mergeCell ref="DX32:EB32"/>
    <mergeCell ref="DX33:DZ33"/>
    <mergeCell ref="DX34:DZ34"/>
    <mergeCell ref="DY122:EA122"/>
    <mergeCell ref="EC122:ED122"/>
    <mergeCell ref="EB110:ED110"/>
    <mergeCell ref="DX123:EB123"/>
    <mergeCell ref="DX124:DZ124"/>
    <mergeCell ref="DX125:DZ125"/>
    <mergeCell ref="EB125:ED125"/>
    <mergeCell ref="DX126:DZ126"/>
    <mergeCell ref="EB126:ED126"/>
    <mergeCell ref="DX127:DZ127"/>
    <mergeCell ref="EB127:ED127"/>
    <mergeCell ref="DY128:EA128"/>
    <mergeCell ref="EC128:ED128"/>
    <mergeCell ref="DY129:EA129"/>
    <mergeCell ref="EC129:ED129"/>
    <mergeCell ref="DX130:EB130"/>
    <mergeCell ref="DX131:DZ131"/>
    <mergeCell ref="DX132:DZ132"/>
    <mergeCell ref="DG91:DI91"/>
    <mergeCell ref="DC92:DE92"/>
    <mergeCell ref="DG92:DI92"/>
    <mergeCell ref="DD93:DF93"/>
    <mergeCell ref="DH93:DI93"/>
    <mergeCell ref="EB34:ED34"/>
    <mergeCell ref="DX35:DZ35"/>
    <mergeCell ref="EB35:ED35"/>
    <mergeCell ref="DX36:DZ36"/>
    <mergeCell ref="EB36:ED36"/>
    <mergeCell ref="DY37:EA37"/>
    <mergeCell ref="EC37:ED37"/>
    <mergeCell ref="DY38:EA38"/>
    <mergeCell ref="EC38:ED38"/>
    <mergeCell ref="DX39:EB39"/>
    <mergeCell ref="DY79:EA79"/>
    <mergeCell ref="EC79:ED79"/>
    <mergeCell ref="DY80:EA80"/>
    <mergeCell ref="EC80:ED80"/>
    <mergeCell ref="EB69:ED69"/>
    <mergeCell ref="DX70:DZ70"/>
    <mergeCell ref="EB70:ED70"/>
    <mergeCell ref="DX92:DZ92"/>
    <mergeCell ref="EB75:ED75"/>
    <mergeCell ref="EB77:ED77"/>
    <mergeCell ref="DX78:DZ78"/>
    <mergeCell ref="EB78:ED78"/>
    <mergeCell ref="DX61:DZ61"/>
    <mergeCell ref="DX62:DZ62"/>
    <mergeCell ref="DX40:DZ40"/>
    <mergeCell ref="EB40:ED40"/>
    <mergeCell ref="DX41:DZ41"/>
    <mergeCell ref="EB41:ED41"/>
    <mergeCell ref="DX42:DZ42"/>
    <mergeCell ref="EB42:ED42"/>
    <mergeCell ref="DX43:DZ43"/>
    <mergeCell ref="EB43:ED43"/>
    <mergeCell ref="DY44:EA44"/>
    <mergeCell ref="EC44:ED44"/>
    <mergeCell ref="DY45:EA45"/>
    <mergeCell ref="EC45:ED45"/>
    <mergeCell ref="DX46:EB46"/>
    <mergeCell ref="DX47:DZ47"/>
    <mergeCell ref="DX48:DZ48"/>
    <mergeCell ref="EB48:ED48"/>
    <mergeCell ref="DX84:DZ84"/>
    <mergeCell ref="EB84:ED84"/>
    <mergeCell ref="DX85:DZ85"/>
    <mergeCell ref="EB85:ED85"/>
    <mergeCell ref="DY86:EA86"/>
    <mergeCell ref="EC86:ED86"/>
    <mergeCell ref="DY87:EA87"/>
    <mergeCell ref="EC87:ED87"/>
    <mergeCell ref="DX88:EB88"/>
    <mergeCell ref="DX89:DZ89"/>
    <mergeCell ref="DX90:DZ90"/>
    <mergeCell ref="EB90:ED90"/>
    <mergeCell ref="DX91:DZ91"/>
    <mergeCell ref="EB91:ED91"/>
    <mergeCell ref="EB89:ED89"/>
    <mergeCell ref="EB92:ED92"/>
    <mergeCell ref="DY93:EA93"/>
    <mergeCell ref="EC93:ED93"/>
    <mergeCell ref="EB57:ED57"/>
    <mergeCell ref="DY58:EA58"/>
    <mergeCell ref="EC58:ED58"/>
    <mergeCell ref="DY59:EA59"/>
    <mergeCell ref="EC59:ED59"/>
    <mergeCell ref="DX60:EB60"/>
    <mergeCell ref="EC73:ED73"/>
    <mergeCell ref="DX74:EB74"/>
    <mergeCell ref="DX75:DZ75"/>
    <mergeCell ref="DX76:DZ76"/>
    <mergeCell ref="EB76:ED76"/>
    <mergeCell ref="CO71:CQ71"/>
    <mergeCell ref="CS71:CU71"/>
    <mergeCell ref="CP72:CR72"/>
    <mergeCell ref="CT72:CU72"/>
    <mergeCell ref="CP73:CR73"/>
    <mergeCell ref="CP45:CR45"/>
    <mergeCell ref="CT45:CU45"/>
    <mergeCell ref="CO46:CS46"/>
    <mergeCell ref="CO47:CQ47"/>
    <mergeCell ref="CO48:CQ48"/>
    <mergeCell ref="CS48:CU48"/>
    <mergeCell ref="CO49:CQ49"/>
    <mergeCell ref="CS49:CU49"/>
    <mergeCell ref="CT52:CU52"/>
    <mergeCell ref="CO53:CS53"/>
    <mergeCell ref="CO54:CQ54"/>
    <mergeCell ref="CS55:CU55"/>
    <mergeCell ref="CO56:CQ56"/>
    <mergeCell ref="CS56:CU56"/>
    <mergeCell ref="CO57:CQ57"/>
    <mergeCell ref="CS57:CU57"/>
    <mergeCell ref="CP58:CR58"/>
    <mergeCell ref="CT58:CU58"/>
    <mergeCell ref="CP59:CR59"/>
    <mergeCell ref="CT59:CU59"/>
    <mergeCell ref="CO63:CQ63"/>
    <mergeCell ref="DQ55:DS55"/>
    <mergeCell ref="DU75:DW75"/>
    <mergeCell ref="CO70:CQ70"/>
    <mergeCell ref="CS70:CU70"/>
    <mergeCell ref="CS76:CU76"/>
    <mergeCell ref="CO77:CQ77"/>
    <mergeCell ref="CO98:CQ98"/>
    <mergeCell ref="CS98:CU98"/>
    <mergeCell ref="CP151:CR151"/>
    <mergeCell ref="CT151:CU151"/>
    <mergeCell ref="CO154:CQ154"/>
    <mergeCell ref="CS154:CU154"/>
    <mergeCell ref="CS83:CU83"/>
    <mergeCell ref="CO84:CQ84"/>
    <mergeCell ref="CS84:CU84"/>
    <mergeCell ref="CO85:CQ85"/>
    <mergeCell ref="CS85:CU85"/>
    <mergeCell ref="CP86:CR86"/>
    <mergeCell ref="CT86:CU86"/>
    <mergeCell ref="CP87:CR87"/>
    <mergeCell ref="CT87:CU87"/>
    <mergeCell ref="CO88:CS88"/>
    <mergeCell ref="CO105:CQ105"/>
    <mergeCell ref="CS105:CU105"/>
    <mergeCell ref="CO95:CS95"/>
    <mergeCell ref="CO96:CQ96"/>
    <mergeCell ref="CP79:CR79"/>
    <mergeCell ref="CO92:CQ92"/>
    <mergeCell ref="CS92:CU92"/>
    <mergeCell ref="CS96:CU96"/>
    <mergeCell ref="CT143:CU143"/>
    <mergeCell ref="CO149:CQ149"/>
    <mergeCell ref="CS149:CU149"/>
    <mergeCell ref="CP150:CR150"/>
    <mergeCell ref="CT150:CU150"/>
    <mergeCell ref="CO147:CQ147"/>
    <mergeCell ref="CS147:CU147"/>
    <mergeCell ref="CO148:CQ148"/>
    <mergeCell ref="CS148:CU148"/>
    <mergeCell ref="CO113:CQ113"/>
    <mergeCell ref="CS113:CU113"/>
    <mergeCell ref="CP114:CR114"/>
    <mergeCell ref="CO116:CS116"/>
    <mergeCell ref="CO117:CQ117"/>
    <mergeCell ref="CO118:CQ118"/>
    <mergeCell ref="CS118:CU118"/>
    <mergeCell ref="CO119:CQ119"/>
    <mergeCell ref="CS119:CU119"/>
    <mergeCell ref="CO120:CQ120"/>
    <mergeCell ref="CS120:CU120"/>
    <mergeCell ref="CP121:CR121"/>
    <mergeCell ref="CO102:CS102"/>
    <mergeCell ref="CO103:CQ103"/>
    <mergeCell ref="CO109:CS109"/>
    <mergeCell ref="CO110:CQ110"/>
    <mergeCell ref="CO111:CQ111"/>
    <mergeCell ref="CS111:CU111"/>
    <mergeCell ref="CO112:CQ112"/>
    <mergeCell ref="CS112:CU112"/>
    <mergeCell ref="DC168:DE168"/>
    <mergeCell ref="DG168:DI168"/>
    <mergeCell ref="DC169:DE169"/>
    <mergeCell ref="DG169:DI169"/>
    <mergeCell ref="DC170:DE170"/>
    <mergeCell ref="DG170:DI170"/>
    <mergeCell ref="DD171:DF171"/>
    <mergeCell ref="DH171:DI171"/>
    <mergeCell ref="DD172:DF172"/>
    <mergeCell ref="DH172:DI172"/>
    <mergeCell ref="DC175:DE175"/>
    <mergeCell ref="DG175:DI175"/>
    <mergeCell ref="DC176:DE176"/>
    <mergeCell ref="DG176:DI176"/>
    <mergeCell ref="DC177:DE177"/>
    <mergeCell ref="DG177:DI177"/>
    <mergeCell ref="DD178:DF178"/>
    <mergeCell ref="DH178:DI178"/>
    <mergeCell ref="CP23:CR23"/>
    <mergeCell ref="CT23:CU23"/>
    <mergeCell ref="CP24:CR24"/>
    <mergeCell ref="CT24:CU24"/>
    <mergeCell ref="CO25:CS25"/>
    <mergeCell ref="CO26:CQ26"/>
    <mergeCell ref="CO27:CQ27"/>
    <mergeCell ref="CS27:CU27"/>
    <mergeCell ref="CO28:CQ28"/>
    <mergeCell ref="CS28:CU28"/>
    <mergeCell ref="DC218:DE218"/>
    <mergeCell ref="DG218:DI218"/>
    <mergeCell ref="DC120:DE120"/>
    <mergeCell ref="DG120:DI120"/>
    <mergeCell ref="DD121:DF121"/>
    <mergeCell ref="DH121:DI121"/>
    <mergeCell ref="DD122:DF122"/>
    <mergeCell ref="DH122:DI122"/>
    <mergeCell ref="DC123:DG123"/>
    <mergeCell ref="DC124:DE124"/>
    <mergeCell ref="DC125:DE125"/>
    <mergeCell ref="DG125:DI125"/>
    <mergeCell ref="DC126:DE126"/>
    <mergeCell ref="DG126:DI126"/>
    <mergeCell ref="DC127:DE127"/>
    <mergeCell ref="DG127:DI127"/>
    <mergeCell ref="DD128:DF128"/>
    <mergeCell ref="DH128:DI128"/>
    <mergeCell ref="DD129:DF129"/>
    <mergeCell ref="DH129:DI129"/>
    <mergeCell ref="DC131:DE131"/>
    <mergeCell ref="DC132:DE132"/>
    <mergeCell ref="DG132:DI132"/>
    <mergeCell ref="DC133:DE133"/>
    <mergeCell ref="DG133:DI133"/>
    <mergeCell ref="DC134:DE134"/>
    <mergeCell ref="DG134:DI134"/>
    <mergeCell ref="DD135:DF135"/>
    <mergeCell ref="DH135:DI135"/>
    <mergeCell ref="DD136:DF136"/>
    <mergeCell ref="DH136:DI136"/>
    <mergeCell ref="DC137:DG137"/>
    <mergeCell ref="CS156:CU156"/>
    <mergeCell ref="CT114:CU114"/>
    <mergeCell ref="CP115:CR115"/>
    <mergeCell ref="CT115:CU115"/>
    <mergeCell ref="DD151:DF151"/>
    <mergeCell ref="DH151:DI151"/>
    <mergeCell ref="DC154:DE154"/>
    <mergeCell ref="DG154:DI154"/>
    <mergeCell ref="DC155:DE155"/>
    <mergeCell ref="DG155:DI155"/>
    <mergeCell ref="DC156:DE156"/>
    <mergeCell ref="DG156:DI156"/>
    <mergeCell ref="DD157:DF157"/>
    <mergeCell ref="DH157:DI157"/>
    <mergeCell ref="DD158:DF158"/>
    <mergeCell ref="DH158:DI158"/>
    <mergeCell ref="DC161:DE161"/>
    <mergeCell ref="DG161:DI161"/>
    <mergeCell ref="DC162:DE162"/>
    <mergeCell ref="DG162:DI162"/>
    <mergeCell ref="DC163:DE163"/>
    <mergeCell ref="DG163:DI163"/>
    <mergeCell ref="DD164:DF164"/>
    <mergeCell ref="DH164:DI164"/>
    <mergeCell ref="DD165:DF165"/>
    <mergeCell ref="DH165:DI165"/>
    <mergeCell ref="DC219:DE219"/>
    <mergeCell ref="DG219:DI219"/>
    <mergeCell ref="DD220:DF220"/>
    <mergeCell ref="DH220:DI220"/>
    <mergeCell ref="DD221:DF221"/>
    <mergeCell ref="DH221:DI221"/>
    <mergeCell ref="DD179:DF179"/>
    <mergeCell ref="DH179:DI179"/>
    <mergeCell ref="DC182:DE182"/>
    <mergeCell ref="DG182:DI182"/>
    <mergeCell ref="DC183:DE183"/>
    <mergeCell ref="DG183:DI183"/>
    <mergeCell ref="DC184:DE184"/>
    <mergeCell ref="DG184:DI184"/>
    <mergeCell ref="DD185:DF185"/>
    <mergeCell ref="DH185:DI185"/>
    <mergeCell ref="DD186:DF186"/>
    <mergeCell ref="DH186:DI186"/>
    <mergeCell ref="DC189:DE189"/>
    <mergeCell ref="DG189:DI189"/>
    <mergeCell ref="DD192:DF192"/>
    <mergeCell ref="DH192:DI192"/>
    <mergeCell ref="DD193:DF193"/>
    <mergeCell ref="DH193:DI193"/>
    <mergeCell ref="DC196:DE196"/>
    <mergeCell ref="DG196:DI196"/>
    <mergeCell ref="DC197:DE197"/>
    <mergeCell ref="DG197:DI197"/>
    <mergeCell ref="DC198:DE198"/>
    <mergeCell ref="DG198:DI198"/>
    <mergeCell ref="DD199:DF199"/>
    <mergeCell ref="DH199:DI199"/>
    <mergeCell ref="DD200:DF200"/>
    <mergeCell ref="DH200:DI200"/>
    <mergeCell ref="DC203:DE203"/>
    <mergeCell ref="DG203:DI203"/>
    <mergeCell ref="DC204:DE204"/>
    <mergeCell ref="DG204:DI204"/>
    <mergeCell ref="DC190:DE190"/>
    <mergeCell ref="DG190:DI190"/>
    <mergeCell ref="DC191:DE191"/>
    <mergeCell ref="DG191:DI191"/>
    <mergeCell ref="DC112:DE112"/>
    <mergeCell ref="DG112:DI112"/>
    <mergeCell ref="DC113:DE113"/>
    <mergeCell ref="DG113:DI113"/>
    <mergeCell ref="DD114:DF114"/>
    <mergeCell ref="DH114:DI114"/>
    <mergeCell ref="DD115:DF115"/>
    <mergeCell ref="DH115:DI115"/>
    <mergeCell ref="DC116:DG116"/>
    <mergeCell ref="DC117:DE117"/>
    <mergeCell ref="DC118:DE118"/>
    <mergeCell ref="DG118:DI118"/>
    <mergeCell ref="DC119:DE119"/>
    <mergeCell ref="DG119:DI119"/>
    <mergeCell ref="DG117:DI117"/>
    <mergeCell ref="DC138:DE138"/>
    <mergeCell ref="DC139:DE139"/>
    <mergeCell ref="DG139:DI139"/>
    <mergeCell ref="DC140:DE140"/>
    <mergeCell ref="DG138:DI138"/>
    <mergeCell ref="DC98:DE98"/>
    <mergeCell ref="DG98:DI98"/>
    <mergeCell ref="DD228:DF228"/>
    <mergeCell ref="DH228:DI228"/>
    <mergeCell ref="DC205:DE205"/>
    <mergeCell ref="DG205:DI205"/>
    <mergeCell ref="DD206:DF206"/>
    <mergeCell ref="DH206:DI206"/>
    <mergeCell ref="DD207:DF207"/>
    <mergeCell ref="DH207:DI207"/>
    <mergeCell ref="DC210:DE210"/>
    <mergeCell ref="DG210:DI210"/>
    <mergeCell ref="DC211:DE211"/>
    <mergeCell ref="DG211:DI211"/>
    <mergeCell ref="DC212:DE212"/>
    <mergeCell ref="DG212:DI212"/>
    <mergeCell ref="DD213:DF213"/>
    <mergeCell ref="DH213:DI213"/>
    <mergeCell ref="DD214:DF214"/>
    <mergeCell ref="DH214:DI214"/>
    <mergeCell ref="DC217:DE217"/>
    <mergeCell ref="DG217:DI217"/>
    <mergeCell ref="DC224:DE224"/>
    <mergeCell ref="DG224:DI224"/>
    <mergeCell ref="DC225:DE225"/>
    <mergeCell ref="DG225:DI225"/>
    <mergeCell ref="DC226:DE226"/>
    <mergeCell ref="DG226:DI226"/>
    <mergeCell ref="DD227:DF227"/>
    <mergeCell ref="DH227:DI227"/>
    <mergeCell ref="DC141:DE141"/>
    <mergeCell ref="DG141:DI141"/>
    <mergeCell ref="DD142:DF142"/>
    <mergeCell ref="DH142:DI142"/>
    <mergeCell ref="DD143:DF143"/>
    <mergeCell ref="DH143:DI143"/>
    <mergeCell ref="DC147:DE147"/>
    <mergeCell ref="DG147:DI147"/>
    <mergeCell ref="DC148:DE148"/>
    <mergeCell ref="DG148:DI148"/>
    <mergeCell ref="DC149:DE149"/>
    <mergeCell ref="DG149:DI149"/>
    <mergeCell ref="DD150:DF150"/>
    <mergeCell ref="DH150:DI150"/>
    <mergeCell ref="DG89:DI89"/>
    <mergeCell ref="DG96:DI96"/>
    <mergeCell ref="DC74:DG74"/>
    <mergeCell ref="DC75:DE75"/>
    <mergeCell ref="DC76:DE76"/>
    <mergeCell ref="DG76:DI76"/>
    <mergeCell ref="DC77:DE77"/>
    <mergeCell ref="DG77:DI77"/>
    <mergeCell ref="DC57:DE57"/>
    <mergeCell ref="DG57:DI57"/>
    <mergeCell ref="DD58:DF58"/>
    <mergeCell ref="DH58:DI58"/>
    <mergeCell ref="DD59:DF59"/>
    <mergeCell ref="DH59:DI59"/>
    <mergeCell ref="DC60:DG60"/>
    <mergeCell ref="DC61:DE61"/>
    <mergeCell ref="DC62:DE62"/>
    <mergeCell ref="DG62:DI62"/>
    <mergeCell ref="DC63:DE63"/>
    <mergeCell ref="DG63:DI63"/>
    <mergeCell ref="DC64:DE64"/>
    <mergeCell ref="DG64:DI64"/>
    <mergeCell ref="DD65:DF65"/>
    <mergeCell ref="DH65:DI65"/>
    <mergeCell ref="DD66:DF66"/>
    <mergeCell ref="DH66:DI66"/>
    <mergeCell ref="DG75:DI75"/>
    <mergeCell ref="DC50:DE50"/>
    <mergeCell ref="DG50:DI50"/>
    <mergeCell ref="DD51:DF51"/>
    <mergeCell ref="DH51:DI51"/>
    <mergeCell ref="DD52:DF52"/>
    <mergeCell ref="DH52:DI52"/>
    <mergeCell ref="DC53:DG53"/>
    <mergeCell ref="DC54:DE54"/>
    <mergeCell ref="DC55:DE55"/>
    <mergeCell ref="DG55:DI55"/>
    <mergeCell ref="DC56:DE56"/>
    <mergeCell ref="DG56:DI56"/>
    <mergeCell ref="DC78:DE78"/>
    <mergeCell ref="DG78:DI78"/>
    <mergeCell ref="DD79:DF79"/>
    <mergeCell ref="DH79:DI79"/>
    <mergeCell ref="DD80:DF80"/>
    <mergeCell ref="DH80:DI80"/>
    <mergeCell ref="DC81:DG81"/>
    <mergeCell ref="DC82:DE82"/>
    <mergeCell ref="DC83:DE83"/>
    <mergeCell ref="DG83:DI83"/>
    <mergeCell ref="DC84:DE84"/>
    <mergeCell ref="DG84:DI84"/>
    <mergeCell ref="DC85:DE85"/>
    <mergeCell ref="DG85:DI85"/>
    <mergeCell ref="DD86:DF86"/>
    <mergeCell ref="DH86:DI86"/>
    <mergeCell ref="DD87:DF87"/>
    <mergeCell ref="DH87:DI87"/>
    <mergeCell ref="DC88:DG88"/>
    <mergeCell ref="DC89:DE89"/>
    <mergeCell ref="DC90:DE90"/>
    <mergeCell ref="DG90:DI90"/>
    <mergeCell ref="DC91:DE91"/>
    <mergeCell ref="DD94:DF94"/>
    <mergeCell ref="DH94:DI94"/>
    <mergeCell ref="DG36:DI36"/>
    <mergeCell ref="DD37:DF37"/>
    <mergeCell ref="DH37:DI37"/>
    <mergeCell ref="DD38:DF38"/>
    <mergeCell ref="DH38:DI38"/>
    <mergeCell ref="DC39:DG39"/>
    <mergeCell ref="DC40:DE40"/>
    <mergeCell ref="DC41:DE41"/>
    <mergeCell ref="DG41:DI41"/>
    <mergeCell ref="DC42:DE42"/>
    <mergeCell ref="DG42:DI42"/>
    <mergeCell ref="DC43:DE43"/>
    <mergeCell ref="DG43:DI43"/>
    <mergeCell ref="DD44:DF44"/>
    <mergeCell ref="DH44:DI44"/>
    <mergeCell ref="DD45:DF45"/>
    <mergeCell ref="DH45:DI45"/>
    <mergeCell ref="DG40:DI40"/>
    <mergeCell ref="DG54:DI54"/>
    <mergeCell ref="DD31:DF31"/>
    <mergeCell ref="DH31:DI31"/>
    <mergeCell ref="DC32:DG32"/>
    <mergeCell ref="DC33:DE33"/>
    <mergeCell ref="DC34:DE34"/>
    <mergeCell ref="DG34:DI34"/>
    <mergeCell ref="DC35:DE35"/>
    <mergeCell ref="DG35:DI35"/>
    <mergeCell ref="DC36:DE36"/>
    <mergeCell ref="BT141:BV141"/>
    <mergeCell ref="BX141:BZ141"/>
    <mergeCell ref="BU142:BW142"/>
    <mergeCell ref="BY142:BZ142"/>
    <mergeCell ref="BU129:BW129"/>
    <mergeCell ref="BY129:BZ129"/>
    <mergeCell ref="BT130:BX130"/>
    <mergeCell ref="BT131:BV131"/>
    <mergeCell ref="BT132:BV132"/>
    <mergeCell ref="BX132:BZ132"/>
    <mergeCell ref="BT133:BV133"/>
    <mergeCell ref="BX133:BZ133"/>
    <mergeCell ref="BT134:BV134"/>
    <mergeCell ref="BX134:BZ134"/>
    <mergeCell ref="BU135:BW135"/>
    <mergeCell ref="BY135:BZ135"/>
    <mergeCell ref="BU136:BW136"/>
    <mergeCell ref="BY136:BZ136"/>
    <mergeCell ref="DC46:DG46"/>
    <mergeCell ref="DC47:DE47"/>
    <mergeCell ref="DC48:DE48"/>
    <mergeCell ref="DG48:DI48"/>
    <mergeCell ref="DG49:DI49"/>
    <mergeCell ref="DA114:DB114"/>
    <mergeCell ref="DA115:DB115"/>
    <mergeCell ref="DA108:DB108"/>
    <mergeCell ref="BU101:BW101"/>
    <mergeCell ref="BY101:BZ101"/>
    <mergeCell ref="BT102:BX102"/>
    <mergeCell ref="BT103:BV103"/>
    <mergeCell ref="BT104:BV104"/>
    <mergeCell ref="BX104:BZ104"/>
    <mergeCell ref="BT105:BV105"/>
    <mergeCell ref="CV104:CX104"/>
    <mergeCell ref="CV77:CX77"/>
    <mergeCell ref="CE75:CG75"/>
    <mergeCell ref="DC21:DE21"/>
    <mergeCell ref="DG21:DI21"/>
    <mergeCell ref="DC22:DE22"/>
    <mergeCell ref="DG22:DI22"/>
    <mergeCell ref="DD23:DF23"/>
    <mergeCell ref="DH23:DI23"/>
    <mergeCell ref="DD24:DF24"/>
    <mergeCell ref="DH24:DI24"/>
    <mergeCell ref="DC25:DG25"/>
    <mergeCell ref="DC26:DE26"/>
    <mergeCell ref="DC27:DE27"/>
    <mergeCell ref="DG27:DI27"/>
    <mergeCell ref="DC28:DE28"/>
    <mergeCell ref="DG28:DI28"/>
    <mergeCell ref="DC29:DE29"/>
    <mergeCell ref="DG29:DI29"/>
    <mergeCell ref="DH30:DI30"/>
    <mergeCell ref="BU228:BW228"/>
    <mergeCell ref="BY228:BZ228"/>
    <mergeCell ref="BU143:BW143"/>
    <mergeCell ref="BY143:BZ143"/>
    <mergeCell ref="BT147:BV147"/>
    <mergeCell ref="BX147:BZ147"/>
    <mergeCell ref="BT148:BV148"/>
    <mergeCell ref="BX148:BZ148"/>
    <mergeCell ref="BT149:BV149"/>
    <mergeCell ref="BX149:BZ149"/>
    <mergeCell ref="BU150:BW150"/>
    <mergeCell ref="BY150:BZ150"/>
    <mergeCell ref="BU151:BW151"/>
    <mergeCell ref="BY151:BZ151"/>
    <mergeCell ref="BT154:BV154"/>
    <mergeCell ref="BX154:BZ154"/>
    <mergeCell ref="BT64:BV64"/>
    <mergeCell ref="BX64:BZ64"/>
    <mergeCell ref="BU65:BW65"/>
    <mergeCell ref="BY65:BZ65"/>
    <mergeCell ref="BU66:BW66"/>
    <mergeCell ref="BY66:BZ66"/>
    <mergeCell ref="BT67:BX67"/>
    <mergeCell ref="BT68:BV68"/>
    <mergeCell ref="BT69:BV69"/>
    <mergeCell ref="BX69:BZ69"/>
    <mergeCell ref="BT70:BV70"/>
    <mergeCell ref="BX70:BZ70"/>
    <mergeCell ref="BT71:BV71"/>
    <mergeCell ref="BX71:BZ71"/>
    <mergeCell ref="BU72:BW72"/>
    <mergeCell ref="BY72:BZ72"/>
    <mergeCell ref="BU73:BW73"/>
    <mergeCell ref="BY73:BZ73"/>
    <mergeCell ref="BU59:BW59"/>
    <mergeCell ref="BY59:BZ59"/>
    <mergeCell ref="BT60:BX60"/>
    <mergeCell ref="BT61:BV61"/>
    <mergeCell ref="CW136:CY136"/>
    <mergeCell ref="DA136:DB136"/>
    <mergeCell ref="CB136:CD136"/>
    <mergeCell ref="CF136:CG136"/>
    <mergeCell ref="CB114:CD114"/>
    <mergeCell ref="CF114:CG114"/>
    <mergeCell ref="CE119:CG119"/>
    <mergeCell ref="DA107:DB107"/>
    <mergeCell ref="CZ104:DB104"/>
    <mergeCell ref="DC19:DE19"/>
    <mergeCell ref="DC20:DE20"/>
    <mergeCell ref="DD30:DF30"/>
    <mergeCell ref="DC49:DE49"/>
    <mergeCell ref="DC67:DG67"/>
    <mergeCell ref="DC68:DE68"/>
    <mergeCell ref="DC69:DE69"/>
    <mergeCell ref="DG69:DI69"/>
    <mergeCell ref="DC70:DE70"/>
    <mergeCell ref="DG70:DI70"/>
    <mergeCell ref="DC71:DE71"/>
    <mergeCell ref="DG71:DI71"/>
    <mergeCell ref="DD72:DF72"/>
    <mergeCell ref="DH72:DI72"/>
    <mergeCell ref="DD73:DF73"/>
    <mergeCell ref="DH73:DI73"/>
    <mergeCell ref="BU128:BW128"/>
    <mergeCell ref="BY128:BZ128"/>
    <mergeCell ref="BU108:BW108"/>
    <mergeCell ref="BY108:BZ108"/>
    <mergeCell ref="BT109:BX109"/>
    <mergeCell ref="BT110:BV110"/>
    <mergeCell ref="BT111:BV111"/>
    <mergeCell ref="BX111:BZ111"/>
    <mergeCell ref="BT112:BV112"/>
    <mergeCell ref="BX112:BZ112"/>
    <mergeCell ref="BT113:BV113"/>
    <mergeCell ref="BX113:BZ113"/>
    <mergeCell ref="BU114:BW114"/>
    <mergeCell ref="BY114:BZ114"/>
    <mergeCell ref="BU115:BW115"/>
    <mergeCell ref="BY115:BZ115"/>
    <mergeCell ref="BT116:BX116"/>
    <mergeCell ref="BT117:BV117"/>
    <mergeCell ref="BT95:BX95"/>
    <mergeCell ref="BT96:BV96"/>
    <mergeCell ref="BT97:BV97"/>
    <mergeCell ref="BX97:BZ97"/>
    <mergeCell ref="BT98:BV98"/>
    <mergeCell ref="BX98:BZ98"/>
    <mergeCell ref="BT99:BV99"/>
    <mergeCell ref="BX99:BZ99"/>
    <mergeCell ref="BU100:BW100"/>
    <mergeCell ref="BY100:BZ100"/>
    <mergeCell ref="BT85:BV85"/>
    <mergeCell ref="BX85:BZ85"/>
    <mergeCell ref="BU86:BW86"/>
    <mergeCell ref="BY86:BZ86"/>
    <mergeCell ref="BU87:BW87"/>
    <mergeCell ref="BY87:BZ87"/>
    <mergeCell ref="BT88:BX88"/>
    <mergeCell ref="BT89:BV89"/>
    <mergeCell ref="BT90:BV90"/>
    <mergeCell ref="BX90:BZ90"/>
    <mergeCell ref="BT91:BV91"/>
    <mergeCell ref="BX91:BZ91"/>
    <mergeCell ref="BT92:BV92"/>
    <mergeCell ref="BX92:BZ92"/>
    <mergeCell ref="BU93:BW93"/>
    <mergeCell ref="BY93:BZ93"/>
    <mergeCell ref="BU94:BW94"/>
    <mergeCell ref="BY94:BZ94"/>
    <mergeCell ref="BT78:BV78"/>
    <mergeCell ref="BX78:BZ78"/>
    <mergeCell ref="AY19:BA19"/>
    <mergeCell ref="AY25:BC25"/>
    <mergeCell ref="AY26:BA26"/>
    <mergeCell ref="AY32:BC32"/>
    <mergeCell ref="AY33:BA33"/>
    <mergeCell ref="AY39:BC39"/>
    <mergeCell ref="AY40:BA40"/>
    <mergeCell ref="AY46:BC46"/>
    <mergeCell ref="AY47:BA47"/>
    <mergeCell ref="AY53:BC53"/>
    <mergeCell ref="AY54:BA54"/>
    <mergeCell ref="AY60:BC60"/>
    <mergeCell ref="AY61:BA61"/>
    <mergeCell ref="AY67:BC67"/>
    <mergeCell ref="AY68:BA68"/>
    <mergeCell ref="AY74:BC74"/>
    <mergeCell ref="AY75:BA75"/>
    <mergeCell ref="AZ87:BB87"/>
    <mergeCell ref="AY119:BA119"/>
    <mergeCell ref="BC119:BE119"/>
    <mergeCell ref="AZ86:BB86"/>
    <mergeCell ref="BD86:BE86"/>
    <mergeCell ref="BT77:BV77"/>
    <mergeCell ref="BX77:BZ77"/>
    <mergeCell ref="AH26:AJ26"/>
    <mergeCell ref="AH33:AJ33"/>
    <mergeCell ref="AH40:AJ40"/>
    <mergeCell ref="AH61:AJ61"/>
    <mergeCell ref="AH68:AJ68"/>
    <mergeCell ref="AH75:AJ75"/>
    <mergeCell ref="AH82:AJ82"/>
    <mergeCell ref="AR120:AT120"/>
    <mergeCell ref="BT26:BV26"/>
    <mergeCell ref="BT27:BV27"/>
    <mergeCell ref="BX27:BZ27"/>
    <mergeCell ref="BT28:BV28"/>
    <mergeCell ref="BX28:BZ28"/>
    <mergeCell ref="BT29:BV29"/>
    <mergeCell ref="BX29:BZ29"/>
    <mergeCell ref="BU30:BW30"/>
    <mergeCell ref="BY30:BZ30"/>
    <mergeCell ref="BU31:BW31"/>
    <mergeCell ref="BY31:BZ31"/>
    <mergeCell ref="AY95:BC95"/>
    <mergeCell ref="AY96:BA96"/>
    <mergeCell ref="AY102:BC102"/>
    <mergeCell ref="AY103:BA103"/>
    <mergeCell ref="AY109:BC109"/>
    <mergeCell ref="AY110:BA110"/>
    <mergeCell ref="BY52:BZ52"/>
    <mergeCell ref="BT53:BX53"/>
    <mergeCell ref="BT54:BV54"/>
    <mergeCell ref="BT55:BV55"/>
    <mergeCell ref="BX55:BZ55"/>
    <mergeCell ref="BT56:BV56"/>
    <mergeCell ref="BX56:BZ56"/>
    <mergeCell ref="AK117:AM117"/>
    <mergeCell ref="BQ90:BS90"/>
    <mergeCell ref="BM91:BO91"/>
    <mergeCell ref="BF19:BH19"/>
    <mergeCell ref="BJ19:BL19"/>
    <mergeCell ref="BF20:BH20"/>
    <mergeCell ref="BJ20:BL20"/>
    <mergeCell ref="BF21:BH21"/>
    <mergeCell ref="AH78:AJ78"/>
    <mergeCell ref="AK78:AM78"/>
    <mergeCell ref="AP79:AQ79"/>
    <mergeCell ref="AS79:AU79"/>
    <mergeCell ref="AI114:AJ114"/>
    <mergeCell ref="AL93:AN93"/>
    <mergeCell ref="AP93:AQ93"/>
    <mergeCell ref="AS65:AU65"/>
    <mergeCell ref="AI93:AJ93"/>
    <mergeCell ref="AH84:AJ84"/>
    <mergeCell ref="AD149:AF149"/>
    <mergeCell ref="AH149:AJ149"/>
    <mergeCell ref="AR61:AT61"/>
    <mergeCell ref="AR67:AV67"/>
    <mergeCell ref="AR68:AT68"/>
    <mergeCell ref="AR74:AV74"/>
    <mergeCell ref="AR75:AT75"/>
    <mergeCell ref="AR81:AV81"/>
    <mergeCell ref="AR82:AT82"/>
    <mergeCell ref="AR88:AV88"/>
    <mergeCell ref="AR89:AT89"/>
    <mergeCell ref="AR95:AV95"/>
    <mergeCell ref="AR96:AT96"/>
    <mergeCell ref="AR109:AV109"/>
    <mergeCell ref="AR110:AT110"/>
    <mergeCell ref="AR102:AV102"/>
    <mergeCell ref="AR103:AT103"/>
    <mergeCell ref="AR116:AV116"/>
    <mergeCell ref="AR117:AT117"/>
    <mergeCell ref="AD61:AF61"/>
    <mergeCell ref="AD68:AF68"/>
    <mergeCell ref="AD75:AF75"/>
    <mergeCell ref="AD82:AF82"/>
    <mergeCell ref="AD89:AF89"/>
    <mergeCell ref="AD96:AF96"/>
    <mergeCell ref="AD103:AF103"/>
    <mergeCell ref="AD110:AF110"/>
    <mergeCell ref="AD117:AF117"/>
    <mergeCell ref="AD124:AF124"/>
    <mergeCell ref="AV119:AX119"/>
    <mergeCell ref="AW86:AX86"/>
    <mergeCell ref="AV85:AX85"/>
    <mergeCell ref="AD134:AF134"/>
    <mergeCell ref="AH134:AJ134"/>
    <mergeCell ref="AD141:AF141"/>
    <mergeCell ref="AH141:AJ141"/>
    <mergeCell ref="AD119:AF119"/>
    <mergeCell ref="AH119:AJ119"/>
    <mergeCell ref="AK119:AM119"/>
    <mergeCell ref="AO119:AQ119"/>
    <mergeCell ref="AE86:AG86"/>
    <mergeCell ref="AI86:AJ86"/>
    <mergeCell ref="AL86:AN86"/>
    <mergeCell ref="AD56:AF56"/>
    <mergeCell ref="AH56:AJ56"/>
    <mergeCell ref="AK56:AM56"/>
    <mergeCell ref="AO56:AQ56"/>
    <mergeCell ref="AE100:AG100"/>
    <mergeCell ref="AD98:AF98"/>
    <mergeCell ref="AH98:AJ98"/>
    <mergeCell ref="AK98:AM98"/>
    <mergeCell ref="AO98:AQ98"/>
    <mergeCell ref="AK134:AM134"/>
    <mergeCell ref="AO134:AQ134"/>
    <mergeCell ref="AI136:AJ136"/>
    <mergeCell ref="AO139:AQ139"/>
    <mergeCell ref="AK132:AM132"/>
    <mergeCell ref="AO132:AQ132"/>
    <mergeCell ref="AD120:AF120"/>
    <mergeCell ref="AH120:AJ120"/>
    <mergeCell ref="AK120:AM120"/>
    <mergeCell ref="AO120:AQ120"/>
    <mergeCell ref="AD146:AF146"/>
    <mergeCell ref="AD153:AF153"/>
    <mergeCell ref="AD160:AF160"/>
    <mergeCell ref="AD138:AF138"/>
    <mergeCell ref="AE129:AG129"/>
    <mergeCell ref="AI129:AJ129"/>
    <mergeCell ref="AE135:AG135"/>
    <mergeCell ref="AI135:AJ135"/>
    <mergeCell ref="AE136:AG136"/>
    <mergeCell ref="AE115:AG115"/>
    <mergeCell ref="AI115:AJ115"/>
    <mergeCell ref="AL115:AN115"/>
    <mergeCell ref="AP115:AQ115"/>
    <mergeCell ref="AL107:AN107"/>
    <mergeCell ref="AP107:AQ107"/>
    <mergeCell ref="AO104:AQ104"/>
    <mergeCell ref="AL108:AN108"/>
    <mergeCell ref="AP108:AQ108"/>
    <mergeCell ref="AD74:AH74"/>
    <mergeCell ref="AD62:AF62"/>
    <mergeCell ref="AH62:AJ62"/>
    <mergeCell ref="AK62:AM62"/>
    <mergeCell ref="AO62:AQ62"/>
    <mergeCell ref="AH131:AJ131"/>
    <mergeCell ref="AH138:AJ138"/>
    <mergeCell ref="AH146:AJ146"/>
    <mergeCell ref="AE108:AG108"/>
    <mergeCell ref="AK124:AM124"/>
    <mergeCell ref="AD126:AF126"/>
    <mergeCell ref="AH126:AJ126"/>
    <mergeCell ref="AK126:AM126"/>
    <mergeCell ref="AO126:AQ126"/>
    <mergeCell ref="AK112:AM112"/>
    <mergeCell ref="AD57:AF57"/>
    <mergeCell ref="AH57:AJ57"/>
    <mergeCell ref="AK57:AM57"/>
    <mergeCell ref="AL114:AN114"/>
    <mergeCell ref="AO112:AQ112"/>
    <mergeCell ref="AE94:AG94"/>
    <mergeCell ref="AI94:AJ94"/>
    <mergeCell ref="AL94:AN94"/>
    <mergeCell ref="AP94:AQ94"/>
    <mergeCell ref="AE79:AG79"/>
    <mergeCell ref="AE73:AG73"/>
    <mergeCell ref="AI73:AJ73"/>
    <mergeCell ref="AD167:AF167"/>
    <mergeCell ref="AD174:AF174"/>
    <mergeCell ref="AD181:AF181"/>
    <mergeCell ref="AD188:AF188"/>
    <mergeCell ref="AD195:AF195"/>
    <mergeCell ref="AD209:AF209"/>
    <mergeCell ref="AD216:AF216"/>
    <mergeCell ref="AD223:AF223"/>
    <mergeCell ref="AK25:AO25"/>
    <mergeCell ref="AK32:AO32"/>
    <mergeCell ref="AK39:AO39"/>
    <mergeCell ref="AK46:AO46"/>
    <mergeCell ref="AK53:AO53"/>
    <mergeCell ref="AK60:AO60"/>
    <mergeCell ref="AK67:AO67"/>
    <mergeCell ref="AK74:AO74"/>
    <mergeCell ref="AK81:AO81"/>
    <mergeCell ref="AK88:AO88"/>
    <mergeCell ref="AK95:AO95"/>
    <mergeCell ref="AK102:AO102"/>
    <mergeCell ref="AK109:AO109"/>
    <mergeCell ref="AK116:AO116"/>
    <mergeCell ref="AK123:AO123"/>
    <mergeCell ref="AK130:AO130"/>
    <mergeCell ref="AK137:AO137"/>
    <mergeCell ref="AE143:AG143"/>
    <mergeCell ref="AI143:AJ143"/>
    <mergeCell ref="AD26:AF26"/>
    <mergeCell ref="AL143:AN143"/>
    <mergeCell ref="CV134:CX134"/>
    <mergeCell ref="CZ134:DB134"/>
    <mergeCell ref="CA134:CC134"/>
    <mergeCell ref="CE134:CG134"/>
    <mergeCell ref="CA132:CC132"/>
    <mergeCell ref="CE132:CG132"/>
    <mergeCell ref="AK141:AM141"/>
    <mergeCell ref="AO141:AQ141"/>
    <mergeCell ref="AR141:AT141"/>
    <mergeCell ref="AV141:AX141"/>
    <mergeCell ref="AY141:BA141"/>
    <mergeCell ref="BC141:BE141"/>
    <mergeCell ref="CV141:CX141"/>
    <mergeCell ref="BX139:BZ139"/>
    <mergeCell ref="CO134:CQ134"/>
    <mergeCell ref="CS134:CU134"/>
    <mergeCell ref="CP135:CR135"/>
    <mergeCell ref="CT135:CU135"/>
    <mergeCell ref="CP136:CR136"/>
    <mergeCell ref="CT136:CU136"/>
    <mergeCell ref="CO137:CS137"/>
    <mergeCell ref="CO138:CQ138"/>
    <mergeCell ref="CO139:CQ139"/>
    <mergeCell ref="CS139:CU139"/>
    <mergeCell ref="CO140:CQ140"/>
    <mergeCell ref="CS140:CU140"/>
    <mergeCell ref="AL136:AN136"/>
    <mergeCell ref="AP136:AQ136"/>
    <mergeCell ref="AS136:AU136"/>
    <mergeCell ref="AW136:AX136"/>
    <mergeCell ref="AZ135:BB135"/>
    <mergeCell ref="BD135:BE135"/>
    <mergeCell ref="AP142:AQ142"/>
    <mergeCell ref="AS142:AU142"/>
    <mergeCell ref="AW142:AX142"/>
    <mergeCell ref="AY117:BA117"/>
    <mergeCell ref="AR134:AT134"/>
    <mergeCell ref="AV134:AX134"/>
    <mergeCell ref="AY134:BA134"/>
    <mergeCell ref="BC134:BE134"/>
    <mergeCell ref="CW135:CY135"/>
    <mergeCell ref="DA135:DB135"/>
    <mergeCell ref="CB135:CD135"/>
    <mergeCell ref="BT137:BX137"/>
    <mergeCell ref="BT138:BV138"/>
    <mergeCell ref="BT139:BV139"/>
    <mergeCell ref="CE127:CG127"/>
    <mergeCell ref="BT126:BV126"/>
    <mergeCell ref="BX126:BZ126"/>
    <mergeCell ref="BT127:BV127"/>
    <mergeCell ref="BX127:BZ127"/>
    <mergeCell ref="CO127:CQ127"/>
    <mergeCell ref="CS127:CU127"/>
    <mergeCell ref="CO126:CQ126"/>
    <mergeCell ref="CS126:CU126"/>
    <mergeCell ref="AP129:AQ129"/>
    <mergeCell ref="AS129:AU129"/>
    <mergeCell ref="AW129:AX129"/>
    <mergeCell ref="AZ129:BB129"/>
    <mergeCell ref="BD129:BE129"/>
    <mergeCell ref="CW129:CY129"/>
    <mergeCell ref="DA129:DB129"/>
    <mergeCell ref="CB129:CD129"/>
    <mergeCell ref="CF129:CG129"/>
    <mergeCell ref="CF135:CG135"/>
    <mergeCell ref="AP135:AQ135"/>
    <mergeCell ref="AS135:AU135"/>
    <mergeCell ref="AW135:AX135"/>
    <mergeCell ref="AV132:AX132"/>
    <mergeCell ref="AR132:AT132"/>
    <mergeCell ref="AR137:AV137"/>
    <mergeCell ref="AR119:AT119"/>
    <mergeCell ref="CP128:CR128"/>
    <mergeCell ref="CT128:CU128"/>
    <mergeCell ref="CP129:CR129"/>
    <mergeCell ref="CT129:CU129"/>
    <mergeCell ref="CO130:CS130"/>
    <mergeCell ref="CO131:CQ131"/>
    <mergeCell ref="CO132:CQ132"/>
    <mergeCell ref="CS132:CU132"/>
    <mergeCell ref="CO133:CQ133"/>
    <mergeCell ref="CS133:CU133"/>
    <mergeCell ref="BF117:BH117"/>
    <mergeCell ref="BJ117:BL117"/>
    <mergeCell ref="BF118:BH118"/>
    <mergeCell ref="BJ118:BL118"/>
    <mergeCell ref="BF119:BH119"/>
    <mergeCell ref="BJ119:BL119"/>
    <mergeCell ref="BF120:BH120"/>
    <mergeCell ref="BJ120:BL120"/>
    <mergeCell ref="BG121:BI121"/>
    <mergeCell ref="BK121:BL121"/>
    <mergeCell ref="AS143:AU143"/>
    <mergeCell ref="AW143:AX143"/>
    <mergeCell ref="AZ143:BB143"/>
    <mergeCell ref="BD143:BE143"/>
    <mergeCell ref="CW143:CY143"/>
    <mergeCell ref="DA143:DB143"/>
    <mergeCell ref="CB143:CD143"/>
    <mergeCell ref="CF143:CG143"/>
    <mergeCell ref="AP143:AQ143"/>
    <mergeCell ref="AE142:AG142"/>
    <mergeCell ref="AI142:AJ142"/>
    <mergeCell ref="AL142:AN142"/>
    <mergeCell ref="CO141:CQ141"/>
    <mergeCell ref="CS141:CU141"/>
    <mergeCell ref="CP142:CR142"/>
    <mergeCell ref="CT142:CU142"/>
    <mergeCell ref="CP143:CR143"/>
    <mergeCell ref="AD139:AF139"/>
    <mergeCell ref="AH139:AJ139"/>
    <mergeCell ref="AK139:AM139"/>
    <mergeCell ref="AV139:AX139"/>
    <mergeCell ref="AY139:BA139"/>
    <mergeCell ref="BC139:BE139"/>
    <mergeCell ref="CV139:CX139"/>
    <mergeCell ref="CZ139:DB139"/>
    <mergeCell ref="CA139:CC139"/>
    <mergeCell ref="CE139:CG139"/>
    <mergeCell ref="AD140:AF140"/>
    <mergeCell ref="AH140:AJ140"/>
    <mergeCell ref="AK140:AM140"/>
    <mergeCell ref="AO140:AQ140"/>
    <mergeCell ref="AR140:AT140"/>
    <mergeCell ref="AV140:AX140"/>
    <mergeCell ref="AY140:BA140"/>
    <mergeCell ref="BC140:BE140"/>
    <mergeCell ref="CV140:CX140"/>
    <mergeCell ref="CZ140:DB140"/>
    <mergeCell ref="CA140:CC140"/>
    <mergeCell ref="CE140:CG140"/>
    <mergeCell ref="BT140:BV140"/>
    <mergeCell ref="BX140:BZ140"/>
    <mergeCell ref="BM139:BO139"/>
    <mergeCell ref="CA141:CC141"/>
    <mergeCell ref="CE141:CG141"/>
    <mergeCell ref="AR139:AT139"/>
    <mergeCell ref="AZ142:BB142"/>
    <mergeCell ref="BD142:BE142"/>
    <mergeCell ref="CW142:CY142"/>
    <mergeCell ref="DA142:DB142"/>
    <mergeCell ref="CB142:CD142"/>
    <mergeCell ref="CF142:CG142"/>
    <mergeCell ref="AB137:AC137"/>
    <mergeCell ref="AB130:AC130"/>
    <mergeCell ref="AD132:AF132"/>
    <mergeCell ref="AH132:AJ132"/>
    <mergeCell ref="AD133:AF133"/>
    <mergeCell ref="AH133:AJ133"/>
    <mergeCell ref="AK133:AM133"/>
    <mergeCell ref="AO133:AQ133"/>
    <mergeCell ref="AR133:AT133"/>
    <mergeCell ref="AV133:AX133"/>
    <mergeCell ref="AY133:BA133"/>
    <mergeCell ref="BC133:BE133"/>
    <mergeCell ref="CV133:CX133"/>
    <mergeCell ref="CZ133:DB133"/>
    <mergeCell ref="CA133:CC133"/>
    <mergeCell ref="CE133:CG133"/>
    <mergeCell ref="AK138:AM138"/>
    <mergeCell ref="AL129:AN129"/>
    <mergeCell ref="AL135:AN135"/>
    <mergeCell ref="AK131:AM131"/>
    <mergeCell ref="AD131:AF131"/>
    <mergeCell ref="AY130:BC130"/>
    <mergeCell ref="AY131:BA131"/>
    <mergeCell ref="AY137:BC137"/>
    <mergeCell ref="AY138:BA138"/>
    <mergeCell ref="BF132:BH132"/>
    <mergeCell ref="BJ132:BL132"/>
    <mergeCell ref="BF133:BH133"/>
    <mergeCell ref="BJ133:BL133"/>
    <mergeCell ref="BF134:BH134"/>
    <mergeCell ref="BJ134:BL134"/>
    <mergeCell ref="BG135:BI135"/>
    <mergeCell ref="BK135:BL135"/>
    <mergeCell ref="BG136:BI136"/>
    <mergeCell ref="BK136:BL136"/>
    <mergeCell ref="BF137:BJ137"/>
    <mergeCell ref="BF138:BH138"/>
    <mergeCell ref="BJ138:BL138"/>
    <mergeCell ref="AV131:AX131"/>
    <mergeCell ref="BC131:BE131"/>
    <mergeCell ref="CV132:CX132"/>
    <mergeCell ref="BR135:BS135"/>
    <mergeCell ref="BN136:BP136"/>
    <mergeCell ref="BR136:BS136"/>
    <mergeCell ref="AR130:AV130"/>
    <mergeCell ref="AR131:AT131"/>
    <mergeCell ref="AR138:AT138"/>
    <mergeCell ref="AD118:AF118"/>
    <mergeCell ref="AH118:AJ118"/>
    <mergeCell ref="AK118:AM118"/>
    <mergeCell ref="AO118:AQ118"/>
    <mergeCell ref="AR118:AT118"/>
    <mergeCell ref="AV118:AX118"/>
    <mergeCell ref="AY118:BA118"/>
    <mergeCell ref="BC118:BE118"/>
    <mergeCell ref="CV118:CX118"/>
    <mergeCell ref="CE117:CG117"/>
    <mergeCell ref="CF115:CG115"/>
    <mergeCell ref="CE118:CG118"/>
    <mergeCell ref="AH113:AJ113"/>
    <mergeCell ref="AK113:AM113"/>
    <mergeCell ref="BQ139:BS139"/>
    <mergeCell ref="BM140:BO140"/>
    <mergeCell ref="BQ140:BS140"/>
    <mergeCell ref="AE128:AG128"/>
    <mergeCell ref="AI128:AJ128"/>
    <mergeCell ref="AL128:AN128"/>
    <mergeCell ref="AP128:AQ128"/>
    <mergeCell ref="AS128:AU128"/>
    <mergeCell ref="AY132:BA132"/>
    <mergeCell ref="BC132:BE132"/>
    <mergeCell ref="AW128:AX128"/>
    <mergeCell ref="AZ128:BB128"/>
    <mergeCell ref="BD128:BE128"/>
    <mergeCell ref="CW128:CY128"/>
    <mergeCell ref="DA128:DB128"/>
    <mergeCell ref="CB128:CD128"/>
    <mergeCell ref="CF128:CG128"/>
    <mergeCell ref="AZ136:BB136"/>
    <mergeCell ref="BD136:BE136"/>
    <mergeCell ref="BF139:BH139"/>
    <mergeCell ref="BJ139:BL139"/>
    <mergeCell ref="BF140:BH140"/>
    <mergeCell ref="BJ140:BL140"/>
    <mergeCell ref="AR126:AT126"/>
    <mergeCell ref="AV126:AX126"/>
    <mergeCell ref="AY126:BA126"/>
    <mergeCell ref="BC126:BE126"/>
    <mergeCell ref="CV126:CX126"/>
    <mergeCell ref="CZ126:DB126"/>
    <mergeCell ref="CA126:CC126"/>
    <mergeCell ref="CE126:CG126"/>
    <mergeCell ref="AD127:AF127"/>
    <mergeCell ref="AH127:AJ127"/>
    <mergeCell ref="AK127:AM127"/>
    <mergeCell ref="AO127:AQ127"/>
    <mergeCell ref="AR127:AT127"/>
    <mergeCell ref="AV127:AX127"/>
    <mergeCell ref="AY127:BA127"/>
    <mergeCell ref="BC127:BE127"/>
    <mergeCell ref="CV127:CX127"/>
    <mergeCell ref="CZ127:DB127"/>
    <mergeCell ref="CA127:CC127"/>
    <mergeCell ref="AR123:AV123"/>
    <mergeCell ref="AR124:AT124"/>
    <mergeCell ref="AO113:AQ113"/>
    <mergeCell ref="AR113:AT113"/>
    <mergeCell ref="AV113:AX113"/>
    <mergeCell ref="AY113:BA113"/>
    <mergeCell ref="BC113:BE113"/>
    <mergeCell ref="CV113:CX113"/>
    <mergeCell ref="CA120:CC120"/>
    <mergeCell ref="CE120:CG120"/>
    <mergeCell ref="AD125:AF125"/>
    <mergeCell ref="CV125:CX125"/>
    <mergeCell ref="CZ125:DB125"/>
    <mergeCell ref="CA125:CC125"/>
    <mergeCell ref="CE125:CG125"/>
    <mergeCell ref="CV124:CX124"/>
    <mergeCell ref="AY123:BC123"/>
    <mergeCell ref="AY124:BA124"/>
    <mergeCell ref="BT119:BV119"/>
    <mergeCell ref="BX119:BZ119"/>
    <mergeCell ref="BT120:BV120"/>
    <mergeCell ref="BX120:BZ120"/>
    <mergeCell ref="BU121:BW121"/>
    <mergeCell ref="BY121:BZ121"/>
    <mergeCell ref="BU122:BW122"/>
    <mergeCell ref="BY122:BZ122"/>
    <mergeCell ref="BT123:BX123"/>
    <mergeCell ref="BT124:BV124"/>
    <mergeCell ref="BT125:BV125"/>
    <mergeCell ref="BX125:BZ125"/>
    <mergeCell ref="CV119:CX119"/>
    <mergeCell ref="CO125:CQ125"/>
    <mergeCell ref="CS125:CU125"/>
    <mergeCell ref="CT121:CU121"/>
    <mergeCell ref="CP122:CR122"/>
    <mergeCell ref="CT122:CU122"/>
    <mergeCell ref="CL124:CN124"/>
    <mergeCell ref="CA123:CE123"/>
    <mergeCell ref="CA124:CC124"/>
    <mergeCell ref="AV120:AX120"/>
    <mergeCell ref="AY120:BA120"/>
    <mergeCell ref="BC120:BE120"/>
    <mergeCell ref="CV120:CX120"/>
    <mergeCell ref="CZ119:DB119"/>
    <mergeCell ref="CA119:CC119"/>
    <mergeCell ref="CO123:CS123"/>
    <mergeCell ref="CO124:CQ124"/>
    <mergeCell ref="BG122:BI122"/>
    <mergeCell ref="BK122:BL122"/>
    <mergeCell ref="BF123:BJ123"/>
    <mergeCell ref="BF124:BH124"/>
    <mergeCell ref="BJ124:BL124"/>
    <mergeCell ref="BF125:BH125"/>
    <mergeCell ref="BJ125:BL125"/>
    <mergeCell ref="AR112:AT112"/>
    <mergeCell ref="AV112:AX112"/>
    <mergeCell ref="AB116:AC116"/>
    <mergeCell ref="AZ114:BB114"/>
    <mergeCell ref="BD114:BE114"/>
    <mergeCell ref="AS107:AU107"/>
    <mergeCell ref="AW107:AX107"/>
    <mergeCell ref="AZ107:BB107"/>
    <mergeCell ref="BD107:BE107"/>
    <mergeCell ref="CW107:CY107"/>
    <mergeCell ref="CB107:CD107"/>
    <mergeCell ref="CF107:CG107"/>
    <mergeCell ref="BU107:BW107"/>
    <mergeCell ref="CS110:CU110"/>
    <mergeCell ref="CL111:CN111"/>
    <mergeCell ref="CH112:CJ112"/>
    <mergeCell ref="CL112:CN112"/>
    <mergeCell ref="CB115:CD115"/>
    <mergeCell ref="AS108:AU108"/>
    <mergeCell ref="AW108:AX108"/>
    <mergeCell ref="CW108:CY108"/>
    <mergeCell ref="BC112:BE112"/>
    <mergeCell ref="AE107:AG107"/>
    <mergeCell ref="AI107:AJ107"/>
    <mergeCell ref="AS115:AU115"/>
    <mergeCell ref="AW115:AX115"/>
    <mergeCell ref="AZ115:BB115"/>
    <mergeCell ref="BD115:BE115"/>
    <mergeCell ref="CW115:CY115"/>
    <mergeCell ref="AD113:AF113"/>
    <mergeCell ref="CV111:CX111"/>
    <mergeCell ref="CA111:CC111"/>
    <mergeCell ref="CP107:CR107"/>
    <mergeCell ref="CT107:CU107"/>
    <mergeCell ref="CP108:CR108"/>
    <mergeCell ref="CT108:CU108"/>
    <mergeCell ref="CV112:CX112"/>
    <mergeCell ref="CA112:CC112"/>
    <mergeCell ref="CE112:CG112"/>
    <mergeCell ref="AE114:AG114"/>
    <mergeCell ref="AD112:AF112"/>
    <mergeCell ref="AI108:AJ108"/>
    <mergeCell ref="AY112:BA112"/>
    <mergeCell ref="AH112:AJ112"/>
    <mergeCell ref="AK110:AM110"/>
    <mergeCell ref="CA113:CC113"/>
    <mergeCell ref="CE113:CG113"/>
    <mergeCell ref="AP114:AQ114"/>
    <mergeCell ref="AS114:AU114"/>
    <mergeCell ref="AW114:AX114"/>
    <mergeCell ref="AY116:BC116"/>
    <mergeCell ref="BF113:BH113"/>
    <mergeCell ref="BJ113:BL113"/>
    <mergeCell ref="BG114:BI114"/>
    <mergeCell ref="BK114:BL114"/>
    <mergeCell ref="BG115:BI115"/>
    <mergeCell ref="BK115:BL115"/>
    <mergeCell ref="BF116:BJ116"/>
    <mergeCell ref="AB95:AC95"/>
    <mergeCell ref="AD97:AF97"/>
    <mergeCell ref="AH97:AJ97"/>
    <mergeCell ref="AK97:AM97"/>
    <mergeCell ref="AO97:AQ97"/>
    <mergeCell ref="AR97:AT97"/>
    <mergeCell ref="AV97:AX97"/>
    <mergeCell ref="AY97:BA97"/>
    <mergeCell ref="BC97:BE97"/>
    <mergeCell ref="AB102:AC102"/>
    <mergeCell ref="CB108:CD108"/>
    <mergeCell ref="CF108:CG108"/>
    <mergeCell ref="AH111:AJ111"/>
    <mergeCell ref="AK111:AM111"/>
    <mergeCell ref="AO111:AQ111"/>
    <mergeCell ref="AR111:AT111"/>
    <mergeCell ref="AV111:AX111"/>
    <mergeCell ref="AY111:BA111"/>
    <mergeCell ref="BC111:BE111"/>
    <mergeCell ref="AD106:AF106"/>
    <mergeCell ref="AE101:AG101"/>
    <mergeCell ref="AI101:AJ101"/>
    <mergeCell ref="AL101:AN101"/>
    <mergeCell ref="AP101:AQ101"/>
    <mergeCell ref="AS101:AU101"/>
    <mergeCell ref="AW101:AX101"/>
    <mergeCell ref="AZ101:BB101"/>
    <mergeCell ref="BD101:BE101"/>
    <mergeCell ref="AK96:AM96"/>
    <mergeCell ref="AZ108:BB108"/>
    <mergeCell ref="BD108:BE108"/>
    <mergeCell ref="AD105:AF105"/>
    <mergeCell ref="AY104:BA104"/>
    <mergeCell ref="AK103:AM103"/>
    <mergeCell ref="CB101:CD101"/>
    <mergeCell ref="CF101:CG101"/>
    <mergeCell ref="AB109:AC109"/>
    <mergeCell ref="AD111:AF111"/>
    <mergeCell ref="CE111:CG111"/>
    <mergeCell ref="CA104:CC104"/>
    <mergeCell ref="CE104:CG104"/>
    <mergeCell ref="BC104:BE104"/>
    <mergeCell ref="BT106:BV106"/>
    <mergeCell ref="BX106:BZ106"/>
    <mergeCell ref="AH105:AJ105"/>
    <mergeCell ref="AK105:AM105"/>
    <mergeCell ref="AO105:AQ105"/>
    <mergeCell ref="BF95:BJ95"/>
    <mergeCell ref="BF96:BH96"/>
    <mergeCell ref="BJ96:BL96"/>
    <mergeCell ref="BF97:BH97"/>
    <mergeCell ref="BJ97:BL97"/>
    <mergeCell ref="BF98:BH98"/>
    <mergeCell ref="BJ98:BL98"/>
    <mergeCell ref="BF99:BH99"/>
    <mergeCell ref="BJ99:BL99"/>
    <mergeCell ref="BG100:BI100"/>
    <mergeCell ref="BK100:BL100"/>
    <mergeCell ref="BG101:BI101"/>
    <mergeCell ref="BK101:BL101"/>
    <mergeCell ref="BF102:BJ102"/>
    <mergeCell ref="BF103:BH103"/>
    <mergeCell ref="BJ103:BL103"/>
    <mergeCell ref="BF104:BH104"/>
    <mergeCell ref="AH110:AJ110"/>
    <mergeCell ref="AS94:AU94"/>
    <mergeCell ref="AW94:AX94"/>
    <mergeCell ref="AZ94:BB94"/>
    <mergeCell ref="BD94:BE94"/>
    <mergeCell ref="CW94:CY94"/>
    <mergeCell ref="DA94:DB94"/>
    <mergeCell ref="CB94:CD94"/>
    <mergeCell ref="AK89:AM89"/>
    <mergeCell ref="AR90:AT90"/>
    <mergeCell ref="AV90:AX90"/>
    <mergeCell ref="AY90:BA90"/>
    <mergeCell ref="BC90:BE90"/>
    <mergeCell ref="CV90:CX90"/>
    <mergeCell ref="CZ90:DB90"/>
    <mergeCell ref="CA90:CC90"/>
    <mergeCell ref="CE90:CG90"/>
    <mergeCell ref="CZ92:DB92"/>
    <mergeCell ref="AS93:AU93"/>
    <mergeCell ref="AW93:AX93"/>
    <mergeCell ref="AZ93:BB93"/>
    <mergeCell ref="AE93:AG93"/>
    <mergeCell ref="CE98:CG98"/>
    <mergeCell ref="CF94:CG94"/>
    <mergeCell ref="CV96:CX96"/>
    <mergeCell ref="CV102:CZ102"/>
    <mergeCell ref="CV103:CX103"/>
    <mergeCell ref="AR104:AT104"/>
    <mergeCell ref="AV104:AX104"/>
    <mergeCell ref="CB100:CD100"/>
    <mergeCell ref="CF100:CG100"/>
    <mergeCell ref="AD104:AF104"/>
    <mergeCell ref="CW101:CY101"/>
    <mergeCell ref="DA101:DB101"/>
    <mergeCell ref="CO104:CQ104"/>
    <mergeCell ref="CS104:CU104"/>
    <mergeCell ref="CO99:CQ99"/>
    <mergeCell ref="CS99:CU99"/>
    <mergeCell ref="CP100:CR100"/>
    <mergeCell ref="CT100:CU100"/>
    <mergeCell ref="CP101:CR101"/>
    <mergeCell ref="CT101:CU101"/>
    <mergeCell ref="BG94:BI94"/>
    <mergeCell ref="BK94:BL94"/>
    <mergeCell ref="AD91:AF91"/>
    <mergeCell ref="AH91:AJ91"/>
    <mergeCell ref="AK91:AM91"/>
    <mergeCell ref="AO91:AQ91"/>
    <mergeCell ref="AR91:AT91"/>
    <mergeCell ref="AV91:AX91"/>
    <mergeCell ref="AY91:BA91"/>
    <mergeCell ref="BC91:BE91"/>
    <mergeCell ref="CV91:CX91"/>
    <mergeCell ref="CZ91:DB91"/>
    <mergeCell ref="CA91:CC91"/>
    <mergeCell ref="CE91:CG91"/>
    <mergeCell ref="BQ91:BS91"/>
    <mergeCell ref="CO97:CQ97"/>
    <mergeCell ref="CS97:CU97"/>
    <mergeCell ref="BF89:BH89"/>
    <mergeCell ref="BJ89:BL89"/>
    <mergeCell ref="BF90:BH90"/>
    <mergeCell ref="BJ90:BL90"/>
    <mergeCell ref="BF91:BH91"/>
    <mergeCell ref="CA99:CC99"/>
    <mergeCell ref="CE99:CG99"/>
    <mergeCell ref="CE105:CG105"/>
    <mergeCell ref="AZ100:BB100"/>
    <mergeCell ref="BD100:BE100"/>
    <mergeCell ref="AY88:BC88"/>
    <mergeCell ref="AY89:BA89"/>
    <mergeCell ref="AD90:AF90"/>
    <mergeCell ref="AH90:AJ90"/>
    <mergeCell ref="AK90:AM90"/>
    <mergeCell ref="AO90:AQ90"/>
    <mergeCell ref="CA88:CE88"/>
    <mergeCell ref="AD92:AF92"/>
    <mergeCell ref="AH92:AJ92"/>
    <mergeCell ref="AK92:AM92"/>
    <mergeCell ref="AO92:AQ92"/>
    <mergeCell ref="AR92:AT92"/>
    <mergeCell ref="AV92:AX92"/>
    <mergeCell ref="AY92:BA92"/>
    <mergeCell ref="BC92:BE92"/>
    <mergeCell ref="CV92:CX92"/>
    <mergeCell ref="AH89:AJ89"/>
    <mergeCell ref="CA92:CC92"/>
    <mergeCell ref="CE92:CG92"/>
    <mergeCell ref="CO89:CQ89"/>
    <mergeCell ref="CO90:CQ90"/>
    <mergeCell ref="CS90:CU90"/>
    <mergeCell ref="CO91:CQ91"/>
    <mergeCell ref="AV89:AX89"/>
    <mergeCell ref="BC89:BE89"/>
    <mergeCell ref="CE89:CG89"/>
    <mergeCell ref="AR98:AT98"/>
    <mergeCell ref="AV98:AX98"/>
    <mergeCell ref="AY98:BA98"/>
    <mergeCell ref="BC98:BE98"/>
    <mergeCell ref="CV98:CX98"/>
    <mergeCell ref="CA98:CC98"/>
    <mergeCell ref="AH96:AJ96"/>
    <mergeCell ref="AH103:AJ103"/>
    <mergeCell ref="BF88:BJ88"/>
    <mergeCell ref="BJ91:BL91"/>
    <mergeCell ref="BF92:BH92"/>
    <mergeCell ref="BJ92:BL92"/>
    <mergeCell ref="BG93:BI93"/>
    <mergeCell ref="BK93:BL93"/>
    <mergeCell ref="BJ104:BL104"/>
    <mergeCell ref="BF105:BH105"/>
    <mergeCell ref="BJ105:BL105"/>
    <mergeCell ref="AW79:AX79"/>
    <mergeCell ref="CV76:CX76"/>
    <mergeCell ref="CZ76:DB76"/>
    <mergeCell ref="CA76:CC76"/>
    <mergeCell ref="CE76:CG76"/>
    <mergeCell ref="CE78:CG78"/>
    <mergeCell ref="CZ77:DB77"/>
    <mergeCell ref="CA77:CC77"/>
    <mergeCell ref="CE77:CG77"/>
    <mergeCell ref="CV78:CX78"/>
    <mergeCell ref="CZ78:DB78"/>
    <mergeCell ref="CA78:CC78"/>
    <mergeCell ref="CL76:CN76"/>
    <mergeCell ref="CH77:CJ77"/>
    <mergeCell ref="CL77:CN77"/>
    <mergeCell ref="CH78:CJ78"/>
    <mergeCell ref="CL78:CN78"/>
    <mergeCell ref="CH81:CL81"/>
    <mergeCell ref="BD79:BE79"/>
    <mergeCell ref="CW79:CY79"/>
    <mergeCell ref="DA79:DB79"/>
    <mergeCell ref="CB79:CD79"/>
    <mergeCell ref="CW86:CY86"/>
    <mergeCell ref="DA86:DB86"/>
    <mergeCell ref="CB86:CD86"/>
    <mergeCell ref="CF86:CG86"/>
    <mergeCell ref="AE87:AG87"/>
    <mergeCell ref="AI87:AJ87"/>
    <mergeCell ref="AL87:AN87"/>
    <mergeCell ref="AP87:AQ87"/>
    <mergeCell ref="AS87:AU87"/>
    <mergeCell ref="AW87:AX87"/>
    <mergeCell ref="BD87:BE87"/>
    <mergeCell ref="CW87:CY87"/>
    <mergeCell ref="DA87:DB87"/>
    <mergeCell ref="CB87:CD87"/>
    <mergeCell ref="CF87:CG87"/>
    <mergeCell ref="AS86:AU86"/>
    <mergeCell ref="AD85:AF85"/>
    <mergeCell ref="AH85:AJ85"/>
    <mergeCell ref="AK85:AM85"/>
    <mergeCell ref="AO85:AQ85"/>
    <mergeCell ref="AR85:AT85"/>
    <mergeCell ref="BF85:BH85"/>
    <mergeCell ref="BJ85:BL85"/>
    <mergeCell ref="BG86:BI86"/>
    <mergeCell ref="BK86:BL86"/>
    <mergeCell ref="BG87:BI87"/>
    <mergeCell ref="BK87:BL87"/>
    <mergeCell ref="CF79:CG79"/>
    <mergeCell ref="AD84:AF84"/>
    <mergeCell ref="CH76:CJ76"/>
    <mergeCell ref="AK82:AM82"/>
    <mergeCell ref="CO81:CS81"/>
    <mergeCell ref="CO82:CQ82"/>
    <mergeCell ref="CO83:CQ83"/>
    <mergeCell ref="CL83:CN83"/>
    <mergeCell ref="BJ84:BL84"/>
    <mergeCell ref="AP86:AQ86"/>
    <mergeCell ref="AO84:AQ84"/>
    <mergeCell ref="AO78:AQ78"/>
    <mergeCell ref="AD77:AF77"/>
    <mergeCell ref="AH77:AJ77"/>
    <mergeCell ref="AK77:AM77"/>
    <mergeCell ref="AV71:AX71"/>
    <mergeCell ref="AY71:BA71"/>
    <mergeCell ref="BC71:BE71"/>
    <mergeCell ref="CV71:CX71"/>
    <mergeCell ref="CZ71:DB71"/>
    <mergeCell ref="CA71:CC71"/>
    <mergeCell ref="CE71:CG71"/>
    <mergeCell ref="AE72:AG72"/>
    <mergeCell ref="AI72:AJ72"/>
    <mergeCell ref="AL72:AN72"/>
    <mergeCell ref="AP72:AQ72"/>
    <mergeCell ref="AR78:AT78"/>
    <mergeCell ref="AV78:AX78"/>
    <mergeCell ref="AY78:BA78"/>
    <mergeCell ref="AW65:AX65"/>
    <mergeCell ref="AR64:AT64"/>
    <mergeCell ref="AB74:AC74"/>
    <mergeCell ref="AD76:AF76"/>
    <mergeCell ref="AH76:AJ76"/>
    <mergeCell ref="AK76:AM76"/>
    <mergeCell ref="AO76:AQ76"/>
    <mergeCell ref="AR76:AT76"/>
    <mergeCell ref="AV76:AX76"/>
    <mergeCell ref="AY76:BA76"/>
    <mergeCell ref="BC76:BE76"/>
    <mergeCell ref="AK75:AM75"/>
    <mergeCell ref="BT74:BX74"/>
    <mergeCell ref="BT75:BV75"/>
    <mergeCell ref="BT76:BV76"/>
    <mergeCell ref="BX76:BZ76"/>
    <mergeCell ref="BF70:BH70"/>
    <mergeCell ref="BJ70:BL70"/>
    <mergeCell ref="BF71:BH71"/>
    <mergeCell ref="BJ71:BL71"/>
    <mergeCell ref="BG72:BI72"/>
    <mergeCell ref="BK72:BL72"/>
    <mergeCell ref="BG73:BI73"/>
    <mergeCell ref="BK73:BL73"/>
    <mergeCell ref="BF74:BJ74"/>
    <mergeCell ref="BF75:BH75"/>
    <mergeCell ref="CZ69:DB69"/>
    <mergeCell ref="CA69:CC69"/>
    <mergeCell ref="CE69:CG69"/>
    <mergeCell ref="AD70:AF70"/>
    <mergeCell ref="AH70:AJ70"/>
    <mergeCell ref="AK70:AM70"/>
    <mergeCell ref="AO70:AQ70"/>
    <mergeCell ref="AR70:AT70"/>
    <mergeCell ref="AV70:AX70"/>
    <mergeCell ref="AY70:BA70"/>
    <mergeCell ref="CS75:CU75"/>
    <mergeCell ref="CZ75:DB75"/>
    <mergeCell ref="AW73:AX73"/>
    <mergeCell ref="AZ73:BB73"/>
    <mergeCell ref="BD73:BE73"/>
    <mergeCell ref="CW73:CY73"/>
    <mergeCell ref="DA73:DB73"/>
    <mergeCell ref="CI73:CK73"/>
    <mergeCell ref="CM73:CN73"/>
    <mergeCell ref="AL73:AN73"/>
    <mergeCell ref="AP73:AQ73"/>
    <mergeCell ref="AS73:AU73"/>
    <mergeCell ref="AO77:AQ77"/>
    <mergeCell ref="AD78:AF78"/>
    <mergeCell ref="AB60:AC60"/>
    <mergeCell ref="AD54:AF54"/>
    <mergeCell ref="BC70:BE70"/>
    <mergeCell ref="CV70:CX70"/>
    <mergeCell ref="CZ70:DB70"/>
    <mergeCell ref="CA70:CC70"/>
    <mergeCell ref="CE70:CG70"/>
    <mergeCell ref="AZ66:BB66"/>
    <mergeCell ref="BD66:BE66"/>
    <mergeCell ref="CW66:CY66"/>
    <mergeCell ref="DA66:DB66"/>
    <mergeCell ref="CB66:CD66"/>
    <mergeCell ref="CF66:CG66"/>
    <mergeCell ref="AE66:AG66"/>
    <mergeCell ref="AI66:AJ66"/>
    <mergeCell ref="AL66:AN66"/>
    <mergeCell ref="AP66:AQ66"/>
    <mergeCell ref="AS66:AU66"/>
    <mergeCell ref="AW66:AX66"/>
    <mergeCell ref="CP66:CR66"/>
    <mergeCell ref="CT66:CU66"/>
    <mergeCell ref="CO67:CS67"/>
    <mergeCell ref="CO68:CQ68"/>
    <mergeCell ref="CI66:CK66"/>
    <mergeCell ref="CW65:CY65"/>
    <mergeCell ref="AD63:AF63"/>
    <mergeCell ref="AH63:AJ63"/>
    <mergeCell ref="AK63:AM63"/>
    <mergeCell ref="AO63:AQ63"/>
    <mergeCell ref="AD64:AF64"/>
    <mergeCell ref="AH64:AJ64"/>
    <mergeCell ref="AK64:AM64"/>
    <mergeCell ref="AO64:AQ64"/>
    <mergeCell ref="AB67:AC67"/>
    <mergeCell ref="AD69:AF69"/>
    <mergeCell ref="AH69:AJ69"/>
    <mergeCell ref="AK69:AM69"/>
    <mergeCell ref="AO69:AQ69"/>
    <mergeCell ref="AR69:AT69"/>
    <mergeCell ref="BT63:BV63"/>
    <mergeCell ref="AV69:AX69"/>
    <mergeCell ref="AY69:BA69"/>
    <mergeCell ref="BC69:BE69"/>
    <mergeCell ref="AZ65:BB65"/>
    <mergeCell ref="BD65:BE65"/>
    <mergeCell ref="AD67:AH67"/>
    <mergeCell ref="BN66:BP66"/>
    <mergeCell ref="BR66:BS66"/>
    <mergeCell ref="CV69:CX69"/>
    <mergeCell ref="CB65:CD65"/>
    <mergeCell ref="CF65:CG65"/>
    <mergeCell ref="AE65:AG65"/>
    <mergeCell ref="AI65:AJ65"/>
    <mergeCell ref="AL65:AN65"/>
    <mergeCell ref="BQ70:BS70"/>
    <mergeCell ref="DA65:DB65"/>
    <mergeCell ref="BF60:BJ60"/>
    <mergeCell ref="BF61:BH61"/>
    <mergeCell ref="BJ61:BL61"/>
    <mergeCell ref="BF62:BH62"/>
    <mergeCell ref="BJ62:BL62"/>
    <mergeCell ref="BF63:BH63"/>
    <mergeCell ref="BJ63:BL63"/>
    <mergeCell ref="BF64:BH64"/>
    <mergeCell ref="CV49:CX49"/>
    <mergeCell ref="CZ49:DB49"/>
    <mergeCell ref="CA49:CC49"/>
    <mergeCell ref="CE49:CG49"/>
    <mergeCell ref="CV48:CX48"/>
    <mergeCell ref="CZ48:DB48"/>
    <mergeCell ref="CA48:CC48"/>
    <mergeCell ref="BT49:BV49"/>
    <mergeCell ref="BX49:BZ49"/>
    <mergeCell ref="BT50:BV50"/>
    <mergeCell ref="BX50:BZ50"/>
    <mergeCell ref="AY62:BA62"/>
    <mergeCell ref="BC62:BE62"/>
    <mergeCell ref="CV62:CX62"/>
    <mergeCell ref="BT57:BV57"/>
    <mergeCell ref="BU51:BW51"/>
    <mergeCell ref="BY51:BZ51"/>
    <mergeCell ref="BU52:BW52"/>
    <mergeCell ref="AS58:AU58"/>
    <mergeCell ref="AW58:AX58"/>
    <mergeCell ref="AZ58:BB58"/>
    <mergeCell ref="BD58:BE58"/>
    <mergeCell ref="CW52:CY52"/>
    <mergeCell ref="DA52:DB52"/>
    <mergeCell ref="CB52:CD52"/>
    <mergeCell ref="CF52:CG52"/>
    <mergeCell ref="CW51:CY51"/>
    <mergeCell ref="AR53:AV53"/>
    <mergeCell ref="CW58:CY58"/>
    <mergeCell ref="DA58:DB58"/>
    <mergeCell ref="CV56:CX56"/>
    <mergeCell ref="CZ56:DB56"/>
    <mergeCell ref="CV57:CX57"/>
    <mergeCell ref="CZ57:DB57"/>
    <mergeCell ref="CA57:CC57"/>
    <mergeCell ref="CE57:CG57"/>
    <mergeCell ref="CV55:CX55"/>
    <mergeCell ref="CZ55:DB55"/>
    <mergeCell ref="CA55:CC55"/>
    <mergeCell ref="CE55:CG55"/>
    <mergeCell ref="CO55:CQ55"/>
    <mergeCell ref="BU58:BW58"/>
    <mergeCell ref="BY58:BZ58"/>
    <mergeCell ref="CE50:CG50"/>
    <mergeCell ref="AR56:AT56"/>
    <mergeCell ref="AB53:AC53"/>
    <mergeCell ref="AD55:AF55"/>
    <mergeCell ref="AH55:AJ55"/>
    <mergeCell ref="AK55:AM55"/>
    <mergeCell ref="AO55:AQ55"/>
    <mergeCell ref="AR55:AT55"/>
    <mergeCell ref="AV55:AX55"/>
    <mergeCell ref="AY55:BA55"/>
    <mergeCell ref="BC55:BE55"/>
    <mergeCell ref="AZ52:BB52"/>
    <mergeCell ref="BD52:BE52"/>
    <mergeCell ref="AE52:AG52"/>
    <mergeCell ref="AI52:AJ52"/>
    <mergeCell ref="AL52:AN52"/>
    <mergeCell ref="AP52:AQ52"/>
    <mergeCell ref="AS52:AU52"/>
    <mergeCell ref="AW52:AX52"/>
    <mergeCell ref="AR54:AT54"/>
    <mergeCell ref="AH54:AJ54"/>
    <mergeCell ref="AK54:AM54"/>
    <mergeCell ref="AD49:AF49"/>
    <mergeCell ref="AH49:AJ49"/>
    <mergeCell ref="AK49:AM49"/>
    <mergeCell ref="AO49:AQ49"/>
    <mergeCell ref="AH47:AJ47"/>
    <mergeCell ref="AK33:AM33"/>
    <mergeCell ref="AK40:AM40"/>
    <mergeCell ref="AK47:AM47"/>
    <mergeCell ref="AB39:AC39"/>
    <mergeCell ref="AD41:AF41"/>
    <mergeCell ref="AH41:AJ41"/>
    <mergeCell ref="AK41:AM41"/>
    <mergeCell ref="AO41:AQ41"/>
    <mergeCell ref="AR41:AT41"/>
    <mergeCell ref="AV41:AX41"/>
    <mergeCell ref="AP45:AQ45"/>
    <mergeCell ref="AS45:AU45"/>
    <mergeCell ref="AD43:AF43"/>
    <mergeCell ref="AH43:AJ43"/>
    <mergeCell ref="AK43:AM43"/>
    <mergeCell ref="AO43:AQ43"/>
    <mergeCell ref="AR43:AT43"/>
    <mergeCell ref="AV43:AX43"/>
    <mergeCell ref="AY35:BA35"/>
    <mergeCell ref="BC35:BE35"/>
    <mergeCell ref="AY41:BA41"/>
    <mergeCell ref="BC41:BE41"/>
    <mergeCell ref="AD50:AF50"/>
    <mergeCell ref="AH50:AJ50"/>
    <mergeCell ref="AK50:AM50"/>
    <mergeCell ref="AR46:AV46"/>
    <mergeCell ref="AR47:AT47"/>
    <mergeCell ref="AY50:BA50"/>
    <mergeCell ref="BC50:BE50"/>
    <mergeCell ref="AR49:AT49"/>
    <mergeCell ref="AV49:AX49"/>
    <mergeCell ref="AY49:BA49"/>
    <mergeCell ref="BC49:BE49"/>
    <mergeCell ref="AR48:AT48"/>
    <mergeCell ref="AV48:AX48"/>
    <mergeCell ref="BC34:BE34"/>
    <mergeCell ref="AS38:AU38"/>
    <mergeCell ref="CM72:CN72"/>
    <mergeCell ref="CV63:CX63"/>
    <mergeCell ref="CV43:CX43"/>
    <mergeCell ref="CE61:CG61"/>
    <mergeCell ref="CL61:CN61"/>
    <mergeCell ref="CS61:CU61"/>
    <mergeCell ref="CE68:CG68"/>
    <mergeCell ref="CL68:CN68"/>
    <mergeCell ref="CS68:CU68"/>
    <mergeCell ref="CS63:CU63"/>
    <mergeCell ref="CO64:CQ64"/>
    <mergeCell ref="CS64:CU64"/>
    <mergeCell ref="CP65:CR65"/>
    <mergeCell ref="CT65:CU65"/>
    <mergeCell ref="CO69:CQ69"/>
    <mergeCell ref="CS69:CU69"/>
    <mergeCell ref="CO29:CQ29"/>
    <mergeCell ref="CS29:CU29"/>
    <mergeCell ref="AD47:AF47"/>
    <mergeCell ref="AB32:AC32"/>
    <mergeCell ref="AD34:AF34"/>
    <mergeCell ref="AH34:AJ34"/>
    <mergeCell ref="AD35:AF35"/>
    <mergeCell ref="AH35:AJ35"/>
    <mergeCell ref="AK35:AM35"/>
    <mergeCell ref="AO35:AQ35"/>
    <mergeCell ref="AR35:AT35"/>
    <mergeCell ref="AV35:AX35"/>
    <mergeCell ref="AB46:AC46"/>
    <mergeCell ref="AD48:AF48"/>
    <mergeCell ref="AH48:AJ48"/>
    <mergeCell ref="AK48:AM48"/>
    <mergeCell ref="AO48:AQ48"/>
    <mergeCell ref="CB45:CD45"/>
    <mergeCell ref="CF45:CG45"/>
    <mergeCell ref="CP30:CR30"/>
    <mergeCell ref="CT30:CU30"/>
    <mergeCell ref="CP31:CR31"/>
    <mergeCell ref="CT31:CU31"/>
    <mergeCell ref="CO32:CS32"/>
    <mergeCell ref="CO33:CQ33"/>
    <mergeCell ref="CO34:CQ34"/>
    <mergeCell ref="CS34:CU34"/>
    <mergeCell ref="CO35:CQ35"/>
    <mergeCell ref="CS35:CU35"/>
    <mergeCell ref="CO36:CQ36"/>
    <mergeCell ref="CS36:CU36"/>
    <mergeCell ref="CP37:CR37"/>
    <mergeCell ref="AY43:BA43"/>
    <mergeCell ref="BC43:BE43"/>
    <mergeCell ref="CA43:CC43"/>
    <mergeCell ref="CE43:CG43"/>
    <mergeCell ref="AD33:AF33"/>
    <mergeCell ref="AD40:AF40"/>
    <mergeCell ref="BT32:BX32"/>
    <mergeCell ref="BT33:BV33"/>
    <mergeCell ref="BT34:BV34"/>
    <mergeCell ref="BX34:BZ34"/>
    <mergeCell ref="BT35:BV35"/>
    <mergeCell ref="BX35:BZ35"/>
    <mergeCell ref="BT36:BV36"/>
    <mergeCell ref="BX36:BZ36"/>
    <mergeCell ref="BU37:BW37"/>
    <mergeCell ref="AD36:AF36"/>
    <mergeCell ref="CO43:CQ43"/>
    <mergeCell ref="CS43:CU43"/>
    <mergeCell ref="CP44:CR44"/>
    <mergeCell ref="CT44:CU44"/>
    <mergeCell ref="BM36:BO36"/>
    <mergeCell ref="BQ36:BS36"/>
    <mergeCell ref="BN37:BP37"/>
    <mergeCell ref="BR37:BS37"/>
    <mergeCell ref="BN38:BP38"/>
    <mergeCell ref="BR38:BS38"/>
    <mergeCell ref="BM41:BO41"/>
    <mergeCell ref="BQ41:BS41"/>
    <mergeCell ref="AR84:AT84"/>
    <mergeCell ref="AV84:AX84"/>
    <mergeCell ref="AK84:AM84"/>
    <mergeCell ref="CH83:CJ83"/>
    <mergeCell ref="AI79:AJ79"/>
    <mergeCell ref="AL79:AN79"/>
    <mergeCell ref="CH63:CJ63"/>
    <mergeCell ref="CL63:CN63"/>
    <mergeCell ref="CH64:CJ64"/>
    <mergeCell ref="CI72:CK72"/>
    <mergeCell ref="CO42:CQ42"/>
    <mergeCell ref="CS42:CU42"/>
    <mergeCell ref="CZ43:DB43"/>
    <mergeCell ref="BX41:BZ41"/>
    <mergeCell ref="BT42:BV42"/>
    <mergeCell ref="BX42:BZ42"/>
    <mergeCell ref="BU45:BW45"/>
    <mergeCell ref="BY45:BZ45"/>
    <mergeCell ref="BT46:BX46"/>
    <mergeCell ref="BT47:BV47"/>
    <mergeCell ref="BT48:BV48"/>
    <mergeCell ref="BX48:BZ48"/>
    <mergeCell ref="BT43:BV43"/>
    <mergeCell ref="BX43:BZ43"/>
    <mergeCell ref="BU44:BW44"/>
    <mergeCell ref="BY44:BZ44"/>
    <mergeCell ref="BT62:BV62"/>
    <mergeCell ref="BX62:BZ62"/>
    <mergeCell ref="CO60:CS60"/>
    <mergeCell ref="CO61:CQ61"/>
    <mergeCell ref="CO62:CQ62"/>
    <mergeCell ref="CS62:CU62"/>
    <mergeCell ref="CO50:CQ50"/>
    <mergeCell ref="CS50:CU50"/>
    <mergeCell ref="CP51:CR51"/>
    <mergeCell ref="CT51:CU51"/>
    <mergeCell ref="CP52:CR52"/>
    <mergeCell ref="CB58:CD58"/>
    <mergeCell ref="CF58:CG58"/>
    <mergeCell ref="CA56:CC56"/>
    <mergeCell ref="CE56:CG56"/>
    <mergeCell ref="AS72:AU72"/>
    <mergeCell ref="AW72:AX72"/>
    <mergeCell ref="AZ72:BB72"/>
    <mergeCell ref="BD72:BE72"/>
    <mergeCell ref="CW72:CY72"/>
    <mergeCell ref="DA72:DB72"/>
    <mergeCell ref="CB72:CD72"/>
    <mergeCell ref="BJ64:BL64"/>
    <mergeCell ref="BG65:BI65"/>
    <mergeCell ref="BK65:BL65"/>
    <mergeCell ref="BG66:BI66"/>
    <mergeCell ref="CW37:CY37"/>
    <mergeCell ref="BM42:BO42"/>
    <mergeCell ref="AW31:AX31"/>
    <mergeCell ref="AZ31:BB31"/>
    <mergeCell ref="BD31:BE31"/>
    <mergeCell ref="CW31:CY31"/>
    <mergeCell ref="CB31:CD31"/>
    <mergeCell ref="CF31:CG31"/>
    <mergeCell ref="AR50:AT50"/>
    <mergeCell ref="AV50:AX50"/>
    <mergeCell ref="AV106:AX106"/>
    <mergeCell ref="AY106:BA106"/>
    <mergeCell ref="BC106:BE106"/>
    <mergeCell ref="CV106:CX106"/>
    <mergeCell ref="CZ106:DB106"/>
    <mergeCell ref="CA106:CC106"/>
    <mergeCell ref="CE106:CG106"/>
    <mergeCell ref="DA44:DB44"/>
    <mergeCell ref="AY81:BC81"/>
    <mergeCell ref="AY82:BA82"/>
    <mergeCell ref="AY63:BA63"/>
    <mergeCell ref="BC63:BE63"/>
    <mergeCell ref="CZ117:DB117"/>
    <mergeCell ref="AH125:AJ125"/>
    <mergeCell ref="AK125:AM125"/>
    <mergeCell ref="AO125:AQ125"/>
    <mergeCell ref="AR125:AT125"/>
    <mergeCell ref="AV125:AX125"/>
    <mergeCell ref="CV36:CX36"/>
    <mergeCell ref="CV41:CX41"/>
    <mergeCell ref="CZ41:DB41"/>
    <mergeCell ref="CA41:CC41"/>
    <mergeCell ref="CE41:CG41"/>
    <mergeCell ref="BY37:BZ37"/>
    <mergeCell ref="BU38:BW38"/>
    <mergeCell ref="BY38:BZ38"/>
    <mergeCell ref="BT39:BX39"/>
    <mergeCell ref="BT40:BV40"/>
    <mergeCell ref="BT41:BV41"/>
    <mergeCell ref="CB37:CD37"/>
    <mergeCell ref="CF37:CG37"/>
    <mergeCell ref="CZ40:DB40"/>
    <mergeCell ref="AR39:AV39"/>
    <mergeCell ref="AR40:AT40"/>
    <mergeCell ref="CO39:CS39"/>
    <mergeCell ref="CO40:CQ40"/>
    <mergeCell ref="CO41:CQ41"/>
    <mergeCell ref="CS41:CU41"/>
    <mergeCell ref="CT37:CU37"/>
    <mergeCell ref="CP38:CR38"/>
    <mergeCell ref="CT38:CU38"/>
    <mergeCell ref="BF39:BJ39"/>
    <mergeCell ref="BF40:BH40"/>
    <mergeCell ref="BJ40:BL40"/>
    <mergeCell ref="BF41:BH41"/>
    <mergeCell ref="BJ41:BL41"/>
    <mergeCell ref="CE62:CG62"/>
    <mergeCell ref="AR63:AT63"/>
    <mergeCell ref="AV63:AX63"/>
    <mergeCell ref="CZ63:DB63"/>
    <mergeCell ref="CA63:CC63"/>
    <mergeCell ref="AR62:AT62"/>
    <mergeCell ref="BX63:BZ63"/>
    <mergeCell ref="AV62:AX62"/>
    <mergeCell ref="CS82:CU82"/>
    <mergeCell ref="AD83:AF83"/>
    <mergeCell ref="AH83:AJ83"/>
    <mergeCell ref="CZ132:DB132"/>
    <mergeCell ref="BD122:BE122"/>
    <mergeCell ref="CW122:CY122"/>
    <mergeCell ref="DA122:DB122"/>
    <mergeCell ref="CB122:CD122"/>
    <mergeCell ref="CF122:CG122"/>
    <mergeCell ref="AR105:AT105"/>
    <mergeCell ref="AV105:AX105"/>
    <mergeCell ref="AY105:BA105"/>
    <mergeCell ref="BC105:BE105"/>
    <mergeCell ref="CV105:CX105"/>
    <mergeCell ref="CZ105:DB105"/>
    <mergeCell ref="CA105:CC105"/>
    <mergeCell ref="CV110:CX110"/>
    <mergeCell ref="CV116:CZ116"/>
    <mergeCell ref="CV117:CX117"/>
    <mergeCell ref="CV123:CZ123"/>
    <mergeCell ref="BX118:BZ118"/>
    <mergeCell ref="CI107:CK107"/>
    <mergeCell ref="CM107:CN107"/>
    <mergeCell ref="CA130:CE130"/>
    <mergeCell ref="CA131:CC131"/>
    <mergeCell ref="CH124:CJ124"/>
    <mergeCell ref="CH130:CL130"/>
    <mergeCell ref="CH131:CJ131"/>
    <mergeCell ref="BQ112:BS112"/>
    <mergeCell ref="CE110:CG110"/>
    <mergeCell ref="CS117:CU117"/>
    <mergeCell ref="CL131:CN131"/>
    <mergeCell ref="CH117:CJ117"/>
    <mergeCell ref="CH123:CL123"/>
    <mergeCell ref="AY84:BA84"/>
    <mergeCell ref="BC84:BE84"/>
    <mergeCell ref="CV84:CX84"/>
    <mergeCell ref="CZ84:DB84"/>
    <mergeCell ref="CA84:CC84"/>
    <mergeCell ref="CE84:CG84"/>
    <mergeCell ref="BC124:BE124"/>
    <mergeCell ref="AH124:AJ124"/>
    <mergeCell ref="CE124:CG124"/>
    <mergeCell ref="CS124:CU124"/>
    <mergeCell ref="CE131:CG131"/>
    <mergeCell ref="CS131:CU131"/>
    <mergeCell ref="CZ118:DB118"/>
    <mergeCell ref="CA118:CC118"/>
    <mergeCell ref="CV109:CZ109"/>
    <mergeCell ref="BD93:BE93"/>
    <mergeCell ref="CM108:CN108"/>
    <mergeCell ref="CH111:CJ111"/>
    <mergeCell ref="CV97:CX97"/>
    <mergeCell ref="CZ97:DB97"/>
    <mergeCell ref="CA97:CC97"/>
    <mergeCell ref="CE97:CG97"/>
    <mergeCell ref="AD99:AF99"/>
    <mergeCell ref="AH99:AJ99"/>
    <mergeCell ref="AK99:AM99"/>
    <mergeCell ref="AO99:AQ99"/>
    <mergeCell ref="AR99:AT99"/>
    <mergeCell ref="AV99:AX99"/>
    <mergeCell ref="AY99:BA99"/>
    <mergeCell ref="BC99:BE99"/>
    <mergeCell ref="CW30:CY30"/>
    <mergeCell ref="DA30:DB30"/>
    <mergeCell ref="CB30:CD30"/>
    <mergeCell ref="CF30:CG30"/>
    <mergeCell ref="AR42:AT42"/>
    <mergeCell ref="AV42:AX42"/>
    <mergeCell ref="AY42:BA42"/>
    <mergeCell ref="BC42:BE42"/>
    <mergeCell ref="CV42:CX42"/>
    <mergeCell ref="CZ42:DB42"/>
    <mergeCell ref="CA42:CC42"/>
    <mergeCell ref="CE42:CG42"/>
    <mergeCell ref="CB73:CD73"/>
    <mergeCell ref="CF73:CG73"/>
    <mergeCell ref="AY85:BA85"/>
    <mergeCell ref="BC85:BE85"/>
    <mergeCell ref="CV85:CX85"/>
    <mergeCell ref="CZ85:DB85"/>
    <mergeCell ref="CA85:CC85"/>
    <mergeCell ref="CE85:CG85"/>
    <mergeCell ref="BU79:BW79"/>
    <mergeCell ref="BY79:BZ79"/>
    <mergeCell ref="BU80:BW80"/>
    <mergeCell ref="BY80:BZ80"/>
    <mergeCell ref="BT81:BX81"/>
    <mergeCell ref="AB123:AC123"/>
    <mergeCell ref="DA121:DB121"/>
    <mergeCell ref="CB121:CD121"/>
    <mergeCell ref="CF121:CG121"/>
    <mergeCell ref="AE122:AG122"/>
    <mergeCell ref="AI122:AJ122"/>
    <mergeCell ref="AL122:AN122"/>
    <mergeCell ref="AP122:AQ122"/>
    <mergeCell ref="AS122:AU122"/>
    <mergeCell ref="AW122:AX122"/>
    <mergeCell ref="AZ122:BB122"/>
    <mergeCell ref="AE121:AG121"/>
    <mergeCell ref="AI121:AJ121"/>
    <mergeCell ref="AL121:AN121"/>
    <mergeCell ref="AP121:AQ121"/>
    <mergeCell ref="AS121:AU121"/>
    <mergeCell ref="AW121:AX121"/>
    <mergeCell ref="AZ121:BB121"/>
    <mergeCell ref="BD121:BE121"/>
    <mergeCell ref="CW121:CY121"/>
    <mergeCell ref="AI100:AJ100"/>
    <mergeCell ref="AL100:AN100"/>
    <mergeCell ref="AP100:AQ100"/>
    <mergeCell ref="AS100:AU100"/>
    <mergeCell ref="AW100:AX100"/>
    <mergeCell ref="AB81:AC81"/>
    <mergeCell ref="CW80:CY80"/>
    <mergeCell ref="DA80:DB80"/>
    <mergeCell ref="CB80:CD80"/>
    <mergeCell ref="CF80:CG80"/>
    <mergeCell ref="AE80:AG80"/>
    <mergeCell ref="AI80:AJ80"/>
    <mergeCell ref="AL80:AN80"/>
    <mergeCell ref="AP80:AQ80"/>
    <mergeCell ref="AS80:AU80"/>
    <mergeCell ref="AW80:AX80"/>
    <mergeCell ref="AK83:AM83"/>
    <mergeCell ref="AO83:AQ83"/>
    <mergeCell ref="AR83:AT83"/>
    <mergeCell ref="CZ36:DB36"/>
    <mergeCell ref="CA36:CC36"/>
    <mergeCell ref="CE36:CG36"/>
    <mergeCell ref="CV64:CX64"/>
    <mergeCell ref="CZ64:DB64"/>
    <mergeCell ref="CA64:CC64"/>
    <mergeCell ref="CE64:CG64"/>
    <mergeCell ref="AE59:AG59"/>
    <mergeCell ref="AI59:AJ59"/>
    <mergeCell ref="AL59:AN59"/>
    <mergeCell ref="AP59:AQ59"/>
    <mergeCell ref="AS59:AU59"/>
    <mergeCell ref="AW59:AX59"/>
    <mergeCell ref="AZ59:BB59"/>
    <mergeCell ref="BD59:BE59"/>
    <mergeCell ref="CW59:CY59"/>
    <mergeCell ref="DA59:DB59"/>
    <mergeCell ref="CB59:CD59"/>
    <mergeCell ref="CF59:CG59"/>
    <mergeCell ref="CZ62:DB62"/>
    <mergeCell ref="CA62:CC62"/>
    <mergeCell ref="DA51:DB51"/>
    <mergeCell ref="CB51:CD51"/>
    <mergeCell ref="AE51:AG51"/>
    <mergeCell ref="AI51:AJ51"/>
    <mergeCell ref="AE58:AG58"/>
    <mergeCell ref="AI58:AJ58"/>
    <mergeCell ref="AL58:AN58"/>
    <mergeCell ref="AP58:AQ58"/>
    <mergeCell ref="BM55:BO55"/>
    <mergeCell ref="BQ55:BS55"/>
    <mergeCell ref="CH41:CJ41"/>
    <mergeCell ref="CL41:CN41"/>
    <mergeCell ref="CH42:CJ42"/>
    <mergeCell ref="CL42:CN42"/>
    <mergeCell ref="CH57:CJ57"/>
    <mergeCell ref="CL57:CN57"/>
    <mergeCell ref="CI58:CK58"/>
    <mergeCell ref="CM58:CN58"/>
    <mergeCell ref="CI59:CK59"/>
    <mergeCell ref="CM59:CN59"/>
    <mergeCell ref="CH62:CJ62"/>
    <mergeCell ref="CL62:CN62"/>
    <mergeCell ref="BX57:BZ57"/>
    <mergeCell ref="BM56:BO56"/>
    <mergeCell ref="BQ56:BS56"/>
    <mergeCell ref="BM57:BO57"/>
    <mergeCell ref="BQ57:BS57"/>
    <mergeCell ref="CW45:CY45"/>
    <mergeCell ref="DA45:DB45"/>
    <mergeCell ref="CV50:CX50"/>
    <mergeCell ref="CZ50:DB50"/>
    <mergeCell ref="CA50:CC50"/>
    <mergeCell ref="AE37:AG37"/>
    <mergeCell ref="AI37:AJ37"/>
    <mergeCell ref="AL37:AN37"/>
    <mergeCell ref="AP37:AQ37"/>
    <mergeCell ref="AS44:AU44"/>
    <mergeCell ref="AW44:AX44"/>
    <mergeCell ref="AZ44:BB44"/>
    <mergeCell ref="BD44:BE44"/>
    <mergeCell ref="CW44:CY44"/>
    <mergeCell ref="AD42:AF42"/>
    <mergeCell ref="AH42:AJ42"/>
    <mergeCell ref="CV35:CX35"/>
    <mergeCell ref="CZ35:DB35"/>
    <mergeCell ref="CA35:CC35"/>
    <mergeCell ref="CE35:CG35"/>
    <mergeCell ref="AK21:AM21"/>
    <mergeCell ref="AO21:AQ21"/>
    <mergeCell ref="AD20:AF20"/>
    <mergeCell ref="AH20:AJ20"/>
    <mergeCell ref="AK20:AM20"/>
    <mergeCell ref="AO20:AQ20"/>
    <mergeCell ref="AE23:AG23"/>
    <mergeCell ref="AI23:AJ23"/>
    <mergeCell ref="AL23:AN23"/>
    <mergeCell ref="AE45:AG45"/>
    <mergeCell ref="AI45:AJ45"/>
    <mergeCell ref="AL45:AN45"/>
    <mergeCell ref="AD32:AH32"/>
    <mergeCell ref="AE44:AG44"/>
    <mergeCell ref="AI44:AJ44"/>
    <mergeCell ref="AL44:AN44"/>
    <mergeCell ref="AP44:AQ44"/>
    <mergeCell ref="AE38:AG38"/>
    <mergeCell ref="AI38:AJ38"/>
    <mergeCell ref="AL38:AN38"/>
    <mergeCell ref="AP38:AQ38"/>
    <mergeCell ref="AD27:AF27"/>
    <mergeCell ref="AH27:AJ27"/>
    <mergeCell ref="AK22:AM22"/>
    <mergeCell ref="AO22:AQ22"/>
    <mergeCell ref="AD28:AF28"/>
    <mergeCell ref="AH28:AJ28"/>
    <mergeCell ref="AD29:AF29"/>
    <mergeCell ref="AH29:AJ29"/>
    <mergeCell ref="AK27:AM27"/>
    <mergeCell ref="CF24:CG24"/>
    <mergeCell ref="AR28:AT28"/>
    <mergeCell ref="AV28:AX28"/>
    <mergeCell ref="AY28:BA28"/>
    <mergeCell ref="BC28:BE28"/>
    <mergeCell ref="CA28:CC28"/>
    <mergeCell ref="CE28:CG28"/>
    <mergeCell ref="AK29:AM29"/>
    <mergeCell ref="AO29:AQ29"/>
    <mergeCell ref="AR29:AT29"/>
    <mergeCell ref="AV29:AX29"/>
    <mergeCell ref="AY29:BA29"/>
    <mergeCell ref="BC29:BE29"/>
    <mergeCell ref="CA29:CC29"/>
    <mergeCell ref="CA27:CC27"/>
    <mergeCell ref="CE27:CG27"/>
    <mergeCell ref="AK28:AM28"/>
    <mergeCell ref="AO28:AQ28"/>
    <mergeCell ref="AR27:AT27"/>
    <mergeCell ref="AV27:AX27"/>
    <mergeCell ref="AY27:BA27"/>
    <mergeCell ref="BC27:BE27"/>
    <mergeCell ref="AK26:AM26"/>
    <mergeCell ref="CA34:CC34"/>
    <mergeCell ref="CE34:CG34"/>
    <mergeCell ref="AK34:AM34"/>
    <mergeCell ref="AO34:AQ34"/>
    <mergeCell ref="AR34:AT34"/>
    <mergeCell ref="AV34:AX34"/>
    <mergeCell ref="AY34:BA34"/>
    <mergeCell ref="CE29:CG29"/>
    <mergeCell ref="AE30:AG30"/>
    <mergeCell ref="AD8:AE8"/>
    <mergeCell ref="AF8:AH8"/>
    <mergeCell ref="AI8:AL8"/>
    <mergeCell ref="AD9:AE9"/>
    <mergeCell ref="AF9:AH9"/>
    <mergeCell ref="AI9:AL9"/>
    <mergeCell ref="CA19:CC19"/>
    <mergeCell ref="AD19:AF19"/>
    <mergeCell ref="BT19:BV19"/>
    <mergeCell ref="BT20:BV20"/>
    <mergeCell ref="BX20:BZ20"/>
    <mergeCell ref="BT21:BV21"/>
    <mergeCell ref="BX21:BZ21"/>
    <mergeCell ref="BT22:BV22"/>
    <mergeCell ref="AD39:AH39"/>
    <mergeCell ref="AD46:AH46"/>
    <mergeCell ref="AW24:AX24"/>
    <mergeCell ref="AZ24:BB24"/>
    <mergeCell ref="BD24:BE24"/>
    <mergeCell ref="AR22:AT22"/>
    <mergeCell ref="AV22:AX22"/>
    <mergeCell ref="AY22:BA22"/>
    <mergeCell ref="BC22:BE22"/>
    <mergeCell ref="AV21:AX21"/>
    <mergeCell ref="AY21:BA21"/>
    <mergeCell ref="BC21:BE21"/>
    <mergeCell ref="CA21:CC21"/>
    <mergeCell ref="AR25:AV25"/>
    <mergeCell ref="BX22:BZ22"/>
    <mergeCell ref="BU23:BW23"/>
    <mergeCell ref="BY23:BZ23"/>
    <mergeCell ref="BN30:BP30"/>
    <mergeCell ref="BR30:BS30"/>
    <mergeCell ref="BN31:BP31"/>
    <mergeCell ref="BR31:BS31"/>
    <mergeCell ref="BM34:BO34"/>
    <mergeCell ref="BQ34:BS34"/>
    <mergeCell ref="BM35:BO35"/>
    <mergeCell ref="BQ35:BS35"/>
    <mergeCell ref="AS30:AU30"/>
    <mergeCell ref="AW30:AX30"/>
    <mergeCell ref="AZ30:BB30"/>
    <mergeCell ref="BD30:BE30"/>
    <mergeCell ref="AE31:AG31"/>
    <mergeCell ref="AI31:AJ31"/>
    <mergeCell ref="AL31:AN31"/>
    <mergeCell ref="AP31:AQ31"/>
    <mergeCell ref="AS31:AU31"/>
    <mergeCell ref="AK42:AM42"/>
    <mergeCell ref="AO42:AQ42"/>
    <mergeCell ref="CB44:CD44"/>
    <mergeCell ref="CF44:CG44"/>
    <mergeCell ref="AS37:AU37"/>
    <mergeCell ref="AW37:AX37"/>
    <mergeCell ref="AZ37:BB37"/>
    <mergeCell ref="BD37:BE37"/>
    <mergeCell ref="AH36:AJ36"/>
    <mergeCell ref="AK36:AM36"/>
    <mergeCell ref="AO36:AQ36"/>
    <mergeCell ref="AR36:AT36"/>
    <mergeCell ref="AV36:AX36"/>
    <mergeCell ref="AY36:BA36"/>
    <mergeCell ref="AR19:AT19"/>
    <mergeCell ref="AD21:AF21"/>
    <mergeCell ref="AH21:AJ21"/>
    <mergeCell ref="BQ99:BS99"/>
    <mergeCell ref="BN100:BP100"/>
    <mergeCell ref="BR100:BS100"/>
    <mergeCell ref="BQ77:BS77"/>
    <mergeCell ref="BM78:BO78"/>
    <mergeCell ref="BQ78:BS78"/>
    <mergeCell ref="BN79:BP79"/>
    <mergeCell ref="BR79:BS79"/>
    <mergeCell ref="AV61:AX61"/>
    <mergeCell ref="BC61:BE61"/>
    <mergeCell ref="AV68:AX68"/>
    <mergeCell ref="BC68:BE68"/>
    <mergeCell ref="AV75:AX75"/>
    <mergeCell ref="BC75:BE75"/>
    <mergeCell ref="AV82:AX82"/>
    <mergeCell ref="BC82:BE82"/>
    <mergeCell ref="AV56:AX56"/>
    <mergeCell ref="AY56:BA56"/>
    <mergeCell ref="BC56:BE56"/>
    <mergeCell ref="AY48:BA48"/>
    <mergeCell ref="BC48:BE48"/>
    <mergeCell ref="AZ51:BB51"/>
    <mergeCell ref="BD51:BE51"/>
    <mergeCell ref="BC78:BE78"/>
    <mergeCell ref="AZ80:BB80"/>
    <mergeCell ref="BD80:BE80"/>
    <mergeCell ref="AW45:AX45"/>
    <mergeCell ref="AZ45:BB45"/>
    <mergeCell ref="BD45:BE45"/>
    <mergeCell ref="AZ79:BB79"/>
    <mergeCell ref="BQ29:BS29"/>
    <mergeCell ref="AV83:AX83"/>
    <mergeCell ref="AY83:BA83"/>
    <mergeCell ref="BC83:BE83"/>
    <mergeCell ref="AD81:AH81"/>
    <mergeCell ref="BK66:BL66"/>
    <mergeCell ref="BF67:BJ67"/>
    <mergeCell ref="BF68:BH68"/>
    <mergeCell ref="BJ68:BL68"/>
    <mergeCell ref="BF69:BH69"/>
    <mergeCell ref="BJ69:BL69"/>
    <mergeCell ref="BC36:BE36"/>
    <mergeCell ref="AR32:AV32"/>
    <mergeCell ref="AR33:AT33"/>
    <mergeCell ref="BQ42:BS42"/>
    <mergeCell ref="BM43:BO43"/>
    <mergeCell ref="BQ43:BS43"/>
    <mergeCell ref="BG37:BI37"/>
    <mergeCell ref="BK37:BL37"/>
    <mergeCell ref="BG38:BI38"/>
    <mergeCell ref="BK38:BL38"/>
    <mergeCell ref="AO57:AQ57"/>
    <mergeCell ref="AR57:AT57"/>
    <mergeCell ref="AV57:AX57"/>
    <mergeCell ref="AY57:BA57"/>
    <mergeCell ref="BC57:BE57"/>
    <mergeCell ref="AD71:AF71"/>
    <mergeCell ref="AH71:AJ71"/>
    <mergeCell ref="AK71:AM71"/>
    <mergeCell ref="AO71:AQ71"/>
    <mergeCell ref="AR71:AT71"/>
    <mergeCell ref="F16:T16"/>
    <mergeCell ref="AB17:AC17"/>
    <mergeCell ref="AB18:AC18"/>
    <mergeCell ref="AD10:AE10"/>
    <mergeCell ref="AF10:AH10"/>
    <mergeCell ref="AI10:AL10"/>
    <mergeCell ref="BC20:BE20"/>
    <mergeCell ref="CV20:CX20"/>
    <mergeCell ref="CZ20:DB20"/>
    <mergeCell ref="CA20:CC20"/>
    <mergeCell ref="CE20:CG20"/>
    <mergeCell ref="AR21:AT21"/>
    <mergeCell ref="AR20:AT20"/>
    <mergeCell ref="AV20:AX20"/>
    <mergeCell ref="AY20:BA20"/>
    <mergeCell ref="CZ22:DB22"/>
    <mergeCell ref="CA22:CC22"/>
    <mergeCell ref="CE22:CG22"/>
    <mergeCell ref="AK19:AM19"/>
    <mergeCell ref="AH19:AJ19"/>
    <mergeCell ref="CO19:CQ19"/>
    <mergeCell ref="CO20:CQ20"/>
    <mergeCell ref="CS20:CU20"/>
    <mergeCell ref="CO21:CQ21"/>
    <mergeCell ref="CS21:CU21"/>
    <mergeCell ref="CO22:CQ22"/>
    <mergeCell ref="CS22:CU22"/>
    <mergeCell ref="CH22:CJ22"/>
    <mergeCell ref="CL22:CN22"/>
    <mergeCell ref="AV19:AX19"/>
    <mergeCell ref="BC19:BE19"/>
    <mergeCell ref="BX19:BZ19"/>
    <mergeCell ref="CV88:CZ88"/>
    <mergeCell ref="AB25:AC25"/>
    <mergeCell ref="AR26:AT26"/>
    <mergeCell ref="AR60:AV60"/>
    <mergeCell ref="CW24:CY24"/>
    <mergeCell ref="DA24:DB24"/>
    <mergeCell ref="CB24:CD24"/>
    <mergeCell ref="AE24:AG24"/>
    <mergeCell ref="AI24:AJ24"/>
    <mergeCell ref="AL24:AN24"/>
    <mergeCell ref="AP24:AQ24"/>
    <mergeCell ref="AS24:AU24"/>
    <mergeCell ref="BD23:BE23"/>
    <mergeCell ref="CW23:CY23"/>
    <mergeCell ref="DA23:DB23"/>
    <mergeCell ref="CB23:CD23"/>
    <mergeCell ref="CF23:CG23"/>
    <mergeCell ref="AP23:AQ23"/>
    <mergeCell ref="AS23:AU23"/>
    <mergeCell ref="AW23:AX23"/>
    <mergeCell ref="AZ23:BB23"/>
    <mergeCell ref="AD25:AH25"/>
    <mergeCell ref="CA25:CE25"/>
    <mergeCell ref="CE21:CG21"/>
    <mergeCell ref="AD22:AF22"/>
    <mergeCell ref="AH22:AJ22"/>
    <mergeCell ref="AD53:AH53"/>
    <mergeCell ref="AD60:AH60"/>
    <mergeCell ref="CI23:CK23"/>
    <mergeCell ref="CM23:CN23"/>
    <mergeCell ref="BU24:BW24"/>
    <mergeCell ref="BY24:BZ24"/>
    <mergeCell ref="CV19:CX19"/>
    <mergeCell ref="CV25:CZ25"/>
    <mergeCell ref="CV26:CX26"/>
    <mergeCell ref="CV32:CZ32"/>
    <mergeCell ref="CV33:CX33"/>
    <mergeCell ref="CV39:CZ39"/>
    <mergeCell ref="CV40:CX40"/>
    <mergeCell ref="CV46:CZ46"/>
    <mergeCell ref="CV47:CX47"/>
    <mergeCell ref="CV53:CZ53"/>
    <mergeCell ref="CV54:CX54"/>
    <mergeCell ref="CV60:CZ60"/>
    <mergeCell ref="CV61:CX61"/>
    <mergeCell ref="CV67:CZ67"/>
    <mergeCell ref="CV68:CX68"/>
    <mergeCell ref="CV74:CZ74"/>
    <mergeCell ref="CV75:CX75"/>
    <mergeCell ref="CV81:CZ81"/>
    <mergeCell ref="CV82:CX82"/>
    <mergeCell ref="AV64:AX64"/>
    <mergeCell ref="AY64:BA64"/>
    <mergeCell ref="BC64:BE64"/>
    <mergeCell ref="CV22:CX22"/>
    <mergeCell ref="CV21:CX21"/>
    <mergeCell ref="CZ21:DB21"/>
    <mergeCell ref="CV89:CX89"/>
    <mergeCell ref="CV95:CZ95"/>
    <mergeCell ref="BT25:BX25"/>
    <mergeCell ref="CV28:CX28"/>
    <mergeCell ref="CZ28:DB28"/>
    <mergeCell ref="CV29:CX29"/>
    <mergeCell ref="CZ29:DB29"/>
    <mergeCell ref="CV27:CX27"/>
    <mergeCell ref="CZ27:DB27"/>
    <mergeCell ref="CI24:CK24"/>
    <mergeCell ref="CM24:CN24"/>
    <mergeCell ref="CH27:CJ27"/>
    <mergeCell ref="CF51:CG51"/>
    <mergeCell ref="AW51:AX51"/>
    <mergeCell ref="CV34:CX34"/>
    <mergeCell ref="CZ34:DB34"/>
    <mergeCell ref="AW38:AX38"/>
    <mergeCell ref="AZ38:BB38"/>
    <mergeCell ref="BD38:BE38"/>
    <mergeCell ref="CW38:CY38"/>
    <mergeCell ref="DA38:DB38"/>
    <mergeCell ref="CB38:CD38"/>
    <mergeCell ref="CF38:CG38"/>
    <mergeCell ref="DA37:DB37"/>
    <mergeCell ref="CH35:CJ35"/>
    <mergeCell ref="CL35:CN35"/>
    <mergeCell ref="CH36:CJ36"/>
    <mergeCell ref="CL36:CN36"/>
    <mergeCell ref="CI37:CK37"/>
    <mergeCell ref="CM37:CN37"/>
    <mergeCell ref="CI38:CK38"/>
    <mergeCell ref="CM38:CN38"/>
    <mergeCell ref="AV77:AX77"/>
    <mergeCell ref="AY77:BA77"/>
    <mergeCell ref="BC77:BE77"/>
    <mergeCell ref="BQ49:BS49"/>
    <mergeCell ref="BM50:BO50"/>
    <mergeCell ref="BQ50:BS50"/>
    <mergeCell ref="BN51:BP51"/>
    <mergeCell ref="AE151:AG151"/>
    <mergeCell ref="AI151:AJ151"/>
    <mergeCell ref="AL151:AN151"/>
    <mergeCell ref="AP151:AQ151"/>
    <mergeCell ref="AS151:AU151"/>
    <mergeCell ref="AW151:AX151"/>
    <mergeCell ref="AZ151:BB151"/>
    <mergeCell ref="BD151:BE151"/>
    <mergeCell ref="CW151:CY151"/>
    <mergeCell ref="DA151:DB151"/>
    <mergeCell ref="CB151:CD151"/>
    <mergeCell ref="CF151:CG151"/>
    <mergeCell ref="AB145:AC145"/>
    <mergeCell ref="AD147:AF147"/>
    <mergeCell ref="AH147:AJ147"/>
    <mergeCell ref="AK147:AM147"/>
    <mergeCell ref="AO147:AQ147"/>
    <mergeCell ref="AR147:AT147"/>
    <mergeCell ref="AV147:AX147"/>
    <mergeCell ref="AY147:BA147"/>
    <mergeCell ref="BC147:BE147"/>
    <mergeCell ref="CV147:CX147"/>
    <mergeCell ref="CZ147:DB147"/>
    <mergeCell ref="CA147:CC147"/>
    <mergeCell ref="CE147:CG147"/>
    <mergeCell ref="AD148:AF148"/>
    <mergeCell ref="AH148:AJ148"/>
    <mergeCell ref="AK148:AM148"/>
    <mergeCell ref="AO148:AQ148"/>
    <mergeCell ref="AR148:AT148"/>
    <mergeCell ref="AD156:AF156"/>
    <mergeCell ref="AH156:AJ156"/>
    <mergeCell ref="AK156:AM156"/>
    <mergeCell ref="AO156:AQ156"/>
    <mergeCell ref="AR156:AT156"/>
    <mergeCell ref="AV156:AX156"/>
    <mergeCell ref="AY156:BA156"/>
    <mergeCell ref="BC156:BE156"/>
    <mergeCell ref="CV156:CX156"/>
    <mergeCell ref="CZ156:DB156"/>
    <mergeCell ref="CA156:CC156"/>
    <mergeCell ref="CE156:CG156"/>
    <mergeCell ref="AK149:AM149"/>
    <mergeCell ref="AO149:AQ149"/>
    <mergeCell ref="AR149:AT149"/>
    <mergeCell ref="AV149:AX149"/>
    <mergeCell ref="AY149:BA149"/>
    <mergeCell ref="BC149:BE149"/>
    <mergeCell ref="CV149:CX149"/>
    <mergeCell ref="CZ149:DB149"/>
    <mergeCell ref="CA149:CC149"/>
    <mergeCell ref="CE149:CG149"/>
    <mergeCell ref="AE150:AG150"/>
    <mergeCell ref="AI150:AJ150"/>
    <mergeCell ref="AL150:AN150"/>
    <mergeCell ref="AP150:AQ150"/>
    <mergeCell ref="AS150:AU150"/>
    <mergeCell ref="AW150:AX150"/>
    <mergeCell ref="AZ150:BB150"/>
    <mergeCell ref="BD150:BE150"/>
    <mergeCell ref="CW150:CY150"/>
    <mergeCell ref="DA150:DB150"/>
    <mergeCell ref="CA148:CC148"/>
    <mergeCell ref="CE148:CG148"/>
    <mergeCell ref="CO162:CQ162"/>
    <mergeCell ref="CS162:CU162"/>
    <mergeCell ref="CO163:CQ163"/>
    <mergeCell ref="CS163:CU163"/>
    <mergeCell ref="AB152:AC152"/>
    <mergeCell ref="AD154:AF154"/>
    <mergeCell ref="AH154:AJ154"/>
    <mergeCell ref="AK154:AM154"/>
    <mergeCell ref="AO154:AQ154"/>
    <mergeCell ref="AR154:AT154"/>
    <mergeCell ref="AV154:AX154"/>
    <mergeCell ref="AY154:BA154"/>
    <mergeCell ref="BC154:BE154"/>
    <mergeCell ref="CV154:CX154"/>
    <mergeCell ref="CZ154:DB154"/>
    <mergeCell ref="CA154:CC154"/>
    <mergeCell ref="CE154:CG154"/>
    <mergeCell ref="AD155:AF155"/>
    <mergeCell ref="AH155:AJ155"/>
    <mergeCell ref="AK155:AM155"/>
    <mergeCell ref="AO155:AQ155"/>
    <mergeCell ref="AR155:AT155"/>
    <mergeCell ref="AV155:AX155"/>
    <mergeCell ref="AY155:BA155"/>
    <mergeCell ref="BC155:BE155"/>
    <mergeCell ref="CV155:CX155"/>
    <mergeCell ref="CZ155:DB155"/>
    <mergeCell ref="CA155:CC155"/>
    <mergeCell ref="CE155:CG155"/>
    <mergeCell ref="BT155:BV155"/>
    <mergeCell ref="BX155:BZ155"/>
    <mergeCell ref="CO155:CQ155"/>
    <mergeCell ref="CS155:CU155"/>
    <mergeCell ref="BF155:BH155"/>
    <mergeCell ref="BJ155:BL155"/>
    <mergeCell ref="AB159:AC159"/>
    <mergeCell ref="AD161:AF161"/>
    <mergeCell ref="AH161:AJ161"/>
    <mergeCell ref="AK161:AM161"/>
    <mergeCell ref="AO161:AQ161"/>
    <mergeCell ref="AR161:AT161"/>
    <mergeCell ref="AV161:AX161"/>
    <mergeCell ref="AY161:BA161"/>
    <mergeCell ref="BC161:BE161"/>
    <mergeCell ref="CV161:CX161"/>
    <mergeCell ref="CZ161:DB161"/>
    <mergeCell ref="CA161:CC161"/>
    <mergeCell ref="CE161:CG161"/>
    <mergeCell ref="BU158:BW158"/>
    <mergeCell ref="BY158:BZ158"/>
    <mergeCell ref="BT161:BV161"/>
    <mergeCell ref="BX161:BZ161"/>
    <mergeCell ref="CP158:CR158"/>
    <mergeCell ref="CT158:CU158"/>
    <mergeCell ref="CO161:CQ161"/>
    <mergeCell ref="CS161:CU161"/>
    <mergeCell ref="BM161:BO161"/>
    <mergeCell ref="BQ161:BS161"/>
    <mergeCell ref="BM156:BO156"/>
    <mergeCell ref="CP157:CR157"/>
    <mergeCell ref="CT157:CU157"/>
    <mergeCell ref="BF163:BH163"/>
    <mergeCell ref="BJ163:BL163"/>
    <mergeCell ref="CP164:CR164"/>
    <mergeCell ref="CT164:CU164"/>
    <mergeCell ref="BU164:BW164"/>
    <mergeCell ref="BY164:BZ164"/>
    <mergeCell ref="BU165:BW165"/>
    <mergeCell ref="BY165:BZ165"/>
    <mergeCell ref="CH162:CJ162"/>
    <mergeCell ref="CL162:CN162"/>
    <mergeCell ref="CH163:CJ163"/>
    <mergeCell ref="CL163:CN163"/>
    <mergeCell ref="AE157:AG157"/>
    <mergeCell ref="AI157:AJ157"/>
    <mergeCell ref="AL157:AN157"/>
    <mergeCell ref="AP157:AQ157"/>
    <mergeCell ref="AS157:AU157"/>
    <mergeCell ref="AW157:AX157"/>
    <mergeCell ref="AZ157:BB157"/>
    <mergeCell ref="BD157:BE157"/>
    <mergeCell ref="CW157:CY157"/>
    <mergeCell ref="DA157:DB157"/>
    <mergeCell ref="CB157:CD157"/>
    <mergeCell ref="CF157:CG157"/>
    <mergeCell ref="BT156:BV156"/>
    <mergeCell ref="BX156:BZ156"/>
    <mergeCell ref="BU157:BW157"/>
    <mergeCell ref="BY157:BZ157"/>
    <mergeCell ref="AE158:AG158"/>
    <mergeCell ref="AI158:AJ158"/>
    <mergeCell ref="AL158:AN158"/>
    <mergeCell ref="AP158:AQ158"/>
    <mergeCell ref="AS158:AU158"/>
    <mergeCell ref="AW158:AX158"/>
    <mergeCell ref="AZ158:BB158"/>
    <mergeCell ref="BD158:BE158"/>
    <mergeCell ref="CW158:CY158"/>
    <mergeCell ref="DA158:DB158"/>
    <mergeCell ref="CB158:CD158"/>
    <mergeCell ref="CF158:CG158"/>
    <mergeCell ref="AD162:AF162"/>
    <mergeCell ref="AH162:AJ162"/>
    <mergeCell ref="AK162:AM162"/>
    <mergeCell ref="AO162:AQ162"/>
    <mergeCell ref="AR162:AT162"/>
    <mergeCell ref="AV162:AX162"/>
    <mergeCell ref="AY162:BA162"/>
    <mergeCell ref="BC162:BE162"/>
    <mergeCell ref="CV162:CX162"/>
    <mergeCell ref="CZ162:DB162"/>
    <mergeCell ref="CA162:CC162"/>
    <mergeCell ref="CE162:CG162"/>
    <mergeCell ref="AD163:AF163"/>
    <mergeCell ref="AH163:AJ163"/>
    <mergeCell ref="AK163:AM163"/>
    <mergeCell ref="AO163:AQ163"/>
    <mergeCell ref="AR163:AT163"/>
    <mergeCell ref="AV163:AX163"/>
    <mergeCell ref="AY163:BA163"/>
    <mergeCell ref="BC163:BE163"/>
    <mergeCell ref="CV163:CX163"/>
    <mergeCell ref="CA163:CC163"/>
    <mergeCell ref="CE163:CG163"/>
    <mergeCell ref="BT162:BV162"/>
    <mergeCell ref="BX162:BZ162"/>
    <mergeCell ref="BT163:BV163"/>
    <mergeCell ref="AB166:AC166"/>
    <mergeCell ref="AD168:AF168"/>
    <mergeCell ref="AH168:AJ168"/>
    <mergeCell ref="AK168:AM168"/>
    <mergeCell ref="AO168:AQ168"/>
    <mergeCell ref="AR168:AT168"/>
    <mergeCell ref="AV168:AX168"/>
    <mergeCell ref="AY168:BA168"/>
    <mergeCell ref="BC168:BE168"/>
    <mergeCell ref="CV168:CX168"/>
    <mergeCell ref="CZ168:DB168"/>
    <mergeCell ref="CA168:CC168"/>
    <mergeCell ref="CE168:CG168"/>
    <mergeCell ref="AE164:AG164"/>
    <mergeCell ref="AI164:AJ164"/>
    <mergeCell ref="AL164:AN164"/>
    <mergeCell ref="AP164:AQ164"/>
    <mergeCell ref="AS164:AU164"/>
    <mergeCell ref="AW164:AX164"/>
    <mergeCell ref="AZ164:BB164"/>
    <mergeCell ref="DA172:DB172"/>
    <mergeCell ref="CB172:CD172"/>
    <mergeCell ref="CF172:CG172"/>
    <mergeCell ref="CP171:CR171"/>
    <mergeCell ref="CT171:CU171"/>
    <mergeCell ref="CP172:CR172"/>
    <mergeCell ref="CT172:CU172"/>
    <mergeCell ref="CO170:CQ170"/>
    <mergeCell ref="CS170:CU170"/>
    <mergeCell ref="CH170:CJ170"/>
    <mergeCell ref="CL170:CN170"/>
    <mergeCell ref="CI171:CK171"/>
    <mergeCell ref="CM171:CN171"/>
    <mergeCell ref="AE165:AG165"/>
    <mergeCell ref="AI165:AJ165"/>
    <mergeCell ref="AL165:AN165"/>
    <mergeCell ref="AP165:AQ165"/>
    <mergeCell ref="AS165:AU165"/>
    <mergeCell ref="AW165:AX165"/>
    <mergeCell ref="AZ165:BB165"/>
    <mergeCell ref="BD165:BE165"/>
    <mergeCell ref="CW165:CY165"/>
    <mergeCell ref="DA165:DB165"/>
    <mergeCell ref="CB165:CD165"/>
    <mergeCell ref="CF165:CG165"/>
    <mergeCell ref="AD169:AF169"/>
    <mergeCell ref="AH169:AJ169"/>
    <mergeCell ref="AK169:AM169"/>
    <mergeCell ref="AO169:AQ169"/>
    <mergeCell ref="AR169:AT169"/>
    <mergeCell ref="AV169:AX169"/>
    <mergeCell ref="AY169:BA169"/>
    <mergeCell ref="AH167:AJ167"/>
    <mergeCell ref="BC169:BE169"/>
    <mergeCell ref="CV169:CX169"/>
    <mergeCell ref="CZ169:DB169"/>
    <mergeCell ref="CA169:CC169"/>
    <mergeCell ref="CE169:CG169"/>
    <mergeCell ref="BT168:BV168"/>
    <mergeCell ref="BX168:BZ168"/>
    <mergeCell ref="BT169:BV169"/>
    <mergeCell ref="BX169:BZ169"/>
    <mergeCell ref="CP165:CR165"/>
    <mergeCell ref="CT165:CU165"/>
    <mergeCell ref="AD170:AF170"/>
    <mergeCell ref="AH170:AJ170"/>
    <mergeCell ref="AK170:AM170"/>
    <mergeCell ref="AO170:AQ170"/>
    <mergeCell ref="AR170:AT170"/>
    <mergeCell ref="AV170:AX170"/>
    <mergeCell ref="AY170:BA170"/>
    <mergeCell ref="BC170:BE170"/>
    <mergeCell ref="CV170:CX170"/>
    <mergeCell ref="CZ170:DB170"/>
    <mergeCell ref="CA170:CC170"/>
    <mergeCell ref="CE170:CG170"/>
    <mergeCell ref="AE171:AG171"/>
    <mergeCell ref="AI171:AJ171"/>
    <mergeCell ref="AL171:AN171"/>
    <mergeCell ref="AP171:AQ171"/>
    <mergeCell ref="AS171:AU171"/>
    <mergeCell ref="AW171:AX171"/>
    <mergeCell ref="AZ171:BB171"/>
    <mergeCell ref="BD171:BE171"/>
    <mergeCell ref="CW171:CY171"/>
    <mergeCell ref="DA171:DB171"/>
    <mergeCell ref="CB171:CD171"/>
    <mergeCell ref="CF171:CG171"/>
    <mergeCell ref="BT170:BV170"/>
    <mergeCell ref="BX170:BZ170"/>
    <mergeCell ref="BU171:BW171"/>
    <mergeCell ref="BY171:BZ171"/>
    <mergeCell ref="AD176:AF176"/>
    <mergeCell ref="AH176:AJ176"/>
    <mergeCell ref="AK176:AM176"/>
    <mergeCell ref="AO176:AQ176"/>
    <mergeCell ref="AR176:AT176"/>
    <mergeCell ref="AV176:AX176"/>
    <mergeCell ref="AY176:BA176"/>
    <mergeCell ref="BC176:BE176"/>
    <mergeCell ref="CV176:CX176"/>
    <mergeCell ref="CZ176:DB176"/>
    <mergeCell ref="CA176:CC176"/>
    <mergeCell ref="CE176:CG176"/>
    <mergeCell ref="BT176:BV176"/>
    <mergeCell ref="BX176:BZ176"/>
    <mergeCell ref="CO176:CQ176"/>
    <mergeCell ref="CS176:CU176"/>
    <mergeCell ref="BM170:BO170"/>
    <mergeCell ref="BQ170:BS170"/>
    <mergeCell ref="BN171:BP171"/>
    <mergeCell ref="BR171:BS171"/>
    <mergeCell ref="AB173:AC173"/>
    <mergeCell ref="AD175:AF175"/>
    <mergeCell ref="AH175:AJ175"/>
    <mergeCell ref="AK175:AM175"/>
    <mergeCell ref="AO175:AQ175"/>
    <mergeCell ref="AR175:AT175"/>
    <mergeCell ref="AV175:AX175"/>
    <mergeCell ref="AY175:BA175"/>
    <mergeCell ref="BC175:BE175"/>
    <mergeCell ref="CV175:CX175"/>
    <mergeCell ref="CZ175:DB175"/>
    <mergeCell ref="CA175:CC175"/>
    <mergeCell ref="CE175:CG175"/>
    <mergeCell ref="BU172:BW172"/>
    <mergeCell ref="BY172:BZ172"/>
    <mergeCell ref="BT175:BV175"/>
    <mergeCell ref="BX175:BZ175"/>
    <mergeCell ref="CO175:CQ175"/>
    <mergeCell ref="CS175:CU175"/>
    <mergeCell ref="CI172:CK172"/>
    <mergeCell ref="CM172:CN172"/>
    <mergeCell ref="CH175:CJ175"/>
    <mergeCell ref="CL175:CN175"/>
    <mergeCell ref="AE172:AG172"/>
    <mergeCell ref="AI172:AJ172"/>
    <mergeCell ref="AL172:AN172"/>
    <mergeCell ref="AP172:AQ172"/>
    <mergeCell ref="AS172:AU172"/>
    <mergeCell ref="AW172:AX172"/>
    <mergeCell ref="AZ172:BB172"/>
    <mergeCell ref="BD172:BE172"/>
    <mergeCell ref="CW172:CY172"/>
    <mergeCell ref="AB180:AC180"/>
    <mergeCell ref="AH174:AJ174"/>
    <mergeCell ref="CH176:CJ176"/>
    <mergeCell ref="CL176:CN176"/>
    <mergeCell ref="CH177:CJ177"/>
    <mergeCell ref="CL177:CN177"/>
    <mergeCell ref="AD177:AF177"/>
    <mergeCell ref="AH177:AJ177"/>
    <mergeCell ref="AK177:AM177"/>
    <mergeCell ref="AO177:AQ177"/>
    <mergeCell ref="AR177:AT177"/>
    <mergeCell ref="AV177:AX177"/>
    <mergeCell ref="AY177:BA177"/>
    <mergeCell ref="BC177:BE177"/>
    <mergeCell ref="CV177:CX177"/>
    <mergeCell ref="CZ177:DB177"/>
    <mergeCell ref="CA177:CC177"/>
    <mergeCell ref="CE177:CG177"/>
    <mergeCell ref="BT177:BV177"/>
    <mergeCell ref="BX177:BZ177"/>
    <mergeCell ref="CO177:CQ177"/>
    <mergeCell ref="CS177:CU177"/>
    <mergeCell ref="BN172:BP172"/>
    <mergeCell ref="BR172:BS172"/>
    <mergeCell ref="BM175:BO175"/>
    <mergeCell ref="BQ175:BS175"/>
    <mergeCell ref="AD182:AF182"/>
    <mergeCell ref="AH182:AJ182"/>
    <mergeCell ref="AK182:AM182"/>
    <mergeCell ref="AO182:AQ182"/>
    <mergeCell ref="AR182:AT182"/>
    <mergeCell ref="AV182:AX182"/>
    <mergeCell ref="AY182:BA182"/>
    <mergeCell ref="BC182:BE182"/>
    <mergeCell ref="CV182:CX182"/>
    <mergeCell ref="CZ182:DB182"/>
    <mergeCell ref="CA182:CC182"/>
    <mergeCell ref="CE182:CG182"/>
    <mergeCell ref="CP178:CR178"/>
    <mergeCell ref="CT178:CU178"/>
    <mergeCell ref="CP179:CR179"/>
    <mergeCell ref="CT179:CU179"/>
    <mergeCell ref="CO182:CQ182"/>
    <mergeCell ref="CS182:CU182"/>
    <mergeCell ref="CI178:CK178"/>
    <mergeCell ref="CM178:CN178"/>
    <mergeCell ref="CI179:CK179"/>
    <mergeCell ref="CM179:CN179"/>
    <mergeCell ref="AE178:AG178"/>
    <mergeCell ref="AI178:AJ178"/>
    <mergeCell ref="AL178:AN178"/>
    <mergeCell ref="AP178:AQ178"/>
    <mergeCell ref="AS178:AU178"/>
    <mergeCell ref="AW178:AX178"/>
    <mergeCell ref="AZ178:BB178"/>
    <mergeCell ref="BD178:BE178"/>
    <mergeCell ref="CW178:CY178"/>
    <mergeCell ref="DA178:DB178"/>
    <mergeCell ref="CB178:CD178"/>
    <mergeCell ref="CF178:CG178"/>
    <mergeCell ref="AE179:AG179"/>
    <mergeCell ref="AI179:AJ179"/>
    <mergeCell ref="AL179:AN179"/>
    <mergeCell ref="AP179:AQ179"/>
    <mergeCell ref="AS179:AU179"/>
    <mergeCell ref="AW179:AX179"/>
    <mergeCell ref="AZ179:BB179"/>
    <mergeCell ref="BD179:BE179"/>
    <mergeCell ref="CW179:CY179"/>
    <mergeCell ref="DA179:DB179"/>
    <mergeCell ref="CB179:CD179"/>
    <mergeCell ref="CF179:CG179"/>
    <mergeCell ref="BU178:BW178"/>
    <mergeCell ref="BY178:BZ178"/>
    <mergeCell ref="BU179:BW179"/>
    <mergeCell ref="BY179:BZ179"/>
    <mergeCell ref="BR179:BS179"/>
    <mergeCell ref="BT182:BV182"/>
    <mergeCell ref="BX182:BZ182"/>
    <mergeCell ref="CH182:CJ182"/>
    <mergeCell ref="CL182:CN182"/>
    <mergeCell ref="BM182:BO182"/>
    <mergeCell ref="BQ182:BS182"/>
    <mergeCell ref="BF182:BH182"/>
    <mergeCell ref="BJ182:BL182"/>
    <mergeCell ref="AH181:AJ181"/>
    <mergeCell ref="BN179:BP179"/>
    <mergeCell ref="CO183:CQ183"/>
    <mergeCell ref="CS183:CU183"/>
    <mergeCell ref="CO184:CQ184"/>
    <mergeCell ref="CS184:CU184"/>
    <mergeCell ref="CP185:CR185"/>
    <mergeCell ref="CT185:CU185"/>
    <mergeCell ref="CH183:CJ183"/>
    <mergeCell ref="CL183:CN183"/>
    <mergeCell ref="CH184:CJ184"/>
    <mergeCell ref="CL184:CN184"/>
    <mergeCell ref="CI185:CK185"/>
    <mergeCell ref="CM185:CN185"/>
    <mergeCell ref="AD183:AF183"/>
    <mergeCell ref="AH183:AJ183"/>
    <mergeCell ref="AK183:AM183"/>
    <mergeCell ref="AO183:AQ183"/>
    <mergeCell ref="AR183:AT183"/>
    <mergeCell ref="AV183:AX183"/>
    <mergeCell ref="AY183:BA183"/>
    <mergeCell ref="BC183:BE183"/>
    <mergeCell ref="CV183:CX183"/>
    <mergeCell ref="CZ183:DB183"/>
    <mergeCell ref="CA183:CC183"/>
    <mergeCell ref="CE183:CG183"/>
    <mergeCell ref="BT183:BV183"/>
    <mergeCell ref="BX183:BZ183"/>
    <mergeCell ref="AD184:AF184"/>
    <mergeCell ref="AH184:AJ184"/>
    <mergeCell ref="AK184:AM184"/>
    <mergeCell ref="AO184:AQ184"/>
    <mergeCell ref="AR184:AT184"/>
    <mergeCell ref="AV184:AX184"/>
    <mergeCell ref="AY184:BA184"/>
    <mergeCell ref="BC184:BE184"/>
    <mergeCell ref="CV184:CX184"/>
    <mergeCell ref="CZ184:DB184"/>
    <mergeCell ref="CA184:CC184"/>
    <mergeCell ref="CE184:CG184"/>
    <mergeCell ref="BF183:BH183"/>
    <mergeCell ref="BJ183:BL183"/>
    <mergeCell ref="BF184:BH184"/>
    <mergeCell ref="BJ184:BL184"/>
    <mergeCell ref="BG185:BI185"/>
    <mergeCell ref="BK185:BL185"/>
    <mergeCell ref="AB187:AC187"/>
    <mergeCell ref="AD189:AF189"/>
    <mergeCell ref="AH189:AJ189"/>
    <mergeCell ref="AK189:AM189"/>
    <mergeCell ref="AO189:AQ189"/>
    <mergeCell ref="AR189:AT189"/>
    <mergeCell ref="AV189:AX189"/>
    <mergeCell ref="AY189:BA189"/>
    <mergeCell ref="BC189:BE189"/>
    <mergeCell ref="CV189:CX189"/>
    <mergeCell ref="CZ189:DB189"/>
    <mergeCell ref="CA189:CC189"/>
    <mergeCell ref="CE189:CG189"/>
    <mergeCell ref="BU186:BW186"/>
    <mergeCell ref="BY186:BZ186"/>
    <mergeCell ref="BT189:BV189"/>
    <mergeCell ref="BX189:BZ189"/>
    <mergeCell ref="BT190:BV190"/>
    <mergeCell ref="BX190:BZ190"/>
    <mergeCell ref="CH190:CJ190"/>
    <mergeCell ref="CL190:CN190"/>
    <mergeCell ref="AD190:AF190"/>
    <mergeCell ref="AH190:AJ190"/>
    <mergeCell ref="AK190:AM190"/>
    <mergeCell ref="AH188:AJ188"/>
    <mergeCell ref="AE185:AG185"/>
    <mergeCell ref="AI185:AJ185"/>
    <mergeCell ref="AL185:AN185"/>
    <mergeCell ref="AP185:AQ185"/>
    <mergeCell ref="AS185:AU185"/>
    <mergeCell ref="AW185:AX185"/>
    <mergeCell ref="AZ185:BB185"/>
    <mergeCell ref="BD185:BE185"/>
    <mergeCell ref="CW185:CY185"/>
    <mergeCell ref="DA185:DB185"/>
    <mergeCell ref="CB185:CD185"/>
    <mergeCell ref="CF185:CG185"/>
    <mergeCell ref="BG186:BI186"/>
    <mergeCell ref="BK186:BL186"/>
    <mergeCell ref="BF189:BH189"/>
    <mergeCell ref="BJ189:BL189"/>
    <mergeCell ref="BF190:BH190"/>
    <mergeCell ref="BJ190:BL190"/>
    <mergeCell ref="BU185:BW185"/>
    <mergeCell ref="BY185:BZ185"/>
    <mergeCell ref="CW192:CY192"/>
    <mergeCell ref="DA192:DB192"/>
    <mergeCell ref="CB192:CD192"/>
    <mergeCell ref="CF192:CG192"/>
    <mergeCell ref="BQ191:BS191"/>
    <mergeCell ref="BN192:BP192"/>
    <mergeCell ref="BR192:BS192"/>
    <mergeCell ref="AR190:AT190"/>
    <mergeCell ref="AV190:AX190"/>
    <mergeCell ref="AY190:BA190"/>
    <mergeCell ref="BC190:BE190"/>
    <mergeCell ref="CV190:CX190"/>
    <mergeCell ref="CZ190:DB190"/>
    <mergeCell ref="CA190:CC190"/>
    <mergeCell ref="CE190:CG190"/>
    <mergeCell ref="CP186:CR186"/>
    <mergeCell ref="CT186:CU186"/>
    <mergeCell ref="CO189:CQ189"/>
    <mergeCell ref="CS189:CU189"/>
    <mergeCell ref="CO190:CQ190"/>
    <mergeCell ref="CS190:CU190"/>
    <mergeCell ref="CI186:CK186"/>
    <mergeCell ref="CM186:CN186"/>
    <mergeCell ref="CH189:CJ189"/>
    <mergeCell ref="CL189:CN189"/>
    <mergeCell ref="AE186:AG186"/>
    <mergeCell ref="AI186:AJ186"/>
    <mergeCell ref="AL186:AN186"/>
    <mergeCell ref="AP186:AQ186"/>
    <mergeCell ref="AS186:AU186"/>
    <mergeCell ref="AW186:AX186"/>
    <mergeCell ref="AZ186:BB186"/>
    <mergeCell ref="BD186:BE186"/>
    <mergeCell ref="CW186:CY186"/>
    <mergeCell ref="DA186:DB186"/>
    <mergeCell ref="CB186:CD186"/>
    <mergeCell ref="CF186:CG186"/>
    <mergeCell ref="BM190:BO190"/>
    <mergeCell ref="BQ190:BS190"/>
    <mergeCell ref="BF191:BH191"/>
    <mergeCell ref="BJ191:BL191"/>
    <mergeCell ref="BG192:BI192"/>
    <mergeCell ref="BK192:BL192"/>
    <mergeCell ref="BM197:BO197"/>
    <mergeCell ref="BQ197:BS197"/>
    <mergeCell ref="BM198:BO198"/>
    <mergeCell ref="BQ198:BS198"/>
    <mergeCell ref="BQ196:BS196"/>
    <mergeCell ref="BF197:BH197"/>
    <mergeCell ref="BJ197:BL197"/>
    <mergeCell ref="CI199:CK199"/>
    <mergeCell ref="CM199:CN199"/>
    <mergeCell ref="CB199:CD199"/>
    <mergeCell ref="CF199:CG199"/>
    <mergeCell ref="BT198:BV198"/>
    <mergeCell ref="BX198:BZ198"/>
    <mergeCell ref="BU199:BW199"/>
    <mergeCell ref="BY199:BZ199"/>
    <mergeCell ref="AE193:AG193"/>
    <mergeCell ref="AI193:AJ193"/>
    <mergeCell ref="AL193:AN193"/>
    <mergeCell ref="AP193:AQ193"/>
    <mergeCell ref="AS193:AU193"/>
    <mergeCell ref="AW193:AX193"/>
    <mergeCell ref="AZ193:BB193"/>
    <mergeCell ref="BD193:BE193"/>
    <mergeCell ref="CW193:CY193"/>
    <mergeCell ref="DA193:DB193"/>
    <mergeCell ref="CB193:CD193"/>
    <mergeCell ref="CF193:CG193"/>
    <mergeCell ref="BU192:BW192"/>
    <mergeCell ref="BY192:BZ192"/>
    <mergeCell ref="BU193:BW193"/>
    <mergeCell ref="BY193:BZ193"/>
    <mergeCell ref="CO191:CQ191"/>
    <mergeCell ref="CS191:CU191"/>
    <mergeCell ref="CP192:CR192"/>
    <mergeCell ref="CT192:CU192"/>
    <mergeCell ref="CP193:CR193"/>
    <mergeCell ref="CT193:CU193"/>
    <mergeCell ref="CH191:CJ191"/>
    <mergeCell ref="CL191:CN191"/>
    <mergeCell ref="CI192:CK192"/>
    <mergeCell ref="CM192:CN192"/>
    <mergeCell ref="CI193:CK193"/>
    <mergeCell ref="CM193:CN193"/>
    <mergeCell ref="AD191:AF191"/>
    <mergeCell ref="AH191:AJ191"/>
    <mergeCell ref="AK191:AM191"/>
    <mergeCell ref="AO191:AQ191"/>
    <mergeCell ref="AR191:AT191"/>
    <mergeCell ref="AV191:AX191"/>
    <mergeCell ref="AY191:BA191"/>
    <mergeCell ref="BC191:BE191"/>
    <mergeCell ref="CV191:CX191"/>
    <mergeCell ref="CZ191:DB191"/>
    <mergeCell ref="CA191:CC191"/>
    <mergeCell ref="CE191:CG191"/>
    <mergeCell ref="BT191:BV191"/>
    <mergeCell ref="BX191:BZ191"/>
    <mergeCell ref="AE192:AG192"/>
    <mergeCell ref="AI192:AJ192"/>
    <mergeCell ref="AL192:AN192"/>
    <mergeCell ref="AP192:AQ192"/>
    <mergeCell ref="AS192:AU192"/>
    <mergeCell ref="AW192:AX192"/>
    <mergeCell ref="AZ192:BB192"/>
    <mergeCell ref="AB194:AC194"/>
    <mergeCell ref="AD196:AF196"/>
    <mergeCell ref="AH196:AJ196"/>
    <mergeCell ref="AK196:AM196"/>
    <mergeCell ref="AO196:AQ196"/>
    <mergeCell ref="AR196:AT196"/>
    <mergeCell ref="AV196:AX196"/>
    <mergeCell ref="AY196:BA196"/>
    <mergeCell ref="BC196:BE196"/>
    <mergeCell ref="CV196:CX196"/>
    <mergeCell ref="CZ196:DB196"/>
    <mergeCell ref="CA196:CC196"/>
    <mergeCell ref="CE196:CG196"/>
    <mergeCell ref="AD197:AF197"/>
    <mergeCell ref="AH197:AJ197"/>
    <mergeCell ref="AK197:AM197"/>
    <mergeCell ref="AO197:AQ197"/>
    <mergeCell ref="AR197:AT197"/>
    <mergeCell ref="AV197:AX197"/>
    <mergeCell ref="AY197:BA197"/>
    <mergeCell ref="BC197:BE197"/>
    <mergeCell ref="CV197:CX197"/>
    <mergeCell ref="CZ197:DB197"/>
    <mergeCell ref="CA197:CC197"/>
    <mergeCell ref="CE197:CG197"/>
    <mergeCell ref="BT196:BV196"/>
    <mergeCell ref="AB201:AC201"/>
    <mergeCell ref="AD203:AF203"/>
    <mergeCell ref="AH203:AJ203"/>
    <mergeCell ref="AK203:AM203"/>
    <mergeCell ref="AO203:AQ203"/>
    <mergeCell ref="AR203:AT203"/>
    <mergeCell ref="AV203:AX203"/>
    <mergeCell ref="AY203:BA203"/>
    <mergeCell ref="BC203:BE203"/>
    <mergeCell ref="CV203:CX203"/>
    <mergeCell ref="CZ203:DB203"/>
    <mergeCell ref="CA203:CC203"/>
    <mergeCell ref="CE203:CG203"/>
    <mergeCell ref="AD201:AH201"/>
    <mergeCell ref="BU200:BW200"/>
    <mergeCell ref="BY200:BZ200"/>
    <mergeCell ref="BT203:BV203"/>
    <mergeCell ref="BX203:BZ203"/>
    <mergeCell ref="CP200:CR200"/>
    <mergeCell ref="CT200:CU200"/>
    <mergeCell ref="CO203:CQ203"/>
    <mergeCell ref="CS203:CU203"/>
    <mergeCell ref="BM203:BO203"/>
    <mergeCell ref="BQ203:BS203"/>
    <mergeCell ref="AE199:AG199"/>
    <mergeCell ref="AI199:AJ199"/>
    <mergeCell ref="AL199:AN199"/>
    <mergeCell ref="AP199:AQ199"/>
    <mergeCell ref="AS199:AU199"/>
    <mergeCell ref="AW199:AX199"/>
    <mergeCell ref="AZ199:BB199"/>
    <mergeCell ref="BD199:BE199"/>
    <mergeCell ref="CW199:CY199"/>
    <mergeCell ref="DA199:DB199"/>
    <mergeCell ref="BX196:BZ196"/>
    <mergeCell ref="BT197:BV197"/>
    <mergeCell ref="BX197:BZ197"/>
    <mergeCell ref="AD198:AF198"/>
    <mergeCell ref="AE200:AG200"/>
    <mergeCell ref="AI200:AJ200"/>
    <mergeCell ref="AL200:AN200"/>
    <mergeCell ref="AP200:AQ200"/>
    <mergeCell ref="AS200:AU200"/>
    <mergeCell ref="AW200:AX200"/>
    <mergeCell ref="AZ200:BB200"/>
    <mergeCell ref="BD200:BE200"/>
    <mergeCell ref="CW200:CY200"/>
    <mergeCell ref="DA200:DB200"/>
    <mergeCell ref="CB200:CD200"/>
    <mergeCell ref="CF200:CG200"/>
    <mergeCell ref="CP199:CR199"/>
    <mergeCell ref="CT199:CU199"/>
    <mergeCell ref="CH198:CJ198"/>
    <mergeCell ref="CL198:CN198"/>
    <mergeCell ref="CV204:CX204"/>
    <mergeCell ref="CZ204:DB204"/>
    <mergeCell ref="CA204:CC204"/>
    <mergeCell ref="CE204:CG204"/>
    <mergeCell ref="AD205:AF205"/>
    <mergeCell ref="AH205:AJ205"/>
    <mergeCell ref="AK205:AM205"/>
    <mergeCell ref="AO205:AQ205"/>
    <mergeCell ref="AR205:AT205"/>
    <mergeCell ref="AV205:AX205"/>
    <mergeCell ref="AY205:BA205"/>
    <mergeCell ref="BC205:BE205"/>
    <mergeCell ref="CV205:CX205"/>
    <mergeCell ref="CZ205:DB205"/>
    <mergeCell ref="CA205:CC205"/>
    <mergeCell ref="CE205:CG205"/>
    <mergeCell ref="BT204:BV204"/>
    <mergeCell ref="BX204:BZ204"/>
    <mergeCell ref="BT205:BV205"/>
    <mergeCell ref="BX205:BZ205"/>
    <mergeCell ref="CO204:CQ204"/>
    <mergeCell ref="CS204:CU204"/>
    <mergeCell ref="CO205:CQ205"/>
    <mergeCell ref="CS205:CU205"/>
    <mergeCell ref="CH204:CJ204"/>
    <mergeCell ref="CL204:CN204"/>
    <mergeCell ref="CH205:CJ205"/>
    <mergeCell ref="CL205:CN205"/>
    <mergeCell ref="BM204:BO204"/>
    <mergeCell ref="BQ204:BS204"/>
    <mergeCell ref="CI200:CK200"/>
    <mergeCell ref="CM200:CN200"/>
    <mergeCell ref="CH203:CJ203"/>
    <mergeCell ref="CL203:CN203"/>
    <mergeCell ref="AH198:AJ198"/>
    <mergeCell ref="AK198:AM198"/>
    <mergeCell ref="AO198:AQ198"/>
    <mergeCell ref="AR198:AT198"/>
    <mergeCell ref="AV198:AX198"/>
    <mergeCell ref="AY198:BA198"/>
    <mergeCell ref="BC198:BE198"/>
    <mergeCell ref="CV198:CX198"/>
    <mergeCell ref="CZ198:DB198"/>
    <mergeCell ref="CA198:CC198"/>
    <mergeCell ref="CE198:CG198"/>
    <mergeCell ref="CO198:CQ198"/>
    <mergeCell ref="CS198:CU198"/>
    <mergeCell ref="AH202:AJ202"/>
    <mergeCell ref="BT211:BV211"/>
    <mergeCell ref="BX211:BZ211"/>
    <mergeCell ref="CP207:CR207"/>
    <mergeCell ref="CT207:CU207"/>
    <mergeCell ref="CI206:CK206"/>
    <mergeCell ref="CM206:CN206"/>
    <mergeCell ref="CI207:CK207"/>
    <mergeCell ref="CM207:CN207"/>
    <mergeCell ref="CH210:CJ210"/>
    <mergeCell ref="CL210:CN210"/>
    <mergeCell ref="CH211:CJ211"/>
    <mergeCell ref="CL211:CN211"/>
    <mergeCell ref="AD204:AF204"/>
    <mergeCell ref="AH204:AJ204"/>
    <mergeCell ref="AK204:AM204"/>
    <mergeCell ref="AO204:AQ204"/>
    <mergeCell ref="AR204:AT204"/>
    <mergeCell ref="AV204:AX204"/>
    <mergeCell ref="AY204:BA204"/>
    <mergeCell ref="BC204:BE204"/>
    <mergeCell ref="AE206:AG206"/>
    <mergeCell ref="AI206:AJ206"/>
    <mergeCell ref="AL206:AN206"/>
    <mergeCell ref="AP206:AQ206"/>
    <mergeCell ref="AS206:AU206"/>
    <mergeCell ref="AW206:AX206"/>
    <mergeCell ref="AZ206:BB206"/>
    <mergeCell ref="BD206:BE206"/>
    <mergeCell ref="CB206:CD206"/>
    <mergeCell ref="CF206:CG206"/>
    <mergeCell ref="CP206:CR206"/>
    <mergeCell ref="CT206:CU206"/>
    <mergeCell ref="BU206:BW206"/>
    <mergeCell ref="BY206:BZ206"/>
    <mergeCell ref="BU207:BW207"/>
    <mergeCell ref="BY207:BZ207"/>
    <mergeCell ref="CS210:CU210"/>
    <mergeCell ref="CO211:CQ211"/>
    <mergeCell ref="CS211:CU211"/>
    <mergeCell ref="BF210:BH210"/>
    <mergeCell ref="BJ210:BL210"/>
    <mergeCell ref="AB208:AC208"/>
    <mergeCell ref="AD210:AF210"/>
    <mergeCell ref="AH210:AJ210"/>
    <mergeCell ref="AK210:AM210"/>
    <mergeCell ref="AO210:AQ210"/>
    <mergeCell ref="AR210:AT210"/>
    <mergeCell ref="AV210:AX210"/>
    <mergeCell ref="AY210:BA210"/>
    <mergeCell ref="BC210:BE210"/>
    <mergeCell ref="CV210:CX210"/>
    <mergeCell ref="CZ210:DB210"/>
    <mergeCell ref="CA210:CC210"/>
    <mergeCell ref="CE210:CG210"/>
    <mergeCell ref="AD208:AH208"/>
    <mergeCell ref="BT210:BV210"/>
    <mergeCell ref="BX210:BZ210"/>
    <mergeCell ref="CW206:CY206"/>
    <mergeCell ref="DA206:DB206"/>
    <mergeCell ref="BN207:BP207"/>
    <mergeCell ref="BR207:BS207"/>
    <mergeCell ref="BM210:BO210"/>
    <mergeCell ref="BQ210:BS210"/>
    <mergeCell ref="AH209:AJ209"/>
    <mergeCell ref="CW214:CY214"/>
    <mergeCell ref="DA214:DB214"/>
    <mergeCell ref="CB214:CD214"/>
    <mergeCell ref="CF214:CG214"/>
    <mergeCell ref="CH212:CJ212"/>
    <mergeCell ref="CL212:CN212"/>
    <mergeCell ref="CI213:CK213"/>
    <mergeCell ref="CM213:CN213"/>
    <mergeCell ref="AE207:AG207"/>
    <mergeCell ref="AI207:AJ207"/>
    <mergeCell ref="AL207:AN207"/>
    <mergeCell ref="AP207:AQ207"/>
    <mergeCell ref="AS207:AU207"/>
    <mergeCell ref="AW207:AX207"/>
    <mergeCell ref="AZ207:BB207"/>
    <mergeCell ref="BD207:BE207"/>
    <mergeCell ref="CW207:CY207"/>
    <mergeCell ref="DA207:DB207"/>
    <mergeCell ref="CB207:CD207"/>
    <mergeCell ref="CF207:CG207"/>
    <mergeCell ref="AD211:AF211"/>
    <mergeCell ref="AH211:AJ211"/>
    <mergeCell ref="AK211:AM211"/>
    <mergeCell ref="AO211:AQ211"/>
    <mergeCell ref="AR211:AT211"/>
    <mergeCell ref="AV211:AX211"/>
    <mergeCell ref="AY211:BA211"/>
    <mergeCell ref="BC211:BE211"/>
    <mergeCell ref="CV211:CX211"/>
    <mergeCell ref="CZ211:DB211"/>
    <mergeCell ref="CA211:CC211"/>
    <mergeCell ref="CE211:CG211"/>
    <mergeCell ref="CV212:CX212"/>
    <mergeCell ref="CZ212:DB212"/>
    <mergeCell ref="CA212:CC212"/>
    <mergeCell ref="CE212:CG212"/>
    <mergeCell ref="AE213:AG213"/>
    <mergeCell ref="AI213:AJ213"/>
    <mergeCell ref="AL213:AN213"/>
    <mergeCell ref="AP213:AQ213"/>
    <mergeCell ref="AS213:AU213"/>
    <mergeCell ref="AW213:AX213"/>
    <mergeCell ref="AZ213:BB213"/>
    <mergeCell ref="BD213:BE213"/>
    <mergeCell ref="CW213:CY213"/>
    <mergeCell ref="DA213:DB213"/>
    <mergeCell ref="CB213:CD213"/>
    <mergeCell ref="CF213:CG213"/>
    <mergeCell ref="BT212:BV212"/>
    <mergeCell ref="BX212:BZ212"/>
    <mergeCell ref="BU213:BW213"/>
    <mergeCell ref="BY213:BZ213"/>
    <mergeCell ref="CO212:CQ212"/>
    <mergeCell ref="CS212:CU212"/>
    <mergeCell ref="CP213:CR213"/>
    <mergeCell ref="CT213:CU213"/>
    <mergeCell ref="CM214:CN214"/>
    <mergeCell ref="CH217:CJ217"/>
    <mergeCell ref="CL217:CN217"/>
    <mergeCell ref="CH218:CJ218"/>
    <mergeCell ref="CL218:CN218"/>
    <mergeCell ref="CH219:CJ219"/>
    <mergeCell ref="CL219:CN219"/>
    <mergeCell ref="CM220:CN220"/>
    <mergeCell ref="CI221:CK221"/>
    <mergeCell ref="CM221:CN221"/>
    <mergeCell ref="CH224:CJ224"/>
    <mergeCell ref="CL224:CN224"/>
    <mergeCell ref="AD212:AF212"/>
    <mergeCell ref="AH212:AJ212"/>
    <mergeCell ref="AK212:AM212"/>
    <mergeCell ref="AO212:AQ212"/>
    <mergeCell ref="AR212:AT212"/>
    <mergeCell ref="AV212:AX212"/>
    <mergeCell ref="AY212:BA212"/>
    <mergeCell ref="BC212:BE212"/>
    <mergeCell ref="AI214:AJ214"/>
    <mergeCell ref="AL214:AN214"/>
    <mergeCell ref="AP214:AQ214"/>
    <mergeCell ref="AS214:AU214"/>
    <mergeCell ref="AW214:AX214"/>
    <mergeCell ref="AZ214:BB214"/>
    <mergeCell ref="BD214:BE214"/>
    <mergeCell ref="BU214:BW214"/>
    <mergeCell ref="BY214:BZ214"/>
    <mergeCell ref="BT217:BV217"/>
    <mergeCell ref="BX217:BZ217"/>
    <mergeCell ref="AK218:AM218"/>
    <mergeCell ref="AR218:AT218"/>
    <mergeCell ref="AV218:AX218"/>
    <mergeCell ref="AY218:BA218"/>
    <mergeCell ref="BC218:BE218"/>
    <mergeCell ref="CV218:CX218"/>
    <mergeCell ref="CZ218:DB218"/>
    <mergeCell ref="CA218:CC218"/>
    <mergeCell ref="CE218:CG218"/>
    <mergeCell ref="AD219:AF219"/>
    <mergeCell ref="AH219:AJ219"/>
    <mergeCell ref="AK219:AM219"/>
    <mergeCell ref="AO219:AQ219"/>
    <mergeCell ref="AR219:AT219"/>
    <mergeCell ref="AV219:AX219"/>
    <mergeCell ref="AY219:BA219"/>
    <mergeCell ref="BC219:BE219"/>
    <mergeCell ref="CV219:CX219"/>
    <mergeCell ref="CA219:CC219"/>
    <mergeCell ref="CE219:CG219"/>
    <mergeCell ref="BT218:BV218"/>
    <mergeCell ref="BX218:BZ218"/>
    <mergeCell ref="BT219:BV219"/>
    <mergeCell ref="BX219:BZ219"/>
    <mergeCell ref="CS219:CU219"/>
    <mergeCell ref="CO218:CQ218"/>
    <mergeCell ref="CS218:CU218"/>
    <mergeCell ref="CO219:CQ219"/>
    <mergeCell ref="CI214:CK214"/>
    <mergeCell ref="CV224:CX224"/>
    <mergeCell ref="CZ224:DB224"/>
    <mergeCell ref="CA224:CC224"/>
    <mergeCell ref="CI220:CK220"/>
    <mergeCell ref="CE224:CG224"/>
    <mergeCell ref="AB215:AC215"/>
    <mergeCell ref="AD217:AF217"/>
    <mergeCell ref="AH217:AJ217"/>
    <mergeCell ref="AK217:AM217"/>
    <mergeCell ref="AO217:AQ217"/>
    <mergeCell ref="AR217:AT217"/>
    <mergeCell ref="AV217:AX217"/>
    <mergeCell ref="AY217:BA217"/>
    <mergeCell ref="BC217:BE217"/>
    <mergeCell ref="CV217:CX217"/>
    <mergeCell ref="CZ217:DB217"/>
    <mergeCell ref="CA217:CC217"/>
    <mergeCell ref="CE217:CG217"/>
    <mergeCell ref="AD215:AH215"/>
    <mergeCell ref="CP220:CR220"/>
    <mergeCell ref="CT220:CU220"/>
    <mergeCell ref="BX224:BZ224"/>
    <mergeCell ref="CP221:CR221"/>
    <mergeCell ref="CT221:CU221"/>
    <mergeCell ref="CO224:CQ224"/>
    <mergeCell ref="CS224:CU224"/>
    <mergeCell ref="CW220:CY220"/>
    <mergeCell ref="DA220:DB220"/>
    <mergeCell ref="CB220:CD220"/>
    <mergeCell ref="CF220:CG220"/>
    <mergeCell ref="AE221:AG221"/>
    <mergeCell ref="CW221:CY221"/>
    <mergeCell ref="DA221:DB221"/>
    <mergeCell ref="CB221:CD221"/>
    <mergeCell ref="CF221:CG221"/>
    <mergeCell ref="BU220:BW220"/>
    <mergeCell ref="BY220:BZ220"/>
    <mergeCell ref="BU221:BW221"/>
    <mergeCell ref="BY221:BZ221"/>
    <mergeCell ref="AS221:AU221"/>
    <mergeCell ref="AW221:AX221"/>
    <mergeCell ref="AZ221:BB221"/>
    <mergeCell ref="BD221:BE221"/>
    <mergeCell ref="CP214:CR214"/>
    <mergeCell ref="CT214:CU214"/>
    <mergeCell ref="CO217:CQ217"/>
    <mergeCell ref="CS217:CU217"/>
    <mergeCell ref="AL220:AN220"/>
    <mergeCell ref="AP220:AQ220"/>
    <mergeCell ref="AS220:AU220"/>
    <mergeCell ref="AW220:AX220"/>
    <mergeCell ref="BG220:BI220"/>
    <mergeCell ref="BK220:BL220"/>
    <mergeCell ref="AV225:AX225"/>
    <mergeCell ref="AY225:BA225"/>
    <mergeCell ref="BC225:BE225"/>
    <mergeCell ref="CV225:CX225"/>
    <mergeCell ref="CZ225:DB225"/>
    <mergeCell ref="CA225:CC225"/>
    <mergeCell ref="CE225:CG225"/>
    <mergeCell ref="BM226:BO226"/>
    <mergeCell ref="BQ226:BS226"/>
    <mergeCell ref="CO225:CQ225"/>
    <mergeCell ref="CS225:CU225"/>
    <mergeCell ref="CO226:CQ226"/>
    <mergeCell ref="CS226:CU226"/>
    <mergeCell ref="BF224:BH224"/>
    <mergeCell ref="BJ224:BL224"/>
    <mergeCell ref="BF225:BH225"/>
    <mergeCell ref="BJ225:BL225"/>
    <mergeCell ref="BF226:BH226"/>
    <mergeCell ref="BJ226:BL226"/>
    <mergeCell ref="AE227:AG227"/>
    <mergeCell ref="AI227:AJ227"/>
    <mergeCell ref="AL227:AN227"/>
    <mergeCell ref="AP227:AQ227"/>
    <mergeCell ref="AS227:AU227"/>
    <mergeCell ref="AW227:AX227"/>
    <mergeCell ref="AZ227:BB227"/>
    <mergeCell ref="BD227:BE227"/>
    <mergeCell ref="CW227:CY227"/>
    <mergeCell ref="DA227:DB227"/>
    <mergeCell ref="CB227:CD227"/>
    <mergeCell ref="CF227:CG227"/>
    <mergeCell ref="BT226:BV226"/>
    <mergeCell ref="BX226:BZ226"/>
    <mergeCell ref="BU227:BW227"/>
    <mergeCell ref="BY227:BZ227"/>
    <mergeCell ref="AK224:AM224"/>
    <mergeCell ref="AO224:AQ224"/>
    <mergeCell ref="AR224:AT224"/>
    <mergeCell ref="AV224:AX224"/>
    <mergeCell ref="AY224:BA224"/>
    <mergeCell ref="BC224:BE224"/>
    <mergeCell ref="CI227:CK227"/>
    <mergeCell ref="CM227:CN227"/>
    <mergeCell ref="CP227:CR227"/>
    <mergeCell ref="CT227:CU227"/>
    <mergeCell ref="BG227:BI227"/>
    <mergeCell ref="BK227:BL227"/>
    <mergeCell ref="AD225:AF225"/>
    <mergeCell ref="AH225:AJ225"/>
    <mergeCell ref="AK225:AM225"/>
    <mergeCell ref="AO225:AQ225"/>
    <mergeCell ref="AR225:AT225"/>
    <mergeCell ref="AD224:AF224"/>
    <mergeCell ref="AH224:AJ224"/>
    <mergeCell ref="BT224:BV224"/>
    <mergeCell ref="BT225:BV225"/>
    <mergeCell ref="BX225:BZ225"/>
    <mergeCell ref="BN227:BP227"/>
    <mergeCell ref="BR227:BS227"/>
    <mergeCell ref="CW228:CY228"/>
    <mergeCell ref="DA228:DB228"/>
    <mergeCell ref="CB228:CD228"/>
    <mergeCell ref="CF228:CG228"/>
    <mergeCell ref="AD202:AF202"/>
    <mergeCell ref="AD95:AH95"/>
    <mergeCell ref="AB88:AC88"/>
    <mergeCell ref="AD88:AH88"/>
    <mergeCell ref="AD102:AH102"/>
    <mergeCell ref="AD109:AH109"/>
    <mergeCell ref="AD116:AH116"/>
    <mergeCell ref="AD123:AH123"/>
    <mergeCell ref="AD130:AH130"/>
    <mergeCell ref="AD137:AH137"/>
    <mergeCell ref="AD152:AH152"/>
    <mergeCell ref="AD159:AH159"/>
    <mergeCell ref="AD166:AH166"/>
    <mergeCell ref="AD173:AH173"/>
    <mergeCell ref="AD180:AH180"/>
    <mergeCell ref="AD187:AH187"/>
    <mergeCell ref="AD194:AH194"/>
    <mergeCell ref="AE228:AG228"/>
    <mergeCell ref="AI228:AJ228"/>
    <mergeCell ref="AD226:AF226"/>
    <mergeCell ref="AH226:AJ226"/>
    <mergeCell ref="AB222:AC222"/>
    <mergeCell ref="AD222:AH222"/>
    <mergeCell ref="AE220:AG220"/>
    <mergeCell ref="AI220:AJ220"/>
    <mergeCell ref="AD218:AF218"/>
    <mergeCell ref="AH218:AJ218"/>
    <mergeCell ref="AE214:AG214"/>
    <mergeCell ref="AL228:AN228"/>
    <mergeCell ref="AP228:AQ228"/>
    <mergeCell ref="AS228:AU228"/>
    <mergeCell ref="AW228:AX228"/>
    <mergeCell ref="AZ228:BB228"/>
    <mergeCell ref="BD228:BE228"/>
    <mergeCell ref="AK226:AM226"/>
    <mergeCell ref="AO226:AQ226"/>
    <mergeCell ref="AR226:AT226"/>
    <mergeCell ref="AV226:AX226"/>
    <mergeCell ref="AY226:BA226"/>
    <mergeCell ref="BC226:BE226"/>
    <mergeCell ref="AZ220:BB220"/>
    <mergeCell ref="BD220:BE220"/>
    <mergeCell ref="CV226:CX226"/>
    <mergeCell ref="CZ226:DB226"/>
    <mergeCell ref="CA226:CC226"/>
    <mergeCell ref="CE226:CG226"/>
    <mergeCell ref="CI228:CK228"/>
    <mergeCell ref="CM228:CN228"/>
    <mergeCell ref="CM158:CN158"/>
    <mergeCell ref="CH161:CJ161"/>
    <mergeCell ref="CL161:CN161"/>
    <mergeCell ref="CZ219:DB219"/>
    <mergeCell ref="CO197:CQ197"/>
    <mergeCell ref="CS197:CU197"/>
    <mergeCell ref="CO196:CQ196"/>
    <mergeCell ref="CS196:CU196"/>
    <mergeCell ref="CH196:CJ196"/>
    <mergeCell ref="CL196:CN196"/>
    <mergeCell ref="CH197:CJ197"/>
    <mergeCell ref="CL197:CN197"/>
    <mergeCell ref="CM31:CN31"/>
    <mergeCell ref="CH34:CJ34"/>
    <mergeCell ref="CL34:CN34"/>
    <mergeCell ref="CH55:CJ55"/>
    <mergeCell ref="CL55:CN55"/>
    <mergeCell ref="CH56:CJ56"/>
    <mergeCell ref="CL56:CN56"/>
    <mergeCell ref="CL64:CN64"/>
    <mergeCell ref="CI65:CK65"/>
    <mergeCell ref="CM65:CN65"/>
    <mergeCell ref="CH60:CL60"/>
    <mergeCell ref="CH61:CJ61"/>
    <mergeCell ref="CL49:CN49"/>
    <mergeCell ref="CH50:CJ50"/>
    <mergeCell ref="CL50:CN50"/>
    <mergeCell ref="CI51:CK51"/>
    <mergeCell ref="CM51:CN51"/>
    <mergeCell ref="CI52:CK52"/>
    <mergeCell ref="CM52:CN52"/>
    <mergeCell ref="CH97:CJ97"/>
    <mergeCell ref="CL97:CN97"/>
    <mergeCell ref="CH98:CJ98"/>
    <mergeCell ref="CH102:CL102"/>
    <mergeCell ref="CH103:CJ103"/>
    <mergeCell ref="CH109:CL109"/>
    <mergeCell ref="CH110:CJ110"/>
    <mergeCell ref="EM38:EO38"/>
    <mergeCell ref="EQ38:ER38"/>
    <mergeCell ref="EQ58:ER58"/>
    <mergeCell ref="EM59:EO59"/>
    <mergeCell ref="EQ59:ER59"/>
    <mergeCell ref="EL62:EN62"/>
    <mergeCell ref="EP62:ER62"/>
    <mergeCell ref="EL63:EN63"/>
    <mergeCell ref="EP63:ER63"/>
    <mergeCell ref="EL64:EN64"/>
    <mergeCell ref="EP64:ER64"/>
    <mergeCell ref="EL41:EN41"/>
    <mergeCell ref="EP41:ER41"/>
    <mergeCell ref="EL42:EN42"/>
    <mergeCell ref="EP42:ER42"/>
    <mergeCell ref="EL43:EN43"/>
    <mergeCell ref="EP43:ER43"/>
    <mergeCell ref="EM44:EO44"/>
    <mergeCell ref="EQ44:ER44"/>
    <mergeCell ref="CM66:CN66"/>
    <mergeCell ref="CH69:CJ69"/>
    <mergeCell ref="CL69:CN69"/>
    <mergeCell ref="CH70:CJ70"/>
    <mergeCell ref="CL70:CN70"/>
    <mergeCell ref="CH71:CJ71"/>
    <mergeCell ref="EM45:EO45"/>
    <mergeCell ref="EQ45:ER45"/>
    <mergeCell ref="EL48:EN48"/>
    <mergeCell ref="EP48:ER48"/>
    <mergeCell ref="EL49:EN49"/>
    <mergeCell ref="EP49:ER49"/>
    <mergeCell ref="EL50:EN50"/>
    <mergeCell ref="EP50:ER50"/>
    <mergeCell ref="EM51:EO51"/>
    <mergeCell ref="EL57:EN57"/>
    <mergeCell ref="EP57:ER57"/>
    <mergeCell ref="EM58:EO58"/>
    <mergeCell ref="EP70:ER70"/>
    <mergeCell ref="EL20:EN20"/>
    <mergeCell ref="EP20:ER20"/>
    <mergeCell ref="EL21:EN21"/>
    <mergeCell ref="EP21:ER21"/>
    <mergeCell ref="EL22:EN22"/>
    <mergeCell ref="EP22:ER22"/>
    <mergeCell ref="EM23:EO23"/>
    <mergeCell ref="EQ23:ER23"/>
    <mergeCell ref="EM24:EO24"/>
    <mergeCell ref="EQ24:ER24"/>
    <mergeCell ref="EL27:EN27"/>
    <mergeCell ref="EP27:ER27"/>
    <mergeCell ref="EL28:EN28"/>
    <mergeCell ref="EP28:ER28"/>
    <mergeCell ref="EL29:EN29"/>
    <mergeCell ref="EP29:ER29"/>
    <mergeCell ref="EM30:EO30"/>
    <mergeCell ref="EQ30:ER30"/>
    <mergeCell ref="EM31:EO31"/>
    <mergeCell ref="EQ31:ER31"/>
    <mergeCell ref="EL34:EN34"/>
    <mergeCell ref="EP34:ER34"/>
    <mergeCell ref="EL35:EN35"/>
    <mergeCell ref="EP35:ER35"/>
    <mergeCell ref="EL36:EN36"/>
    <mergeCell ref="EP36:ER36"/>
    <mergeCell ref="EM37:EO37"/>
    <mergeCell ref="EQ37:ER37"/>
    <mergeCell ref="CH226:CJ226"/>
    <mergeCell ref="CL226:CN226"/>
    <mergeCell ref="CM136:CN136"/>
    <mergeCell ref="CH139:CJ139"/>
    <mergeCell ref="CL139:CN139"/>
    <mergeCell ref="CH140:CJ140"/>
    <mergeCell ref="CL140:CN140"/>
    <mergeCell ref="CH141:CJ141"/>
    <mergeCell ref="CL141:CN141"/>
    <mergeCell ref="CI142:CK142"/>
    <mergeCell ref="CM142:CN142"/>
    <mergeCell ref="CI143:CK143"/>
    <mergeCell ref="CM143:CN143"/>
    <mergeCell ref="CH147:CJ147"/>
    <mergeCell ref="CL147:CN147"/>
    <mergeCell ref="CH148:CJ148"/>
    <mergeCell ref="CL148:CN148"/>
    <mergeCell ref="CH149:CJ149"/>
    <mergeCell ref="CL149:CN149"/>
    <mergeCell ref="CI150:CK150"/>
    <mergeCell ref="CI151:CK151"/>
    <mergeCell ref="CM151:CN151"/>
    <mergeCell ref="CH154:CJ154"/>
    <mergeCell ref="CL154:CN154"/>
    <mergeCell ref="CH155:CJ155"/>
    <mergeCell ref="CL155:CN155"/>
    <mergeCell ref="CH156:CJ156"/>
    <mergeCell ref="CL156:CN156"/>
    <mergeCell ref="CI157:CK157"/>
    <mergeCell ref="CM157:CN157"/>
    <mergeCell ref="CI158:CK158"/>
    <mergeCell ref="EL69:EN69"/>
    <mergeCell ref="EP69:ER69"/>
    <mergeCell ref="EL70:EN70"/>
    <mergeCell ref="CH225:CJ225"/>
    <mergeCell ref="CL225:CN225"/>
    <mergeCell ref="EP113:ER113"/>
    <mergeCell ref="EQ114:ER114"/>
    <mergeCell ref="EL98:EN98"/>
    <mergeCell ref="EP98:ER98"/>
    <mergeCell ref="EL99:EN99"/>
    <mergeCell ref="EP99:ER99"/>
    <mergeCell ref="EM142:EO142"/>
    <mergeCell ref="EQ142:ER142"/>
    <mergeCell ref="EM143:EO143"/>
    <mergeCell ref="EQ143:ER143"/>
    <mergeCell ref="EL147:EN147"/>
    <mergeCell ref="EP147:ER147"/>
    <mergeCell ref="EL130:EP130"/>
    <mergeCell ref="EL131:EN131"/>
    <mergeCell ref="EL137:EP137"/>
    <mergeCell ref="EL138:EN138"/>
    <mergeCell ref="EI105:EK105"/>
    <mergeCell ref="EE106:EG106"/>
    <mergeCell ref="EI106:EK106"/>
    <mergeCell ref="EF107:EH107"/>
    <mergeCell ref="EJ107:EK107"/>
    <mergeCell ref="CV148:CX148"/>
    <mergeCell ref="CZ148:DB148"/>
    <mergeCell ref="CI108:CK108"/>
    <mergeCell ref="CW93:CY93"/>
    <mergeCell ref="DA93:DB93"/>
    <mergeCell ref="CZ111:DB111"/>
    <mergeCell ref="CO106:CQ106"/>
    <mergeCell ref="CS106:CU106"/>
    <mergeCell ref="CZ112:DB112"/>
    <mergeCell ref="CW114:CY114"/>
    <mergeCell ref="CZ141:DB141"/>
    <mergeCell ref="DC95:DG95"/>
    <mergeCell ref="DC96:DE96"/>
    <mergeCell ref="DC97:DE97"/>
    <mergeCell ref="DG97:DI97"/>
    <mergeCell ref="CV99:CX99"/>
    <mergeCell ref="CZ99:DB99"/>
    <mergeCell ref="CZ98:DB98"/>
    <mergeCell ref="CZ120:DB120"/>
    <mergeCell ref="CZ113:DB113"/>
    <mergeCell ref="DG140:DI140"/>
    <mergeCell ref="DC99:DE99"/>
    <mergeCell ref="DG99:DI99"/>
    <mergeCell ref="DD100:DF100"/>
    <mergeCell ref="DH100:DI100"/>
    <mergeCell ref="DD101:DF101"/>
    <mergeCell ref="DH101:DI101"/>
    <mergeCell ref="DC102:DG102"/>
    <mergeCell ref="DC103:DE103"/>
    <mergeCell ref="DC104:DE104"/>
    <mergeCell ref="DG104:DI104"/>
    <mergeCell ref="DC105:DE105"/>
    <mergeCell ref="DG105:DI105"/>
    <mergeCell ref="DC106:DE106"/>
    <mergeCell ref="DG106:DI106"/>
    <mergeCell ref="DD107:DF107"/>
    <mergeCell ref="DH107:DI107"/>
    <mergeCell ref="DD108:DF108"/>
    <mergeCell ref="DH108:DI108"/>
    <mergeCell ref="DC109:DG109"/>
    <mergeCell ref="DC110:DE110"/>
    <mergeCell ref="DC111:DE111"/>
    <mergeCell ref="DG111:DI111"/>
    <mergeCell ref="EM114:EO114"/>
    <mergeCell ref="EL109:EP109"/>
    <mergeCell ref="EL92:EN92"/>
    <mergeCell ref="EP92:ER92"/>
    <mergeCell ref="EM93:EO93"/>
    <mergeCell ref="EQ93:ER93"/>
    <mergeCell ref="EM94:EO94"/>
    <mergeCell ref="EQ94:ER94"/>
    <mergeCell ref="EL97:EN97"/>
    <mergeCell ref="EP97:ER97"/>
    <mergeCell ref="EM100:EO100"/>
    <mergeCell ref="EQ100:ER100"/>
    <mergeCell ref="EM101:EO101"/>
    <mergeCell ref="EP127:ER127"/>
    <mergeCell ref="EQ128:ER128"/>
    <mergeCell ref="EM129:EO129"/>
    <mergeCell ref="EP96:ER96"/>
    <mergeCell ref="EQ51:ER51"/>
    <mergeCell ref="EL83:EN83"/>
    <mergeCell ref="EP83:ER83"/>
    <mergeCell ref="EL84:EN84"/>
    <mergeCell ref="EP84:ER84"/>
    <mergeCell ref="EL85:EN85"/>
    <mergeCell ref="EP85:ER85"/>
    <mergeCell ref="EM86:EO86"/>
    <mergeCell ref="EQ86:ER86"/>
    <mergeCell ref="EM87:EO87"/>
    <mergeCell ref="EQ87:ER87"/>
    <mergeCell ref="EL90:EN90"/>
    <mergeCell ref="EP90:ER90"/>
    <mergeCell ref="EM65:EO65"/>
    <mergeCell ref="EQ65:ER65"/>
    <mergeCell ref="EM66:EO66"/>
    <mergeCell ref="EQ66:ER66"/>
    <mergeCell ref="EP82:ER82"/>
    <mergeCell ref="EP89:ER89"/>
    <mergeCell ref="EL71:EN71"/>
    <mergeCell ref="EP71:ER71"/>
    <mergeCell ref="EM72:EO72"/>
    <mergeCell ref="EQ72:ER72"/>
    <mergeCell ref="EM73:EO73"/>
    <mergeCell ref="EQ73:ER73"/>
    <mergeCell ref="EL76:EN76"/>
    <mergeCell ref="EP76:ER76"/>
    <mergeCell ref="EL77:EN77"/>
    <mergeCell ref="EP77:ER77"/>
    <mergeCell ref="EL91:EN91"/>
    <mergeCell ref="EP91:ER91"/>
    <mergeCell ref="EP106:ER106"/>
    <mergeCell ref="EQ129:ER129"/>
    <mergeCell ref="EL106:EN106"/>
    <mergeCell ref="EM107:EO107"/>
    <mergeCell ref="EM108:EO108"/>
    <mergeCell ref="EL111:EN111"/>
    <mergeCell ref="EL112:EN112"/>
    <mergeCell ref="EL113:EN113"/>
    <mergeCell ref="EQ101:ER101"/>
    <mergeCell ref="EL105:EN105"/>
    <mergeCell ref="EP105:ER105"/>
    <mergeCell ref="EP103:ER103"/>
    <mergeCell ref="EQ107:ER107"/>
    <mergeCell ref="EQ108:ER108"/>
    <mergeCell ref="EP111:ER111"/>
    <mergeCell ref="EP112:ER112"/>
    <mergeCell ref="EL155:EN155"/>
    <mergeCell ref="EP155:ER155"/>
    <mergeCell ref="EL156:EN156"/>
    <mergeCell ref="EP156:ER156"/>
    <mergeCell ref="EM157:EO157"/>
    <mergeCell ref="EQ157:ER157"/>
    <mergeCell ref="EM158:EO158"/>
    <mergeCell ref="EQ158:ER158"/>
    <mergeCell ref="EL148:EN148"/>
    <mergeCell ref="EP148:ER148"/>
    <mergeCell ref="EL149:EN149"/>
    <mergeCell ref="EP149:ER149"/>
    <mergeCell ref="EM150:EO150"/>
    <mergeCell ref="EQ150:ER150"/>
    <mergeCell ref="EM151:EO151"/>
    <mergeCell ref="EQ151:ER151"/>
    <mergeCell ref="EL154:EN154"/>
    <mergeCell ref="EP154:ER154"/>
    <mergeCell ref="EP138:ER138"/>
    <mergeCell ref="EQ115:ER115"/>
    <mergeCell ref="EL118:EN118"/>
    <mergeCell ref="EP118:ER118"/>
    <mergeCell ref="EL119:EN119"/>
    <mergeCell ref="EP119:ER119"/>
    <mergeCell ref="EL120:EN120"/>
    <mergeCell ref="EP120:ER120"/>
    <mergeCell ref="EM121:EO121"/>
    <mergeCell ref="EQ121:ER121"/>
    <mergeCell ref="EM122:EO122"/>
    <mergeCell ref="EQ122:ER122"/>
    <mergeCell ref="EL125:EN125"/>
    <mergeCell ref="EP125:ER125"/>
    <mergeCell ref="EL126:EN126"/>
    <mergeCell ref="EP126:ER126"/>
    <mergeCell ref="EL127:EN127"/>
    <mergeCell ref="EL141:EN141"/>
    <mergeCell ref="EP141:ER141"/>
    <mergeCell ref="EP132:ER132"/>
    <mergeCell ref="EL133:EN133"/>
    <mergeCell ref="EP133:ER133"/>
    <mergeCell ref="EL134:EN134"/>
    <mergeCell ref="EP134:ER134"/>
    <mergeCell ref="EM135:EO135"/>
    <mergeCell ref="EQ135:ER135"/>
    <mergeCell ref="EM136:EO136"/>
    <mergeCell ref="EQ136:ER136"/>
    <mergeCell ref="EL139:EN139"/>
    <mergeCell ref="EP139:ER139"/>
    <mergeCell ref="EL140:EN140"/>
    <mergeCell ref="EP140:ER140"/>
    <mergeCell ref="EP124:ER124"/>
    <mergeCell ref="EP131:ER131"/>
    <mergeCell ref="EL132:EN132"/>
    <mergeCell ref="EP182:ER182"/>
    <mergeCell ref="EL183:EN183"/>
    <mergeCell ref="EP183:ER183"/>
    <mergeCell ref="EL184:EN184"/>
    <mergeCell ref="EP184:ER184"/>
    <mergeCell ref="EM185:EO185"/>
    <mergeCell ref="EQ185:ER185"/>
    <mergeCell ref="EM186:EO186"/>
    <mergeCell ref="EQ186:ER186"/>
    <mergeCell ref="EQ192:ER192"/>
    <mergeCell ref="EM193:EO193"/>
    <mergeCell ref="EQ193:ER193"/>
    <mergeCell ref="EL161:EN161"/>
    <mergeCell ref="EP161:ER161"/>
    <mergeCell ref="EL162:EN162"/>
    <mergeCell ref="EP162:ER162"/>
    <mergeCell ref="EL163:EN163"/>
    <mergeCell ref="EP163:ER163"/>
    <mergeCell ref="EM164:EO164"/>
    <mergeCell ref="EQ164:ER164"/>
    <mergeCell ref="CA137:CE137"/>
    <mergeCell ref="CA138:CC138"/>
    <mergeCell ref="EL82:EN82"/>
    <mergeCell ref="EL196:EN196"/>
    <mergeCell ref="EP196:ER196"/>
    <mergeCell ref="EL197:EN197"/>
    <mergeCell ref="EP197:ER197"/>
    <mergeCell ref="EL198:EN198"/>
    <mergeCell ref="EP198:ER198"/>
    <mergeCell ref="EM199:EO199"/>
    <mergeCell ref="EQ199:ER199"/>
    <mergeCell ref="EM200:EO200"/>
    <mergeCell ref="EQ200:ER200"/>
    <mergeCell ref="CL84:CN84"/>
    <mergeCell ref="CH85:CJ85"/>
    <mergeCell ref="CL85:CN85"/>
    <mergeCell ref="CI86:CK86"/>
    <mergeCell ref="CM86:CN86"/>
    <mergeCell ref="CI87:CK87"/>
    <mergeCell ref="CM87:CN87"/>
    <mergeCell ref="CH82:CJ82"/>
    <mergeCell ref="CL110:CN110"/>
    <mergeCell ref="CL92:CN92"/>
    <mergeCell ref="CI93:CK93"/>
    <mergeCell ref="CM93:CN93"/>
    <mergeCell ref="CL82:CN82"/>
    <mergeCell ref="CM100:CN100"/>
    <mergeCell ref="CI101:CK101"/>
    <mergeCell ref="CM101:CN101"/>
    <mergeCell ref="CH104:CJ104"/>
    <mergeCell ref="CL104:CN104"/>
    <mergeCell ref="CH105:CJ105"/>
    <mergeCell ref="CL105:CN105"/>
    <mergeCell ref="CH106:CJ106"/>
    <mergeCell ref="CL106:CN106"/>
    <mergeCell ref="CL96:CN96"/>
    <mergeCell ref="CH95:CL95"/>
    <mergeCell ref="CH96:CJ96"/>
    <mergeCell ref="CH84:CJ84"/>
    <mergeCell ref="CI94:CK94"/>
    <mergeCell ref="CM94:CN94"/>
    <mergeCell ref="CH113:CJ113"/>
    <mergeCell ref="CL113:CN113"/>
    <mergeCell ref="EE105:EG105"/>
    <mergeCell ref="EL203:EN203"/>
    <mergeCell ref="EP203:ER203"/>
    <mergeCell ref="EM165:EO165"/>
    <mergeCell ref="EQ165:ER165"/>
    <mergeCell ref="EL168:EN168"/>
    <mergeCell ref="EP168:ER168"/>
    <mergeCell ref="EL169:EN169"/>
    <mergeCell ref="EP169:ER169"/>
    <mergeCell ref="EL170:EN170"/>
    <mergeCell ref="EP170:ER170"/>
    <mergeCell ref="EL189:EN189"/>
    <mergeCell ref="EP189:ER189"/>
    <mergeCell ref="EL190:EN190"/>
    <mergeCell ref="EP190:ER190"/>
    <mergeCell ref="EL191:EN191"/>
    <mergeCell ref="EP191:ER191"/>
    <mergeCell ref="EM192:EO192"/>
    <mergeCell ref="CH137:CL137"/>
    <mergeCell ref="CH138:CJ138"/>
    <mergeCell ref="EM228:EO228"/>
    <mergeCell ref="EQ228:ER228"/>
    <mergeCell ref="CA26:CC26"/>
    <mergeCell ref="CA32:CE32"/>
    <mergeCell ref="CA33:CC33"/>
    <mergeCell ref="CA39:CE39"/>
    <mergeCell ref="CA40:CC40"/>
    <mergeCell ref="CA46:CE46"/>
    <mergeCell ref="CA47:CC47"/>
    <mergeCell ref="CA53:CE53"/>
    <mergeCell ref="CA54:CC54"/>
    <mergeCell ref="CA60:CE60"/>
    <mergeCell ref="CA61:CC61"/>
    <mergeCell ref="CA67:CE67"/>
    <mergeCell ref="CA68:CC68"/>
    <mergeCell ref="CA74:CE74"/>
    <mergeCell ref="CA75:CC75"/>
    <mergeCell ref="CA81:CE81"/>
    <mergeCell ref="CA82:CC82"/>
    <mergeCell ref="CE63:CG63"/>
    <mergeCell ref="CF72:CG72"/>
    <mergeCell ref="CA89:CC89"/>
    <mergeCell ref="CA95:CE95"/>
    <mergeCell ref="CA96:CC96"/>
    <mergeCell ref="CA102:CE102"/>
    <mergeCell ref="CA103:CC103"/>
    <mergeCell ref="CA109:CE109"/>
    <mergeCell ref="CA110:CC110"/>
    <mergeCell ref="CA116:CE116"/>
    <mergeCell ref="CA117:CC117"/>
    <mergeCell ref="EL219:EN219"/>
    <mergeCell ref="EP219:ER219"/>
    <mergeCell ref="EM227:EO227"/>
    <mergeCell ref="EQ227:ER227"/>
    <mergeCell ref="EL204:EN204"/>
    <mergeCell ref="EP204:ER204"/>
    <mergeCell ref="EL205:EN205"/>
    <mergeCell ref="EP205:ER205"/>
    <mergeCell ref="EM206:EO206"/>
    <mergeCell ref="EQ206:ER206"/>
    <mergeCell ref="EM207:EO207"/>
    <mergeCell ref="EQ207:ER207"/>
    <mergeCell ref="EL210:EN210"/>
    <mergeCell ref="EP210:ER210"/>
    <mergeCell ref="EL211:EN211"/>
    <mergeCell ref="EP211:ER211"/>
    <mergeCell ref="EL212:EN212"/>
    <mergeCell ref="EP212:ER212"/>
    <mergeCell ref="EM213:EO213"/>
    <mergeCell ref="EQ213:ER213"/>
    <mergeCell ref="EM214:EO214"/>
    <mergeCell ref="EQ214:ER214"/>
    <mergeCell ref="EL217:EN217"/>
    <mergeCell ref="EP217:ER217"/>
    <mergeCell ref="EL218:EN218"/>
    <mergeCell ref="EP218:ER218"/>
    <mergeCell ref="CI129:CK129"/>
    <mergeCell ref="CM129:CN129"/>
    <mergeCell ref="CH133:CJ133"/>
    <mergeCell ref="CL133:CN133"/>
    <mergeCell ref="CH132:CJ132"/>
    <mergeCell ref="CL132:CN132"/>
    <mergeCell ref="CH116:CL116"/>
    <mergeCell ref="EM220:EO220"/>
    <mergeCell ref="EQ220:ER220"/>
    <mergeCell ref="EM221:EO221"/>
    <mergeCell ref="EQ221:ER221"/>
    <mergeCell ref="EL224:EN224"/>
    <mergeCell ref="EP224:ER224"/>
    <mergeCell ref="EL225:EN225"/>
    <mergeCell ref="EP225:ER225"/>
    <mergeCell ref="EL226:EN226"/>
    <mergeCell ref="EP226:ER226"/>
    <mergeCell ref="EM171:EO171"/>
    <mergeCell ref="EQ171:ER171"/>
    <mergeCell ref="EM172:EO172"/>
    <mergeCell ref="EQ172:ER172"/>
    <mergeCell ref="EL175:EN175"/>
    <mergeCell ref="EP175:ER175"/>
    <mergeCell ref="EL176:EN176"/>
    <mergeCell ref="EP176:ER176"/>
    <mergeCell ref="EL177:EN177"/>
    <mergeCell ref="EP177:ER177"/>
    <mergeCell ref="EM178:EO178"/>
    <mergeCell ref="EQ178:ER178"/>
    <mergeCell ref="EM179:EO179"/>
    <mergeCell ref="EQ179:ER179"/>
    <mergeCell ref="EL182:EN182"/>
    <mergeCell ref="CH118:CJ118"/>
    <mergeCell ref="CL118:CN118"/>
    <mergeCell ref="CH119:CJ119"/>
    <mergeCell ref="CL119:CN119"/>
    <mergeCell ref="CH120:CJ120"/>
    <mergeCell ref="CL120:CN120"/>
    <mergeCell ref="CI121:CK121"/>
    <mergeCell ref="CM121:CN121"/>
    <mergeCell ref="CI122:CK122"/>
    <mergeCell ref="CM122:CN122"/>
    <mergeCell ref="CH125:CJ125"/>
    <mergeCell ref="CL125:CN125"/>
    <mergeCell ref="CH126:CJ126"/>
    <mergeCell ref="CL126:CN126"/>
    <mergeCell ref="CH127:CJ127"/>
    <mergeCell ref="CL127:CN127"/>
    <mergeCell ref="CI128:CK128"/>
    <mergeCell ref="CM128:CN128"/>
    <mergeCell ref="CL117:CN117"/>
    <mergeCell ref="EJ158:EK158"/>
    <mergeCell ref="EE161:EG161"/>
    <mergeCell ref="EE43:EG43"/>
    <mergeCell ref="EI43:EK43"/>
    <mergeCell ref="EF44:EH44"/>
    <mergeCell ref="EJ44:EK44"/>
    <mergeCell ref="EF45:EH45"/>
    <mergeCell ref="EJ45:EK45"/>
    <mergeCell ref="EE48:EG48"/>
    <mergeCell ref="CH19:CJ19"/>
    <mergeCell ref="CH25:CL25"/>
    <mergeCell ref="CH26:CJ26"/>
    <mergeCell ref="CH32:CL32"/>
    <mergeCell ref="CH33:CJ33"/>
    <mergeCell ref="CH39:CL39"/>
    <mergeCell ref="CH40:CJ40"/>
    <mergeCell ref="CH46:CL46"/>
    <mergeCell ref="CH47:CJ47"/>
    <mergeCell ref="CH43:CJ43"/>
    <mergeCell ref="CL43:CN43"/>
    <mergeCell ref="CI44:CK44"/>
    <mergeCell ref="CM44:CN44"/>
    <mergeCell ref="CI45:CK45"/>
    <mergeCell ref="CM45:CN45"/>
    <mergeCell ref="CH48:CJ48"/>
    <mergeCell ref="CL48:CN48"/>
    <mergeCell ref="CL27:CN27"/>
    <mergeCell ref="CH28:CJ28"/>
    <mergeCell ref="CL28:CN28"/>
    <mergeCell ref="CH29:CJ29"/>
    <mergeCell ref="CL29:CN29"/>
    <mergeCell ref="CI30:CK30"/>
    <mergeCell ref="CM30:CN30"/>
    <mergeCell ref="CI31:CK31"/>
    <mergeCell ref="EE34:EG34"/>
    <mergeCell ref="EI34:EK34"/>
    <mergeCell ref="EE35:EG35"/>
    <mergeCell ref="EI35:EK35"/>
    <mergeCell ref="EE36:EG36"/>
    <mergeCell ref="EI36:EK36"/>
    <mergeCell ref="EF37:EH37"/>
    <mergeCell ref="EJ37:EK37"/>
    <mergeCell ref="EF38:EH38"/>
    <mergeCell ref="EJ38:EK38"/>
    <mergeCell ref="EE41:EG41"/>
    <mergeCell ref="EI41:EK41"/>
    <mergeCell ref="EE42:EG42"/>
    <mergeCell ref="EI42:EK42"/>
    <mergeCell ref="EE32:EI32"/>
    <mergeCell ref="EE33:EG33"/>
    <mergeCell ref="EE39:EI39"/>
    <mergeCell ref="EE40:EG40"/>
    <mergeCell ref="EI40:EK40"/>
    <mergeCell ref="CZ19:DB19"/>
    <mergeCell ref="DG19:DI19"/>
    <mergeCell ref="DN19:DP19"/>
    <mergeCell ref="EB19:ED19"/>
    <mergeCell ref="EI19:EK19"/>
    <mergeCell ref="DU19:DW19"/>
    <mergeCell ref="CZ26:DB26"/>
    <mergeCell ref="DG26:DI26"/>
    <mergeCell ref="DN26:DP26"/>
    <mergeCell ref="EB26:ED26"/>
    <mergeCell ref="EI26:EK26"/>
    <mergeCell ref="DU26:DW26"/>
    <mergeCell ref="CZ33:DB33"/>
    <mergeCell ref="EL19:EN19"/>
    <mergeCell ref="EL88:EP88"/>
    <mergeCell ref="EL89:EN89"/>
    <mergeCell ref="EL95:EP95"/>
    <mergeCell ref="EL96:EN96"/>
    <mergeCell ref="EL102:EP102"/>
    <mergeCell ref="EL103:EN103"/>
    <mergeCell ref="EL110:EN110"/>
    <mergeCell ref="EL116:EP116"/>
    <mergeCell ref="EL117:EN117"/>
    <mergeCell ref="EL123:EP123"/>
    <mergeCell ref="EL124:EN124"/>
    <mergeCell ref="EM128:EO128"/>
    <mergeCell ref="EM115:EO115"/>
    <mergeCell ref="EL104:EN104"/>
    <mergeCell ref="EP104:ER104"/>
    <mergeCell ref="EE19:EG19"/>
    <mergeCell ref="EE20:EG20"/>
    <mergeCell ref="EI20:EK20"/>
    <mergeCell ref="EE21:EG21"/>
    <mergeCell ref="EI21:EK21"/>
    <mergeCell ref="EE22:EG22"/>
    <mergeCell ref="EI22:EK22"/>
    <mergeCell ref="EF23:EH23"/>
    <mergeCell ref="EJ23:EK23"/>
    <mergeCell ref="EF24:EH24"/>
    <mergeCell ref="EJ24:EK24"/>
    <mergeCell ref="EE27:EG27"/>
    <mergeCell ref="EI27:EK27"/>
    <mergeCell ref="EE28:EG28"/>
    <mergeCell ref="EI28:EK28"/>
    <mergeCell ref="EE29:EG29"/>
    <mergeCell ref="EE46:EI46"/>
    <mergeCell ref="EE47:EG47"/>
    <mergeCell ref="EE53:EI53"/>
    <mergeCell ref="EE54:EG54"/>
    <mergeCell ref="EE56:EG56"/>
    <mergeCell ref="EI56:EK56"/>
    <mergeCell ref="EE57:EG57"/>
    <mergeCell ref="EI57:EK57"/>
    <mergeCell ref="EF58:EH58"/>
    <mergeCell ref="EJ58:EK58"/>
    <mergeCell ref="EF59:EH59"/>
    <mergeCell ref="EJ59:EK59"/>
    <mergeCell ref="EE62:EG62"/>
    <mergeCell ref="EI62:EK62"/>
    <mergeCell ref="EE63:EG63"/>
    <mergeCell ref="EI63:EK63"/>
    <mergeCell ref="EE64:EG64"/>
    <mergeCell ref="EI64:EK64"/>
    <mergeCell ref="EE60:EI60"/>
    <mergeCell ref="EE61:EG61"/>
    <mergeCell ref="EI48:EK48"/>
    <mergeCell ref="EE49:EG49"/>
    <mergeCell ref="EI49:EK49"/>
    <mergeCell ref="EE50:EG50"/>
    <mergeCell ref="EI50:EK50"/>
    <mergeCell ref="EF51:EH51"/>
    <mergeCell ref="EJ51:EK51"/>
    <mergeCell ref="EF52:EH52"/>
    <mergeCell ref="EJ52:EK52"/>
    <mergeCell ref="EE55:EG55"/>
    <mergeCell ref="EI55:EK55"/>
    <mergeCell ref="EJ65:EK65"/>
    <mergeCell ref="EF66:EH66"/>
    <mergeCell ref="EJ66:EK66"/>
    <mergeCell ref="EI75:EK75"/>
    <mergeCell ref="EI54:EK54"/>
    <mergeCell ref="EF80:EH80"/>
    <mergeCell ref="EJ80:EK80"/>
    <mergeCell ref="EE83:EG83"/>
    <mergeCell ref="EI83:EK83"/>
    <mergeCell ref="EE84:EG84"/>
    <mergeCell ref="EI84:EK84"/>
    <mergeCell ref="EE85:EG85"/>
    <mergeCell ref="EI85:EK85"/>
    <mergeCell ref="EF86:EH86"/>
    <mergeCell ref="EJ86:EK86"/>
    <mergeCell ref="EF87:EH87"/>
    <mergeCell ref="EJ87:EK87"/>
    <mergeCell ref="EE90:EG90"/>
    <mergeCell ref="EI90:EK90"/>
    <mergeCell ref="EE91:EG91"/>
    <mergeCell ref="EI91:EK91"/>
    <mergeCell ref="EI89:EK89"/>
    <mergeCell ref="EE69:EG69"/>
    <mergeCell ref="EI69:EK69"/>
    <mergeCell ref="EE70:EG70"/>
    <mergeCell ref="EI70:EK70"/>
    <mergeCell ref="EE71:EG71"/>
    <mergeCell ref="EI71:EK71"/>
    <mergeCell ref="EF72:EH72"/>
    <mergeCell ref="EJ72:EK72"/>
    <mergeCell ref="EF73:EH73"/>
    <mergeCell ref="EJ73:EK73"/>
    <mergeCell ref="EE76:EG76"/>
    <mergeCell ref="EI76:EK76"/>
    <mergeCell ref="EE77:EG77"/>
    <mergeCell ref="EI77:EK77"/>
    <mergeCell ref="EE78:EG78"/>
    <mergeCell ref="EI78:EK78"/>
    <mergeCell ref="EF79:EH79"/>
    <mergeCell ref="EJ79:EK79"/>
    <mergeCell ref="EI68:EK68"/>
    <mergeCell ref="EF65:EH65"/>
    <mergeCell ref="EI140:EK140"/>
    <mergeCell ref="EE141:EG141"/>
    <mergeCell ref="EI141:EK141"/>
    <mergeCell ref="EF142:EH142"/>
    <mergeCell ref="EJ142:EK142"/>
    <mergeCell ref="EF143:EH143"/>
    <mergeCell ref="EJ143:EK143"/>
    <mergeCell ref="EE147:EG147"/>
    <mergeCell ref="EI147:EK147"/>
    <mergeCell ref="EE148:EG148"/>
    <mergeCell ref="EI148:EK148"/>
    <mergeCell ref="EE149:EG149"/>
    <mergeCell ref="EI149:EK149"/>
    <mergeCell ref="EF150:EH150"/>
    <mergeCell ref="EJ150:EK150"/>
    <mergeCell ref="EF151:EH151"/>
    <mergeCell ref="EJ151:EK151"/>
    <mergeCell ref="EE154:EG154"/>
    <mergeCell ref="EI154:EK154"/>
    <mergeCell ref="EE155:EG155"/>
    <mergeCell ref="EI155:EK155"/>
    <mergeCell ref="EE156:EG156"/>
    <mergeCell ref="EI156:EK156"/>
    <mergeCell ref="EF157:EH157"/>
    <mergeCell ref="EJ157:EK157"/>
    <mergeCell ref="EF158:EH158"/>
    <mergeCell ref="EF94:EH94"/>
    <mergeCell ref="EJ94:EK94"/>
    <mergeCell ref="EE97:EG97"/>
    <mergeCell ref="EI97:EK97"/>
    <mergeCell ref="EE98:EG98"/>
    <mergeCell ref="EI98:EK98"/>
    <mergeCell ref="EE99:EG99"/>
    <mergeCell ref="EI99:EK99"/>
    <mergeCell ref="EF100:EH100"/>
    <mergeCell ref="EJ100:EK100"/>
    <mergeCell ref="EF101:EH101"/>
    <mergeCell ref="EJ101:EK101"/>
    <mergeCell ref="EE104:EG104"/>
    <mergeCell ref="EI104:EK104"/>
    <mergeCell ref="EE103:EG103"/>
    <mergeCell ref="EI110:EK110"/>
    <mergeCell ref="EE102:EI102"/>
    <mergeCell ref="DQ34:DS34"/>
    <mergeCell ref="DU34:DW34"/>
    <mergeCell ref="DQ35:DS35"/>
    <mergeCell ref="DU35:DW35"/>
    <mergeCell ref="DQ36:DS36"/>
    <mergeCell ref="DU36:DW36"/>
    <mergeCell ref="DR37:DT37"/>
    <mergeCell ref="DV37:DW37"/>
    <mergeCell ref="DR38:DT38"/>
    <mergeCell ref="DV38:DW38"/>
    <mergeCell ref="DQ41:DS41"/>
    <mergeCell ref="DU41:DW41"/>
    <mergeCell ref="DQ42:DS42"/>
    <mergeCell ref="EF185:EH185"/>
    <mergeCell ref="EJ185:EK185"/>
    <mergeCell ref="EE162:EG162"/>
    <mergeCell ref="EI162:EK162"/>
    <mergeCell ref="EE163:EG163"/>
    <mergeCell ref="EI163:EK163"/>
    <mergeCell ref="EF164:EH164"/>
    <mergeCell ref="EJ164:EK164"/>
    <mergeCell ref="EF165:EH165"/>
    <mergeCell ref="EJ165:EK165"/>
    <mergeCell ref="EE168:EG168"/>
    <mergeCell ref="EI168:EK168"/>
    <mergeCell ref="EE169:EG169"/>
    <mergeCell ref="EI169:EK169"/>
    <mergeCell ref="EE170:EG170"/>
    <mergeCell ref="EI170:EK170"/>
    <mergeCell ref="EE183:EG183"/>
    <mergeCell ref="EI183:EK183"/>
    <mergeCell ref="EE184:EG184"/>
    <mergeCell ref="EI161:EK161"/>
    <mergeCell ref="EF115:EH115"/>
    <mergeCell ref="EJ115:EK115"/>
    <mergeCell ref="EE118:EG118"/>
    <mergeCell ref="EI118:EK118"/>
    <mergeCell ref="EE117:EG117"/>
    <mergeCell ref="EE119:EG119"/>
    <mergeCell ref="EI119:EK119"/>
    <mergeCell ref="EE120:EG120"/>
    <mergeCell ref="EI120:EK120"/>
    <mergeCell ref="EF121:EH121"/>
    <mergeCell ref="EJ121:EK121"/>
    <mergeCell ref="EF122:EH122"/>
    <mergeCell ref="EJ122:EK122"/>
    <mergeCell ref="EE125:EG125"/>
    <mergeCell ref="EI125:EK125"/>
    <mergeCell ref="EE126:EG126"/>
    <mergeCell ref="EI126:EK126"/>
    <mergeCell ref="EE127:EG127"/>
    <mergeCell ref="EI127:EK127"/>
    <mergeCell ref="EF128:EH128"/>
    <mergeCell ref="EJ128:EK128"/>
    <mergeCell ref="EF129:EH129"/>
    <mergeCell ref="EJ129:EK129"/>
    <mergeCell ref="EE123:EI123"/>
    <mergeCell ref="EE124:EG124"/>
    <mergeCell ref="EE132:EG132"/>
    <mergeCell ref="EI132:EK132"/>
    <mergeCell ref="EE133:EG133"/>
    <mergeCell ref="EE116:EI116"/>
    <mergeCell ref="EI184:EK184"/>
    <mergeCell ref="EF136:EH136"/>
    <mergeCell ref="EE225:EG225"/>
    <mergeCell ref="EI225:EK225"/>
    <mergeCell ref="EE226:EG226"/>
    <mergeCell ref="EI226:EK226"/>
    <mergeCell ref="EF227:EH227"/>
    <mergeCell ref="EJ227:EK227"/>
    <mergeCell ref="EF228:EH228"/>
    <mergeCell ref="EJ228:EK228"/>
    <mergeCell ref="DQ19:DS19"/>
    <mergeCell ref="DQ20:DS20"/>
    <mergeCell ref="DU20:DW20"/>
    <mergeCell ref="DQ21:DS21"/>
    <mergeCell ref="DU21:DW21"/>
    <mergeCell ref="DQ22:DS22"/>
    <mergeCell ref="DU22:DW22"/>
    <mergeCell ref="DR23:DT23"/>
    <mergeCell ref="DV23:DW23"/>
    <mergeCell ref="DR24:DT24"/>
    <mergeCell ref="DV24:DW24"/>
    <mergeCell ref="DQ27:DS27"/>
    <mergeCell ref="DU27:DW27"/>
    <mergeCell ref="DQ28:DS28"/>
    <mergeCell ref="DU28:DW28"/>
    <mergeCell ref="DQ29:DS29"/>
    <mergeCell ref="DU29:DW29"/>
    <mergeCell ref="DR30:DT30"/>
    <mergeCell ref="EE210:EG210"/>
    <mergeCell ref="EI210:EK210"/>
    <mergeCell ref="EE211:EG211"/>
    <mergeCell ref="EI211:EK211"/>
    <mergeCell ref="EE212:EG212"/>
    <mergeCell ref="EI212:EK212"/>
    <mergeCell ref="EF213:EH213"/>
    <mergeCell ref="EJ213:EK213"/>
    <mergeCell ref="EF214:EH214"/>
    <mergeCell ref="EJ214:EK214"/>
    <mergeCell ref="EE217:EG217"/>
    <mergeCell ref="EI217:EK217"/>
    <mergeCell ref="EE218:EG218"/>
    <mergeCell ref="EI218:EK218"/>
    <mergeCell ref="EE219:EG219"/>
    <mergeCell ref="EI219:EK219"/>
    <mergeCell ref="EF186:EH186"/>
    <mergeCell ref="EJ186:EK186"/>
    <mergeCell ref="EE189:EG189"/>
    <mergeCell ref="EI189:EK189"/>
    <mergeCell ref="EE190:EG190"/>
    <mergeCell ref="EI190:EK190"/>
    <mergeCell ref="EE191:EG191"/>
    <mergeCell ref="EI191:EK191"/>
    <mergeCell ref="EF192:EH192"/>
    <mergeCell ref="EJ192:EK192"/>
    <mergeCell ref="EF193:EH193"/>
    <mergeCell ref="EJ193:EK193"/>
    <mergeCell ref="EE196:EG196"/>
    <mergeCell ref="EI196:EK196"/>
    <mergeCell ref="EE197:EG197"/>
    <mergeCell ref="EI197:EK197"/>
    <mergeCell ref="EE198:EG198"/>
    <mergeCell ref="EI198:EK198"/>
    <mergeCell ref="EF199:EH199"/>
    <mergeCell ref="EJ199:EK199"/>
    <mergeCell ref="EF200:EH200"/>
    <mergeCell ref="EJ200:EK200"/>
    <mergeCell ref="DU55:DW55"/>
    <mergeCell ref="DQ56:DS56"/>
    <mergeCell ref="DU56:DW56"/>
    <mergeCell ref="DQ57:DS57"/>
    <mergeCell ref="DU57:DW57"/>
    <mergeCell ref="DR58:DT58"/>
    <mergeCell ref="DV58:DW58"/>
    <mergeCell ref="DR59:DT59"/>
    <mergeCell ref="DV59:DW59"/>
    <mergeCell ref="DQ62:DS62"/>
    <mergeCell ref="DU62:DW62"/>
    <mergeCell ref="DQ63:DS63"/>
    <mergeCell ref="DU63:DW63"/>
    <mergeCell ref="DQ64:DS64"/>
    <mergeCell ref="DU64:DW64"/>
    <mergeCell ref="DU110:DW110"/>
    <mergeCell ref="DU90:DW90"/>
    <mergeCell ref="DU91:DW91"/>
    <mergeCell ref="DU92:DW92"/>
    <mergeCell ref="DV93:DW93"/>
    <mergeCell ref="DV94:DW94"/>
    <mergeCell ref="DU97:DW97"/>
    <mergeCell ref="DU98:DW98"/>
    <mergeCell ref="DU99:DW99"/>
    <mergeCell ref="DV100:DW100"/>
    <mergeCell ref="DV101:DW101"/>
    <mergeCell ref="DU105:DW105"/>
    <mergeCell ref="DU106:DW106"/>
    <mergeCell ref="EF220:EH220"/>
    <mergeCell ref="EJ220:EK220"/>
    <mergeCell ref="EF221:EH221"/>
    <mergeCell ref="EJ221:EK221"/>
    <mergeCell ref="EE224:EG224"/>
    <mergeCell ref="EI224:EK224"/>
    <mergeCell ref="EE203:EG203"/>
    <mergeCell ref="EI203:EK203"/>
    <mergeCell ref="EE204:EG204"/>
    <mergeCell ref="EI204:EK204"/>
    <mergeCell ref="EE205:EG205"/>
    <mergeCell ref="EI205:EK205"/>
    <mergeCell ref="EF206:EH206"/>
    <mergeCell ref="EJ206:EK206"/>
    <mergeCell ref="EF207:EH207"/>
    <mergeCell ref="EJ207:EK207"/>
    <mergeCell ref="EF171:EH171"/>
    <mergeCell ref="EJ171:EK171"/>
    <mergeCell ref="EF172:EH172"/>
    <mergeCell ref="EJ172:EK172"/>
    <mergeCell ref="EE175:EG175"/>
    <mergeCell ref="EI175:EK175"/>
    <mergeCell ref="EE176:EG176"/>
    <mergeCell ref="EI176:EK176"/>
    <mergeCell ref="EE177:EG177"/>
    <mergeCell ref="EI177:EK177"/>
    <mergeCell ref="EF178:EH178"/>
    <mergeCell ref="EJ178:EK178"/>
    <mergeCell ref="EF179:EH179"/>
    <mergeCell ref="EJ179:EK179"/>
    <mergeCell ref="EE182:EG182"/>
    <mergeCell ref="EI182:EK182"/>
    <mergeCell ref="EJ136:EK136"/>
    <mergeCell ref="EE139:EG139"/>
    <mergeCell ref="EI139:EK139"/>
    <mergeCell ref="EE140:EG140"/>
    <mergeCell ref="DR171:DT171"/>
    <mergeCell ref="DV171:DW171"/>
    <mergeCell ref="DR172:DT172"/>
    <mergeCell ref="DV172:DW172"/>
    <mergeCell ref="DQ112:DS112"/>
    <mergeCell ref="DU112:DW112"/>
    <mergeCell ref="DR65:DT65"/>
    <mergeCell ref="DV65:DW65"/>
    <mergeCell ref="DR66:DT66"/>
    <mergeCell ref="DV66:DW66"/>
    <mergeCell ref="DQ69:DS69"/>
    <mergeCell ref="DU69:DW69"/>
    <mergeCell ref="DQ70:DS70"/>
    <mergeCell ref="DU70:DW70"/>
    <mergeCell ref="DQ71:DS71"/>
    <mergeCell ref="DU71:DW71"/>
    <mergeCell ref="DR72:DT72"/>
    <mergeCell ref="DV72:DW72"/>
    <mergeCell ref="DR73:DT73"/>
    <mergeCell ref="DV73:DW73"/>
    <mergeCell ref="DQ76:DS76"/>
    <mergeCell ref="DU76:DW76"/>
    <mergeCell ref="DQ77:DS77"/>
    <mergeCell ref="DU77:DW77"/>
    <mergeCell ref="DQ78:DS78"/>
    <mergeCell ref="DU78:DW78"/>
    <mergeCell ref="DR79:DT79"/>
    <mergeCell ref="DV79:DW79"/>
    <mergeCell ref="DR80:DT80"/>
    <mergeCell ref="DV80:DW80"/>
    <mergeCell ref="DQ83:DS83"/>
    <mergeCell ref="DV158:DW158"/>
    <mergeCell ref="DQ161:DS161"/>
    <mergeCell ref="DU161:DW161"/>
    <mergeCell ref="DQ113:DS113"/>
    <mergeCell ref="DU113:DW113"/>
    <mergeCell ref="DR114:DT114"/>
    <mergeCell ref="DV114:DW114"/>
    <mergeCell ref="DR115:DT115"/>
    <mergeCell ref="DV115:DW115"/>
    <mergeCell ref="DQ118:DS118"/>
    <mergeCell ref="DU118:DW118"/>
    <mergeCell ref="DQ119:DS119"/>
    <mergeCell ref="DU119:DW119"/>
    <mergeCell ref="DV107:DW107"/>
    <mergeCell ref="DR108:DT108"/>
    <mergeCell ref="DV108:DW108"/>
    <mergeCell ref="DQ111:DS111"/>
    <mergeCell ref="DU111:DW111"/>
    <mergeCell ref="DU68:DW68"/>
    <mergeCell ref="DQ139:DS139"/>
    <mergeCell ref="DU139:DW139"/>
    <mergeCell ref="DQ140:DS140"/>
    <mergeCell ref="DQ82:DS82"/>
    <mergeCell ref="BT82:BV82"/>
    <mergeCell ref="BT83:BV83"/>
    <mergeCell ref="BX83:BZ83"/>
    <mergeCell ref="BT84:BV84"/>
    <mergeCell ref="BX84:BZ84"/>
    <mergeCell ref="CT79:CU79"/>
    <mergeCell ref="CP80:CR80"/>
    <mergeCell ref="CT80:CU80"/>
    <mergeCell ref="CB93:CD93"/>
    <mergeCell ref="DU155:DW155"/>
    <mergeCell ref="DQ156:DS156"/>
    <mergeCell ref="DU156:DW156"/>
    <mergeCell ref="DR157:DT157"/>
    <mergeCell ref="DV157:DW157"/>
    <mergeCell ref="DR158:DT158"/>
    <mergeCell ref="DQ162:DS162"/>
    <mergeCell ref="DU162:DW162"/>
    <mergeCell ref="DQ163:DS163"/>
    <mergeCell ref="DU163:DW163"/>
    <mergeCell ref="DR164:DT164"/>
    <mergeCell ref="DV164:DW164"/>
    <mergeCell ref="DR165:DT165"/>
    <mergeCell ref="DV165:DW165"/>
    <mergeCell ref="DQ168:DS168"/>
    <mergeCell ref="DU168:DW168"/>
    <mergeCell ref="DQ169:DS169"/>
    <mergeCell ref="DU169:DW169"/>
    <mergeCell ref="DQ170:DS170"/>
    <mergeCell ref="DU170:DW170"/>
    <mergeCell ref="CO169:CQ169"/>
    <mergeCell ref="CS169:CU169"/>
    <mergeCell ref="CI164:CK164"/>
    <mergeCell ref="CM164:CN164"/>
    <mergeCell ref="CI165:CK165"/>
    <mergeCell ref="CM165:CN165"/>
    <mergeCell ref="CH168:CJ168"/>
    <mergeCell ref="CL168:CN168"/>
    <mergeCell ref="CH169:CJ169"/>
    <mergeCell ref="CL169:CN169"/>
    <mergeCell ref="CZ163:DB163"/>
    <mergeCell ref="CW100:CY100"/>
    <mergeCell ref="DA100:DB100"/>
    <mergeCell ref="CM150:CN150"/>
    <mergeCell ref="CH134:CJ134"/>
    <mergeCell ref="CL134:CN134"/>
    <mergeCell ref="CI135:CK135"/>
    <mergeCell ref="CM135:CN135"/>
    <mergeCell ref="CH90:CJ90"/>
    <mergeCell ref="CL90:CN90"/>
    <mergeCell ref="CH91:CJ91"/>
    <mergeCell ref="CL91:CN91"/>
    <mergeCell ref="CH92:CJ92"/>
    <mergeCell ref="CV130:CZ130"/>
    <mergeCell ref="CV131:CX131"/>
    <mergeCell ref="CV137:CZ137"/>
    <mergeCell ref="CV138:CX138"/>
    <mergeCell ref="CW164:CY164"/>
    <mergeCell ref="DA164:DB164"/>
    <mergeCell ref="CB164:CD164"/>
    <mergeCell ref="CF164:CG164"/>
    <mergeCell ref="DQ89:DS89"/>
    <mergeCell ref="DQ96:DS96"/>
    <mergeCell ref="DQ103:DS103"/>
    <mergeCell ref="DQ110:DS110"/>
    <mergeCell ref="DU83:DW83"/>
    <mergeCell ref="DQ84:DS84"/>
    <mergeCell ref="DU84:DW84"/>
    <mergeCell ref="DQ85:DS85"/>
    <mergeCell ref="DU85:DW85"/>
    <mergeCell ref="DR86:DT86"/>
    <mergeCell ref="DV86:DW86"/>
    <mergeCell ref="DR87:DT87"/>
    <mergeCell ref="DV87:DW87"/>
    <mergeCell ref="BQ69:BS69"/>
    <mergeCell ref="DR135:DT135"/>
    <mergeCell ref="DQ90:DS90"/>
    <mergeCell ref="DQ88:DU88"/>
    <mergeCell ref="DQ95:DU95"/>
    <mergeCell ref="DQ102:DU102"/>
    <mergeCell ref="DQ109:DU109"/>
    <mergeCell ref="DQ116:DU116"/>
    <mergeCell ref="DQ123:DU123"/>
    <mergeCell ref="DQ130:DU130"/>
    <mergeCell ref="DQ137:DU137"/>
    <mergeCell ref="BQ105:BS105"/>
    <mergeCell ref="BM106:BO106"/>
    <mergeCell ref="BQ106:BS106"/>
    <mergeCell ref="BN107:BP107"/>
    <mergeCell ref="BR107:BS107"/>
    <mergeCell ref="BN108:BP108"/>
    <mergeCell ref="BR108:BS108"/>
    <mergeCell ref="BM111:BO111"/>
    <mergeCell ref="BQ111:BS111"/>
    <mergeCell ref="BM112:BO112"/>
    <mergeCell ref="DQ120:DS120"/>
    <mergeCell ref="DU120:DW120"/>
    <mergeCell ref="DR121:DT121"/>
    <mergeCell ref="DV121:DW121"/>
    <mergeCell ref="DR122:DT122"/>
    <mergeCell ref="DV122:DW122"/>
    <mergeCell ref="DQ125:DS125"/>
    <mergeCell ref="DU125:DW125"/>
    <mergeCell ref="DQ126:DS126"/>
    <mergeCell ref="DU126:DW126"/>
    <mergeCell ref="DQ127:DS127"/>
    <mergeCell ref="DU127:DW127"/>
    <mergeCell ref="DR128:DT128"/>
    <mergeCell ref="DV128:DW128"/>
    <mergeCell ref="DR136:DT136"/>
    <mergeCell ref="DV136:DW136"/>
    <mergeCell ref="BM97:BO97"/>
    <mergeCell ref="BQ97:BS97"/>
    <mergeCell ref="BM98:BO98"/>
    <mergeCell ref="BQ98:BS98"/>
    <mergeCell ref="BM99:BO99"/>
    <mergeCell ref="BN86:BP86"/>
    <mergeCell ref="BR86:BS86"/>
    <mergeCell ref="BN87:BP87"/>
    <mergeCell ref="BR87:BS87"/>
    <mergeCell ref="BM83:BO83"/>
    <mergeCell ref="BQ83:BS83"/>
    <mergeCell ref="BM70:BO70"/>
    <mergeCell ref="CV83:CX83"/>
    <mergeCell ref="CZ83:DB83"/>
    <mergeCell ref="DR221:DT221"/>
    <mergeCell ref="DV221:DW221"/>
    <mergeCell ref="DQ224:DS224"/>
    <mergeCell ref="DU224:DW224"/>
    <mergeCell ref="DQ225:DS225"/>
    <mergeCell ref="DU225:DW225"/>
    <mergeCell ref="DQ226:DS226"/>
    <mergeCell ref="DU226:DW226"/>
    <mergeCell ref="DR227:DT227"/>
    <mergeCell ref="DV227:DW227"/>
    <mergeCell ref="DR228:DT228"/>
    <mergeCell ref="DV228:DW228"/>
    <mergeCell ref="BM19:BO19"/>
    <mergeCell ref="BM20:BO20"/>
    <mergeCell ref="BQ20:BS20"/>
    <mergeCell ref="BM21:BO21"/>
    <mergeCell ref="BQ21:BS21"/>
    <mergeCell ref="BM22:BO22"/>
    <mergeCell ref="BQ22:BS22"/>
    <mergeCell ref="BN23:BP23"/>
    <mergeCell ref="BR23:BS23"/>
    <mergeCell ref="BN24:BP24"/>
    <mergeCell ref="BR24:BS24"/>
    <mergeCell ref="BM27:BO27"/>
    <mergeCell ref="BQ27:BS27"/>
    <mergeCell ref="BM28:BO28"/>
    <mergeCell ref="BQ28:BS28"/>
    <mergeCell ref="BM29:BO29"/>
    <mergeCell ref="DQ212:DS212"/>
    <mergeCell ref="DU212:DW212"/>
    <mergeCell ref="DR213:DT213"/>
    <mergeCell ref="DV213:DW213"/>
    <mergeCell ref="DR214:DT214"/>
    <mergeCell ref="DV214:DW214"/>
    <mergeCell ref="DQ217:DS217"/>
    <mergeCell ref="DU217:DW217"/>
    <mergeCell ref="DQ218:DS218"/>
    <mergeCell ref="DU218:DW218"/>
    <mergeCell ref="DQ197:DS197"/>
    <mergeCell ref="DU197:DW197"/>
    <mergeCell ref="DQ198:DS198"/>
    <mergeCell ref="DU198:DW198"/>
    <mergeCell ref="DR199:DT199"/>
    <mergeCell ref="DV199:DW199"/>
    <mergeCell ref="DR200:DT200"/>
    <mergeCell ref="DV200:DW200"/>
    <mergeCell ref="DQ203:DS203"/>
    <mergeCell ref="DU140:DW140"/>
    <mergeCell ref="DQ141:DS141"/>
    <mergeCell ref="DU141:DW141"/>
    <mergeCell ref="DR142:DT142"/>
    <mergeCell ref="BM63:BO63"/>
    <mergeCell ref="BQ63:BS63"/>
    <mergeCell ref="BM64:BO64"/>
    <mergeCell ref="BQ64:BS64"/>
    <mergeCell ref="BN94:BP94"/>
    <mergeCell ref="BR94:BS94"/>
    <mergeCell ref="BM84:BO84"/>
    <mergeCell ref="BQ84:BS84"/>
    <mergeCell ref="BM85:BO85"/>
    <mergeCell ref="BQ85:BS85"/>
    <mergeCell ref="BM90:BO90"/>
    <mergeCell ref="BQ113:BS113"/>
    <mergeCell ref="BN114:BP114"/>
    <mergeCell ref="CH67:CL67"/>
    <mergeCell ref="CH68:CJ68"/>
    <mergeCell ref="CH74:CL74"/>
    <mergeCell ref="CH75:CJ75"/>
    <mergeCell ref="CH88:CL88"/>
    <mergeCell ref="CL75:CN75"/>
    <mergeCell ref="CL71:CN71"/>
    <mergeCell ref="CP93:CR93"/>
    <mergeCell ref="CT93:CU93"/>
    <mergeCell ref="CP94:CR94"/>
    <mergeCell ref="CT94:CU94"/>
    <mergeCell ref="CH89:CJ89"/>
    <mergeCell ref="CS91:CU91"/>
    <mergeCell ref="BM69:BO69"/>
    <mergeCell ref="CF93:CG93"/>
    <mergeCell ref="DQ219:DS219"/>
    <mergeCell ref="DU219:DW219"/>
    <mergeCell ref="DR220:DT220"/>
    <mergeCell ref="DV220:DW220"/>
    <mergeCell ref="DQ196:DS196"/>
    <mergeCell ref="DU196:DW196"/>
    <mergeCell ref="DQ182:DS182"/>
    <mergeCell ref="DU182:DW182"/>
    <mergeCell ref="DQ183:DS183"/>
    <mergeCell ref="DU183:DW183"/>
    <mergeCell ref="DQ184:DS184"/>
    <mergeCell ref="DU184:DW184"/>
    <mergeCell ref="DV185:DW185"/>
    <mergeCell ref="DR186:DT186"/>
    <mergeCell ref="DV186:DW186"/>
    <mergeCell ref="DQ189:DS189"/>
    <mergeCell ref="DR185:DT185"/>
    <mergeCell ref="DU189:DW189"/>
    <mergeCell ref="DQ190:DS190"/>
    <mergeCell ref="DU190:DW190"/>
    <mergeCell ref="DQ191:DS191"/>
    <mergeCell ref="DU191:DW191"/>
    <mergeCell ref="DQ175:DS175"/>
    <mergeCell ref="DU175:DW175"/>
    <mergeCell ref="DQ176:DS176"/>
    <mergeCell ref="DU176:DW176"/>
    <mergeCell ref="DQ177:DS177"/>
    <mergeCell ref="DU177:DW177"/>
    <mergeCell ref="DR178:DT178"/>
    <mergeCell ref="DV178:DW178"/>
    <mergeCell ref="DR179:DT179"/>
    <mergeCell ref="DV179:DW179"/>
    <mergeCell ref="DR143:DT143"/>
    <mergeCell ref="DV143:DW143"/>
    <mergeCell ref="DU203:DW203"/>
    <mergeCell ref="DQ204:DS204"/>
    <mergeCell ref="DU204:DW204"/>
    <mergeCell ref="DQ205:DS205"/>
    <mergeCell ref="DU205:DW205"/>
    <mergeCell ref="DR206:DT206"/>
    <mergeCell ref="DV206:DW206"/>
    <mergeCell ref="DR207:DT207"/>
    <mergeCell ref="DV207:DW207"/>
    <mergeCell ref="DQ210:DS210"/>
    <mergeCell ref="DU210:DW210"/>
    <mergeCell ref="DQ211:DS211"/>
    <mergeCell ref="DU211:DW211"/>
    <mergeCell ref="DR192:DT192"/>
    <mergeCell ref="DV192:DW192"/>
    <mergeCell ref="DV193:DW193"/>
    <mergeCell ref="DQ147:DS147"/>
    <mergeCell ref="DU147:DW147"/>
    <mergeCell ref="DQ148:DS148"/>
    <mergeCell ref="DU148:DW148"/>
    <mergeCell ref="DQ149:DS149"/>
    <mergeCell ref="DU149:DW149"/>
    <mergeCell ref="DR150:DT150"/>
    <mergeCell ref="DV150:DW150"/>
    <mergeCell ref="DR151:DT151"/>
    <mergeCell ref="DV151:DW151"/>
    <mergeCell ref="DQ154:DS154"/>
    <mergeCell ref="DU154:DW154"/>
    <mergeCell ref="DQ155:DS155"/>
    <mergeCell ref="CO74:CS74"/>
    <mergeCell ref="CO75:CQ75"/>
    <mergeCell ref="CO76:CQ76"/>
    <mergeCell ref="CT73:CU73"/>
    <mergeCell ref="CS77:CU77"/>
    <mergeCell ref="CO78:CQ78"/>
    <mergeCell ref="CS78:CU78"/>
    <mergeCell ref="CM79:CN79"/>
    <mergeCell ref="CI80:CK80"/>
    <mergeCell ref="CM80:CN80"/>
    <mergeCell ref="BM71:BO71"/>
    <mergeCell ref="BQ71:BS71"/>
    <mergeCell ref="BN72:BP72"/>
    <mergeCell ref="BR72:BS72"/>
    <mergeCell ref="BN73:BP73"/>
    <mergeCell ref="BR73:BS73"/>
    <mergeCell ref="BN80:BP80"/>
    <mergeCell ref="CI79:CK79"/>
    <mergeCell ref="BX105:BZ105"/>
    <mergeCell ref="BY107:BZ107"/>
    <mergeCell ref="CL98:CN98"/>
    <mergeCell ref="CH99:CJ99"/>
    <mergeCell ref="CL99:CN99"/>
    <mergeCell ref="CI100:CK100"/>
    <mergeCell ref="BN135:BP135"/>
    <mergeCell ref="BR114:BS114"/>
    <mergeCell ref="BN115:BP115"/>
    <mergeCell ref="BR115:BS115"/>
    <mergeCell ref="BR80:BS80"/>
    <mergeCell ref="CL89:CN89"/>
    <mergeCell ref="CS89:CU89"/>
    <mergeCell ref="CE96:CG96"/>
    <mergeCell ref="BM113:BO113"/>
    <mergeCell ref="BM76:BO76"/>
    <mergeCell ref="BQ76:BS76"/>
    <mergeCell ref="BM77:BO77"/>
    <mergeCell ref="BN101:BP101"/>
    <mergeCell ref="BR101:BS101"/>
    <mergeCell ref="BM104:BO104"/>
    <mergeCell ref="BQ104:BS104"/>
    <mergeCell ref="BM105:BO105"/>
    <mergeCell ref="CE103:CG103"/>
    <mergeCell ref="CL103:CN103"/>
    <mergeCell ref="CS103:CU103"/>
    <mergeCell ref="CI114:CK114"/>
    <mergeCell ref="CM114:CN114"/>
    <mergeCell ref="CI115:CK115"/>
    <mergeCell ref="CM115:CN115"/>
    <mergeCell ref="BT118:BV118"/>
    <mergeCell ref="DV142:DW142"/>
    <mergeCell ref="EL25:EP25"/>
    <mergeCell ref="EL26:EN26"/>
    <mergeCell ref="EL32:EP32"/>
    <mergeCell ref="EL33:EN33"/>
    <mergeCell ref="EL39:EP39"/>
    <mergeCell ref="EL40:EN40"/>
    <mergeCell ref="EL46:EP46"/>
    <mergeCell ref="EL47:EN47"/>
    <mergeCell ref="EL53:EP53"/>
    <mergeCell ref="EL54:EN54"/>
    <mergeCell ref="EL60:EP60"/>
    <mergeCell ref="EL61:EN61"/>
    <mergeCell ref="EL67:EP67"/>
    <mergeCell ref="EL68:EN68"/>
    <mergeCell ref="EL74:EP74"/>
    <mergeCell ref="EL75:EN75"/>
    <mergeCell ref="EL81:EP81"/>
    <mergeCell ref="EL78:EN78"/>
    <mergeCell ref="EP78:ER78"/>
    <mergeCell ref="EM79:EO79"/>
    <mergeCell ref="EQ79:ER79"/>
    <mergeCell ref="EM80:EO80"/>
    <mergeCell ref="EQ80:ER80"/>
    <mergeCell ref="EM52:EO52"/>
    <mergeCell ref="EQ52:ER52"/>
    <mergeCell ref="EL55:EN55"/>
    <mergeCell ref="EP55:ER55"/>
    <mergeCell ref="EL56:EN56"/>
    <mergeCell ref="EP61:ER61"/>
    <mergeCell ref="EP68:ER68"/>
    <mergeCell ref="EP75:ER75"/>
    <mergeCell ref="EP56:ER56"/>
    <mergeCell ref="DQ40:DS40"/>
    <mergeCell ref="DQ47:DS47"/>
    <mergeCell ref="DQ54:DS54"/>
    <mergeCell ref="DQ61:DS61"/>
    <mergeCell ref="DQ68:DS68"/>
    <mergeCell ref="DQ75:DS75"/>
    <mergeCell ref="DQ25:DU25"/>
    <mergeCell ref="DQ32:DU32"/>
    <mergeCell ref="DQ39:DU39"/>
    <mergeCell ref="DQ46:DU46"/>
    <mergeCell ref="DQ53:DU53"/>
    <mergeCell ref="DQ60:DU60"/>
    <mergeCell ref="DQ67:DU67"/>
    <mergeCell ref="DQ74:DU74"/>
    <mergeCell ref="DQ81:DU81"/>
    <mergeCell ref="DU42:DW42"/>
    <mergeCell ref="DQ43:DS43"/>
    <mergeCell ref="DU43:DW43"/>
    <mergeCell ref="DR44:DT44"/>
    <mergeCell ref="DV44:DW44"/>
    <mergeCell ref="DR45:DT45"/>
    <mergeCell ref="DV45:DW45"/>
    <mergeCell ref="DQ48:DS48"/>
    <mergeCell ref="DU48:DW48"/>
    <mergeCell ref="DQ49:DS49"/>
    <mergeCell ref="DU49:DW49"/>
    <mergeCell ref="DQ50:DS50"/>
    <mergeCell ref="DU50:DW50"/>
    <mergeCell ref="DR51:DT51"/>
    <mergeCell ref="DV51:DW51"/>
    <mergeCell ref="DR52:DT52"/>
    <mergeCell ref="DV52:DW52"/>
    <mergeCell ref="BN228:BP228"/>
    <mergeCell ref="BR228:BS228"/>
    <mergeCell ref="BM219:BO219"/>
    <mergeCell ref="BQ219:BS219"/>
    <mergeCell ref="BQ205:BS205"/>
    <mergeCell ref="BN206:BP206"/>
    <mergeCell ref="BR206:BS206"/>
    <mergeCell ref="BM183:BO183"/>
    <mergeCell ref="BQ183:BS183"/>
    <mergeCell ref="BM184:BO184"/>
    <mergeCell ref="BQ184:BS184"/>
    <mergeCell ref="BN185:BP185"/>
    <mergeCell ref="BR185:BS185"/>
    <mergeCell ref="BN186:BP186"/>
    <mergeCell ref="BR186:BS186"/>
    <mergeCell ref="BM189:BO189"/>
    <mergeCell ref="BM212:BO212"/>
    <mergeCell ref="BQ212:BS212"/>
    <mergeCell ref="BN213:BP213"/>
    <mergeCell ref="BR213:BS213"/>
    <mergeCell ref="BN214:BP214"/>
    <mergeCell ref="BR214:BS214"/>
    <mergeCell ref="BM217:BO217"/>
    <mergeCell ref="BQ217:BS217"/>
    <mergeCell ref="BM218:BO218"/>
    <mergeCell ref="BQ218:BS218"/>
    <mergeCell ref="BM205:BO205"/>
    <mergeCell ref="BM191:BO191"/>
    <mergeCell ref="BM211:BO211"/>
    <mergeCell ref="BQ211:BS211"/>
    <mergeCell ref="DN110:DP110"/>
    <mergeCell ref="BM162:BO162"/>
    <mergeCell ref="BQ162:BS162"/>
    <mergeCell ref="BM163:BO163"/>
    <mergeCell ref="BQ163:BS163"/>
    <mergeCell ref="BN164:BP164"/>
    <mergeCell ref="BR164:BS164"/>
    <mergeCell ref="BN165:BP165"/>
    <mergeCell ref="BR165:BS165"/>
    <mergeCell ref="BM168:BO168"/>
    <mergeCell ref="BQ168:BS168"/>
    <mergeCell ref="BM169:BO169"/>
    <mergeCell ref="BQ169:BS169"/>
    <mergeCell ref="BQ189:BS189"/>
    <mergeCell ref="BM147:BO147"/>
    <mergeCell ref="BQ147:BS147"/>
    <mergeCell ref="BM148:BO148"/>
    <mergeCell ref="BQ148:BS148"/>
    <mergeCell ref="BM149:BO149"/>
    <mergeCell ref="BQ149:BS149"/>
    <mergeCell ref="BN150:BP150"/>
    <mergeCell ref="BR150:BS150"/>
    <mergeCell ref="BM141:BO141"/>
    <mergeCell ref="BQ141:BS141"/>
    <mergeCell ref="BN142:BP142"/>
    <mergeCell ref="BR142:BS142"/>
    <mergeCell ref="BN143:BP143"/>
    <mergeCell ref="BR143:BS143"/>
    <mergeCell ref="CI136:CK136"/>
    <mergeCell ref="BN151:BP151"/>
    <mergeCell ref="CO168:CQ168"/>
    <mergeCell ref="CS168:CU168"/>
    <mergeCell ref="BN220:BP220"/>
    <mergeCell ref="BR220:BS220"/>
    <mergeCell ref="BR221:BS221"/>
    <mergeCell ref="BM224:BO224"/>
    <mergeCell ref="BQ224:BS224"/>
    <mergeCell ref="BM225:BO225"/>
    <mergeCell ref="BQ225:BS225"/>
    <mergeCell ref="EE130:EI130"/>
    <mergeCell ref="EE131:EG131"/>
    <mergeCell ref="EE137:EI137"/>
    <mergeCell ref="EE138:EG138"/>
    <mergeCell ref="EE67:EI67"/>
    <mergeCell ref="EE68:EG68"/>
    <mergeCell ref="EE74:EI74"/>
    <mergeCell ref="EE75:EG75"/>
    <mergeCell ref="EE81:EI81"/>
    <mergeCell ref="EE82:EG82"/>
    <mergeCell ref="EE88:EI88"/>
    <mergeCell ref="EE89:EG89"/>
    <mergeCell ref="EE95:EI95"/>
    <mergeCell ref="EE96:EG96"/>
    <mergeCell ref="ES46:EW46"/>
    <mergeCell ref="ES47:EU47"/>
    <mergeCell ref="ES53:EW53"/>
    <mergeCell ref="ES54:EU54"/>
    <mergeCell ref="ES60:EW60"/>
    <mergeCell ref="ES57:EU57"/>
    <mergeCell ref="EW57:EY57"/>
    <mergeCell ref="ET58:EV58"/>
    <mergeCell ref="EX58:EY58"/>
    <mergeCell ref="ET59:EV59"/>
    <mergeCell ref="EX59:EY59"/>
    <mergeCell ref="ES62:EU62"/>
    <mergeCell ref="EW62:EY62"/>
    <mergeCell ref="ES63:EU63"/>
    <mergeCell ref="EW63:EY63"/>
    <mergeCell ref="ES64:EU64"/>
    <mergeCell ref="EW64:EY64"/>
    <mergeCell ref="ES61:EU61"/>
    <mergeCell ref="ES78:EU78"/>
    <mergeCell ref="EW78:EY78"/>
    <mergeCell ref="ET79:EV79"/>
    <mergeCell ref="EX79:EY79"/>
    <mergeCell ref="ET80:EV80"/>
    <mergeCell ref="EX80:EY80"/>
    <mergeCell ref="ES83:EU83"/>
    <mergeCell ref="EW83:EY83"/>
    <mergeCell ref="ES84:EU84"/>
    <mergeCell ref="EW84:EY84"/>
    <mergeCell ref="ES85:EU85"/>
    <mergeCell ref="EW85:EY85"/>
    <mergeCell ref="ET86:EV86"/>
    <mergeCell ref="EX86:EY86"/>
    <mergeCell ref="DQ117:DS117"/>
    <mergeCell ref="DQ124:DS124"/>
    <mergeCell ref="DQ131:DS131"/>
    <mergeCell ref="DQ138:DS138"/>
    <mergeCell ref="DR129:DT129"/>
    <mergeCell ref="DQ132:DS132"/>
    <mergeCell ref="DQ133:DS133"/>
    <mergeCell ref="DQ134:DS134"/>
    <mergeCell ref="BR151:BS151"/>
    <mergeCell ref="BM154:BO154"/>
    <mergeCell ref="ET87:EV87"/>
    <mergeCell ref="EX87:EY87"/>
    <mergeCell ref="DR193:DT193"/>
    <mergeCell ref="ES19:EU19"/>
    <mergeCell ref="ES20:EU20"/>
    <mergeCell ref="EW20:EY20"/>
    <mergeCell ref="ES21:EU21"/>
    <mergeCell ref="EW21:EY21"/>
    <mergeCell ref="ES22:EU22"/>
    <mergeCell ref="EW22:EY22"/>
    <mergeCell ref="ET23:EV23"/>
    <mergeCell ref="EX23:EY23"/>
    <mergeCell ref="ET24:EV24"/>
    <mergeCell ref="EX24:EY24"/>
    <mergeCell ref="ES27:EU27"/>
    <mergeCell ref="EW27:EY27"/>
    <mergeCell ref="ES28:EU28"/>
    <mergeCell ref="EW28:EY28"/>
    <mergeCell ref="ES29:EU29"/>
    <mergeCell ref="EW29:EY29"/>
    <mergeCell ref="ET30:EV30"/>
    <mergeCell ref="EX30:EY30"/>
    <mergeCell ref="ET31:EV31"/>
    <mergeCell ref="EX31:EY31"/>
    <mergeCell ref="ES34:EU34"/>
    <mergeCell ref="EW34:EY34"/>
    <mergeCell ref="ES35:EU35"/>
    <mergeCell ref="EW35:EY35"/>
    <mergeCell ref="ES36:EU36"/>
    <mergeCell ref="EW36:EY36"/>
    <mergeCell ref="ET52:EV52"/>
    <mergeCell ref="EX52:EY52"/>
    <mergeCell ref="ES55:EU55"/>
    <mergeCell ref="EW55:EY55"/>
    <mergeCell ref="ES56:EU56"/>
    <mergeCell ref="EW56:EY56"/>
    <mergeCell ref="ET37:EV37"/>
    <mergeCell ref="EX37:EY37"/>
    <mergeCell ref="ET38:EV38"/>
    <mergeCell ref="EX38:EY38"/>
    <mergeCell ref="ES41:EU41"/>
    <mergeCell ref="EW41:EY41"/>
    <mergeCell ref="ES32:EW32"/>
    <mergeCell ref="ES33:EU33"/>
    <mergeCell ref="ES39:EW39"/>
    <mergeCell ref="ES40:EU40"/>
    <mergeCell ref="ES25:EW25"/>
    <mergeCell ref="ES26:EU26"/>
    <mergeCell ref="ES42:EU42"/>
    <mergeCell ref="EW42:EY42"/>
    <mergeCell ref="ES43:EU43"/>
    <mergeCell ref="EW43:EY43"/>
    <mergeCell ref="ET44:EV44"/>
    <mergeCell ref="EX44:EY44"/>
    <mergeCell ref="ET45:EV45"/>
    <mergeCell ref="EX45:EY45"/>
    <mergeCell ref="ES48:EU48"/>
    <mergeCell ref="EW48:EY48"/>
    <mergeCell ref="ES49:EU49"/>
    <mergeCell ref="EW49:EY49"/>
    <mergeCell ref="ES50:EU50"/>
    <mergeCell ref="EW50:EY50"/>
    <mergeCell ref="ET51:EV51"/>
    <mergeCell ref="EX51:EY51"/>
    <mergeCell ref="EW19:EY19"/>
    <mergeCell ref="ET100:EV100"/>
    <mergeCell ref="EX100:EY100"/>
    <mergeCell ref="ET101:EV101"/>
    <mergeCell ref="EX101:EY101"/>
    <mergeCell ref="ES104:EU104"/>
    <mergeCell ref="EW104:EY104"/>
    <mergeCell ref="ES105:EU105"/>
    <mergeCell ref="EW105:EY105"/>
    <mergeCell ref="ES106:EU106"/>
    <mergeCell ref="EW106:EY106"/>
    <mergeCell ref="ET107:EV107"/>
    <mergeCell ref="EX107:EY107"/>
    <mergeCell ref="ET108:EV108"/>
    <mergeCell ref="EX108:EY108"/>
    <mergeCell ref="ET65:EV65"/>
    <mergeCell ref="EX65:EY65"/>
    <mergeCell ref="ET66:EV66"/>
    <mergeCell ref="EX66:EY66"/>
    <mergeCell ref="ES69:EU69"/>
    <mergeCell ref="EW69:EY69"/>
    <mergeCell ref="ES70:EU70"/>
    <mergeCell ref="EW70:EY70"/>
    <mergeCell ref="ES71:EU71"/>
    <mergeCell ref="EW71:EY71"/>
    <mergeCell ref="ET72:EV72"/>
    <mergeCell ref="EX72:EY72"/>
    <mergeCell ref="ET73:EV73"/>
    <mergeCell ref="EX73:EY73"/>
    <mergeCell ref="ES76:EU76"/>
    <mergeCell ref="EW76:EY76"/>
    <mergeCell ref="ES77:EU77"/>
    <mergeCell ref="EW77:EY77"/>
    <mergeCell ref="ES90:EU90"/>
    <mergeCell ref="EW90:EY90"/>
    <mergeCell ref="ES91:EU91"/>
    <mergeCell ref="EW91:EY91"/>
    <mergeCell ref="ES92:EU92"/>
    <mergeCell ref="EW92:EY92"/>
    <mergeCell ref="ET93:EV93"/>
    <mergeCell ref="EX93:EY93"/>
    <mergeCell ref="ET94:EV94"/>
    <mergeCell ref="EX94:EY94"/>
    <mergeCell ref="ES97:EU97"/>
    <mergeCell ref="EW97:EY97"/>
    <mergeCell ref="ES98:EU98"/>
    <mergeCell ref="EW98:EY98"/>
    <mergeCell ref="ES99:EU99"/>
    <mergeCell ref="EW99:EY99"/>
    <mergeCell ref="ES89:EU89"/>
    <mergeCell ref="ES95:EW95"/>
    <mergeCell ref="ES96:EU96"/>
    <mergeCell ref="EW89:EY89"/>
    <mergeCell ref="ES119:EU119"/>
    <mergeCell ref="EW119:EY119"/>
    <mergeCell ref="ES120:EU120"/>
    <mergeCell ref="EW120:EY120"/>
    <mergeCell ref="ET121:EV121"/>
    <mergeCell ref="EX121:EY121"/>
    <mergeCell ref="ET122:EV122"/>
    <mergeCell ref="EX122:EY122"/>
    <mergeCell ref="ES116:EW116"/>
    <mergeCell ref="ES123:EW123"/>
    <mergeCell ref="ES124:EU124"/>
    <mergeCell ref="ES125:EU125"/>
    <mergeCell ref="EW125:EY125"/>
    <mergeCell ref="ES126:EU126"/>
    <mergeCell ref="EW126:EY126"/>
    <mergeCell ref="ES127:EU127"/>
    <mergeCell ref="EW127:EY127"/>
    <mergeCell ref="ES111:EU111"/>
    <mergeCell ref="EW111:EY111"/>
    <mergeCell ref="ES112:EU112"/>
    <mergeCell ref="EW112:EY112"/>
    <mergeCell ref="ES102:EW102"/>
    <mergeCell ref="ES103:EU103"/>
    <mergeCell ref="ES109:EW109"/>
    <mergeCell ref="ES110:EU110"/>
    <mergeCell ref="ES113:EU113"/>
    <mergeCell ref="EW113:EY113"/>
    <mergeCell ref="ET114:EV114"/>
    <mergeCell ref="EX114:EY114"/>
    <mergeCell ref="ET115:EV115"/>
    <mergeCell ref="EX115:EY115"/>
    <mergeCell ref="ES117:EU117"/>
    <mergeCell ref="ES118:EU118"/>
    <mergeCell ref="EW118:EY118"/>
    <mergeCell ref="EW117:EY117"/>
    <mergeCell ref="EW124:EY124"/>
    <mergeCell ref="ES138:EU138"/>
    <mergeCell ref="ES139:EU139"/>
    <mergeCell ref="EW139:EY139"/>
    <mergeCell ref="ES140:EU140"/>
    <mergeCell ref="EW140:EY140"/>
    <mergeCell ref="ES141:EU141"/>
    <mergeCell ref="EW141:EY141"/>
    <mergeCell ref="ET142:EV142"/>
    <mergeCell ref="EX142:EY142"/>
    <mergeCell ref="ET143:EV143"/>
    <mergeCell ref="EX143:EY143"/>
    <mergeCell ref="ES147:EU147"/>
    <mergeCell ref="EW147:EY147"/>
    <mergeCell ref="ES148:EU148"/>
    <mergeCell ref="EW148:EY148"/>
    <mergeCell ref="ES149:EU149"/>
    <mergeCell ref="EW149:EY149"/>
    <mergeCell ref="EW138:EY138"/>
    <mergeCell ref="ET128:EV128"/>
    <mergeCell ref="EX128:EY128"/>
    <mergeCell ref="ET129:EV129"/>
    <mergeCell ref="EX129:EY129"/>
    <mergeCell ref="ES130:EW130"/>
    <mergeCell ref="ES131:EU131"/>
    <mergeCell ref="ES132:EU132"/>
    <mergeCell ref="EW132:EY132"/>
    <mergeCell ref="ES133:EU133"/>
    <mergeCell ref="EW133:EY133"/>
    <mergeCell ref="ES134:EU134"/>
    <mergeCell ref="EW134:EY134"/>
    <mergeCell ref="ET135:EV135"/>
    <mergeCell ref="EX135:EY135"/>
    <mergeCell ref="ET136:EV136"/>
    <mergeCell ref="EX136:EY136"/>
    <mergeCell ref="ES137:EW137"/>
    <mergeCell ref="EW131:EY131"/>
    <mergeCell ref="EW182:EY182"/>
    <mergeCell ref="ES183:EU183"/>
    <mergeCell ref="EW183:EY183"/>
    <mergeCell ref="ET192:EV192"/>
    <mergeCell ref="EX192:EY192"/>
    <mergeCell ref="ET193:EV193"/>
    <mergeCell ref="EX193:EY193"/>
    <mergeCell ref="ES226:EU226"/>
    <mergeCell ref="EW226:EY226"/>
    <mergeCell ref="ET150:EV150"/>
    <mergeCell ref="EX150:EY150"/>
    <mergeCell ref="ET151:EV151"/>
    <mergeCell ref="EX151:EY151"/>
    <mergeCell ref="ES154:EU154"/>
    <mergeCell ref="EW154:EY154"/>
    <mergeCell ref="ES155:EU155"/>
    <mergeCell ref="EW155:EY155"/>
    <mergeCell ref="ES156:EU156"/>
    <mergeCell ref="EW156:EY156"/>
    <mergeCell ref="ET157:EV157"/>
    <mergeCell ref="EX157:EY157"/>
    <mergeCell ref="ET158:EV158"/>
    <mergeCell ref="EX158:EY158"/>
    <mergeCell ref="ES161:EU161"/>
    <mergeCell ref="EW161:EY161"/>
    <mergeCell ref="ES162:EU162"/>
    <mergeCell ref="EW162:EY162"/>
    <mergeCell ref="ES163:EU163"/>
    <mergeCell ref="EW163:EY163"/>
    <mergeCell ref="ET164:EV164"/>
    <mergeCell ref="EX164:EY164"/>
    <mergeCell ref="ET165:EV165"/>
    <mergeCell ref="EX165:EY165"/>
    <mergeCell ref="ES168:EU168"/>
    <mergeCell ref="EW168:EY168"/>
    <mergeCell ref="ES225:EU225"/>
    <mergeCell ref="EW225:EY225"/>
    <mergeCell ref="ET213:EV213"/>
    <mergeCell ref="EX213:EY213"/>
    <mergeCell ref="EX214:EY214"/>
    <mergeCell ref="ES217:EU217"/>
    <mergeCell ref="EW217:EY217"/>
    <mergeCell ref="ES218:EU218"/>
    <mergeCell ref="EW218:EY218"/>
    <mergeCell ref="ET221:EV221"/>
    <mergeCell ref="EX221:EY221"/>
    <mergeCell ref="ES224:EU224"/>
    <mergeCell ref="EW224:EY224"/>
    <mergeCell ref="EX207:EY207"/>
    <mergeCell ref="ES184:EU184"/>
    <mergeCell ref="EW184:EY184"/>
    <mergeCell ref="ET185:EV185"/>
    <mergeCell ref="EX185:EY185"/>
    <mergeCell ref="ET186:EV186"/>
    <mergeCell ref="EX186:EY186"/>
    <mergeCell ref="ES189:EU189"/>
    <mergeCell ref="EW189:EY189"/>
    <mergeCell ref="ES190:EU190"/>
    <mergeCell ref="EW190:EY190"/>
    <mergeCell ref="ES191:EU191"/>
    <mergeCell ref="EW191:EY191"/>
    <mergeCell ref="ET214:EV214"/>
    <mergeCell ref="ET207:EV207"/>
    <mergeCell ref="ES212:EU212"/>
    <mergeCell ref="EZ55:FB55"/>
    <mergeCell ref="FD55:FF55"/>
    <mergeCell ref="EZ56:FB56"/>
    <mergeCell ref="FD71:FF71"/>
    <mergeCell ref="FA107:FC107"/>
    <mergeCell ref="FE107:FF107"/>
    <mergeCell ref="FA108:FC108"/>
    <mergeCell ref="EZ111:FB111"/>
    <mergeCell ref="FD111:FF111"/>
    <mergeCell ref="EZ112:FB112"/>
    <mergeCell ref="FA72:FC72"/>
    <mergeCell ref="FE72:FF72"/>
    <mergeCell ref="FA73:FC73"/>
    <mergeCell ref="FE73:FF73"/>
    <mergeCell ref="EZ76:FB76"/>
    <mergeCell ref="FD76:FF76"/>
    <mergeCell ref="EZ77:FB77"/>
    <mergeCell ref="FD77:FF77"/>
    <mergeCell ref="EZ78:FB78"/>
    <mergeCell ref="FD78:FF78"/>
    <mergeCell ref="FE94:FF94"/>
    <mergeCell ref="EZ97:FB97"/>
    <mergeCell ref="FD97:FF97"/>
    <mergeCell ref="EZ98:FB98"/>
    <mergeCell ref="FD98:FF98"/>
    <mergeCell ref="EZ99:FB99"/>
    <mergeCell ref="FD99:FF99"/>
    <mergeCell ref="FA100:FC100"/>
    <mergeCell ref="FE100:FF100"/>
    <mergeCell ref="FA101:FC101"/>
    <mergeCell ref="FE101:FF101"/>
    <mergeCell ref="EZ104:FB104"/>
    <mergeCell ref="FD104:FF104"/>
    <mergeCell ref="EZ105:FB105"/>
    <mergeCell ref="FD105:FF105"/>
    <mergeCell ref="EZ106:FB106"/>
    <mergeCell ref="FD106:FF106"/>
    <mergeCell ref="FD62:FF62"/>
    <mergeCell ref="EZ70:FB70"/>
    <mergeCell ref="FD70:FF70"/>
    <mergeCell ref="FD110:FF110"/>
    <mergeCell ref="ET227:EV227"/>
    <mergeCell ref="EX227:EY227"/>
    <mergeCell ref="ET228:EV228"/>
    <mergeCell ref="EX228:EY228"/>
    <mergeCell ref="EZ19:FB19"/>
    <mergeCell ref="EZ20:FB20"/>
    <mergeCell ref="FD20:FF20"/>
    <mergeCell ref="EZ21:FB21"/>
    <mergeCell ref="FD21:FF21"/>
    <mergeCell ref="EZ22:FB22"/>
    <mergeCell ref="FD22:FF22"/>
    <mergeCell ref="FA23:FC23"/>
    <mergeCell ref="FE23:FF23"/>
    <mergeCell ref="FA24:FC24"/>
    <mergeCell ref="FE24:FF24"/>
    <mergeCell ref="EZ27:FB27"/>
    <mergeCell ref="FD27:FF27"/>
    <mergeCell ref="EZ28:FB28"/>
    <mergeCell ref="FD28:FF28"/>
    <mergeCell ref="EZ29:FB29"/>
    <mergeCell ref="FD29:FF29"/>
    <mergeCell ref="FA30:FC30"/>
    <mergeCell ref="FE30:FF30"/>
    <mergeCell ref="FA31:FC31"/>
    <mergeCell ref="ES210:EU210"/>
    <mergeCell ref="EW210:EY210"/>
    <mergeCell ref="ES211:EU211"/>
    <mergeCell ref="EW211:EY211"/>
    <mergeCell ref="FD69:FF69"/>
    <mergeCell ref="EZ61:FB61"/>
    <mergeCell ref="EZ67:FD67"/>
    <mergeCell ref="EZ36:FB36"/>
    <mergeCell ref="EZ90:FB90"/>
    <mergeCell ref="FD90:FF90"/>
    <mergeCell ref="EZ91:FB91"/>
    <mergeCell ref="FA44:FC44"/>
    <mergeCell ref="FE44:FF44"/>
    <mergeCell ref="FA45:FC45"/>
    <mergeCell ref="FE45:FF45"/>
    <mergeCell ref="EZ48:FB48"/>
    <mergeCell ref="FD48:FF48"/>
    <mergeCell ref="EZ49:FB49"/>
    <mergeCell ref="FD49:FF49"/>
    <mergeCell ref="ES219:EU219"/>
    <mergeCell ref="EW219:EY219"/>
    <mergeCell ref="ET220:EV220"/>
    <mergeCell ref="EX220:EY220"/>
    <mergeCell ref="ES197:EU197"/>
    <mergeCell ref="EW197:EY197"/>
    <mergeCell ref="EZ62:FB62"/>
    <mergeCell ref="ES198:EU198"/>
    <mergeCell ref="EW198:EY198"/>
    <mergeCell ref="ET199:EV199"/>
    <mergeCell ref="EX199:EY199"/>
    <mergeCell ref="ET200:EV200"/>
    <mergeCell ref="EX200:EY200"/>
    <mergeCell ref="ES203:EU203"/>
    <mergeCell ref="EW203:EY203"/>
    <mergeCell ref="ES204:EU204"/>
    <mergeCell ref="EW204:EY204"/>
    <mergeCell ref="ES205:EU205"/>
    <mergeCell ref="EW205:EY205"/>
    <mergeCell ref="ET206:EV206"/>
    <mergeCell ref="EX206:EY206"/>
    <mergeCell ref="EW212:EY212"/>
    <mergeCell ref="EZ71:FB71"/>
    <mergeCell ref="EZ68:FB68"/>
    <mergeCell ref="ES169:EU169"/>
    <mergeCell ref="EW169:EY169"/>
    <mergeCell ref="ES170:EU170"/>
    <mergeCell ref="EW170:EY170"/>
    <mergeCell ref="ES196:EU196"/>
    <mergeCell ref="EW196:EY196"/>
    <mergeCell ref="ET171:EV171"/>
    <mergeCell ref="EX171:EY171"/>
    <mergeCell ref="ET172:EV172"/>
    <mergeCell ref="EX172:EY172"/>
    <mergeCell ref="ES175:EU175"/>
    <mergeCell ref="EW175:EY175"/>
    <mergeCell ref="ES176:EU176"/>
    <mergeCell ref="EW176:EY176"/>
    <mergeCell ref="ES177:EU177"/>
    <mergeCell ref="EW177:EY177"/>
    <mergeCell ref="ET178:EV178"/>
    <mergeCell ref="EX178:EY178"/>
    <mergeCell ref="ET179:EV179"/>
    <mergeCell ref="EX179:EY179"/>
    <mergeCell ref="ES182:EU182"/>
    <mergeCell ref="FA142:FC142"/>
    <mergeCell ref="FE142:FF142"/>
    <mergeCell ref="FA143:FC143"/>
    <mergeCell ref="FE143:FF143"/>
    <mergeCell ref="EZ138:FB138"/>
    <mergeCell ref="FD112:FF112"/>
    <mergeCell ref="EZ113:FB113"/>
    <mergeCell ref="FD113:FF113"/>
    <mergeCell ref="FA114:FC114"/>
    <mergeCell ref="FE114:FF114"/>
    <mergeCell ref="FA115:FC115"/>
    <mergeCell ref="FE115:FF115"/>
    <mergeCell ref="EZ118:FB118"/>
    <mergeCell ref="FD118:FF118"/>
    <mergeCell ref="EZ119:FB119"/>
    <mergeCell ref="FD119:FF119"/>
    <mergeCell ref="EZ189:FB189"/>
    <mergeCell ref="FD189:FF189"/>
    <mergeCell ref="EZ190:FB190"/>
    <mergeCell ref="FD190:FF190"/>
    <mergeCell ref="EZ191:FB191"/>
    <mergeCell ref="FD191:FF191"/>
    <mergeCell ref="FA192:FC192"/>
    <mergeCell ref="FE192:FF192"/>
    <mergeCell ref="FA193:FC193"/>
    <mergeCell ref="FE193:FF193"/>
    <mergeCell ref="EZ196:FB196"/>
    <mergeCell ref="FD196:FF196"/>
    <mergeCell ref="EZ120:FB120"/>
    <mergeCell ref="FD120:FF120"/>
    <mergeCell ref="FA121:FC121"/>
    <mergeCell ref="FE121:FF121"/>
    <mergeCell ref="FA122:FC122"/>
    <mergeCell ref="FE122:FF122"/>
    <mergeCell ref="EZ125:FB125"/>
    <mergeCell ref="FD125:FF125"/>
    <mergeCell ref="EZ126:FB126"/>
    <mergeCell ref="FD126:FF126"/>
    <mergeCell ref="EZ127:FB127"/>
    <mergeCell ref="FD127:FF127"/>
    <mergeCell ref="FA129:FC129"/>
    <mergeCell ref="FE129:FF129"/>
    <mergeCell ref="EZ132:FB132"/>
    <mergeCell ref="FD132:FF132"/>
    <mergeCell ref="EZ147:FB147"/>
    <mergeCell ref="FD147:FF147"/>
    <mergeCell ref="EZ176:FB176"/>
    <mergeCell ref="FD176:FF176"/>
    <mergeCell ref="EZ177:FB177"/>
    <mergeCell ref="FD177:FF177"/>
    <mergeCell ref="FA178:FC178"/>
    <mergeCell ref="FE178:FF178"/>
    <mergeCell ref="FA179:FC179"/>
    <mergeCell ref="FE179:FF179"/>
    <mergeCell ref="EZ182:FB182"/>
    <mergeCell ref="FD182:FF182"/>
    <mergeCell ref="EZ183:FB183"/>
    <mergeCell ref="FD183:FF183"/>
    <mergeCell ref="EZ184:FB184"/>
    <mergeCell ref="FD184:FF184"/>
    <mergeCell ref="FA185:FC185"/>
    <mergeCell ref="FE185:FF185"/>
    <mergeCell ref="FA186:FC186"/>
    <mergeCell ref="FE186:FF186"/>
    <mergeCell ref="EZ163:FB163"/>
    <mergeCell ref="FD163:FF163"/>
    <mergeCell ref="EZ170:FB170"/>
    <mergeCell ref="FD170:FF170"/>
    <mergeCell ref="FA171:FC171"/>
    <mergeCell ref="FE171:FF171"/>
    <mergeCell ref="FA172:FC172"/>
    <mergeCell ref="EZ133:FB133"/>
    <mergeCell ref="FD133:FF133"/>
    <mergeCell ref="EZ134:FB134"/>
    <mergeCell ref="FD134:FF134"/>
    <mergeCell ref="FA135:FC135"/>
    <mergeCell ref="FE135:FF135"/>
    <mergeCell ref="FA136:FC136"/>
    <mergeCell ref="FE136:FF136"/>
    <mergeCell ref="FD138:FF138"/>
    <mergeCell ref="EZ219:FB219"/>
    <mergeCell ref="FD219:FF219"/>
    <mergeCell ref="FA220:FC220"/>
    <mergeCell ref="FE220:FF220"/>
    <mergeCell ref="EZ197:FB197"/>
    <mergeCell ref="FD197:FF197"/>
    <mergeCell ref="EZ198:FB198"/>
    <mergeCell ref="FD198:FF198"/>
    <mergeCell ref="FE172:FF172"/>
    <mergeCell ref="EZ175:FB175"/>
    <mergeCell ref="FD175:FF175"/>
    <mergeCell ref="EZ210:FB210"/>
    <mergeCell ref="FD210:FF210"/>
    <mergeCell ref="EZ211:FB211"/>
    <mergeCell ref="FD211:FF211"/>
    <mergeCell ref="EZ212:FB212"/>
    <mergeCell ref="FD212:FF212"/>
    <mergeCell ref="FA213:FC213"/>
    <mergeCell ref="FE213:FF213"/>
    <mergeCell ref="FA214:FC214"/>
    <mergeCell ref="FE214:FF214"/>
    <mergeCell ref="EZ217:FB217"/>
    <mergeCell ref="FD217:FF217"/>
    <mergeCell ref="EZ218:FB218"/>
    <mergeCell ref="FD218:FF218"/>
    <mergeCell ref="FA164:FC164"/>
    <mergeCell ref="FE164:FF164"/>
    <mergeCell ref="FA165:FC165"/>
    <mergeCell ref="FE165:FF165"/>
    <mergeCell ref="EZ168:FB168"/>
    <mergeCell ref="FD168:FF168"/>
    <mergeCell ref="EZ169:FB169"/>
    <mergeCell ref="FD169:FF169"/>
    <mergeCell ref="FV30:FX30"/>
    <mergeCell ref="FE59:FF59"/>
    <mergeCell ref="FD56:FF56"/>
    <mergeCell ref="FE31:FF31"/>
    <mergeCell ref="EZ34:FB34"/>
    <mergeCell ref="FD34:FF34"/>
    <mergeCell ref="EZ35:FB35"/>
    <mergeCell ref="FD35:FF35"/>
    <mergeCell ref="EZ63:FB63"/>
    <mergeCell ref="FD63:FF63"/>
    <mergeCell ref="EZ64:FB64"/>
    <mergeCell ref="FD64:FF64"/>
    <mergeCell ref="FA65:FC65"/>
    <mergeCell ref="FE65:FF65"/>
    <mergeCell ref="FA66:FC66"/>
    <mergeCell ref="FE66:FF66"/>
    <mergeCell ref="FR139:FT139"/>
    <mergeCell ref="FN140:FP140"/>
    <mergeCell ref="FR140:FT140"/>
    <mergeCell ref="FN141:FP141"/>
    <mergeCell ref="FR141:FT141"/>
    <mergeCell ref="FN62:FP62"/>
    <mergeCell ref="FN97:FP97"/>
    <mergeCell ref="FR97:FT97"/>
    <mergeCell ref="FS59:FT59"/>
    <mergeCell ref="FO52:FQ52"/>
    <mergeCell ref="FS52:FT52"/>
    <mergeCell ref="FN55:FP55"/>
    <mergeCell ref="FR55:FT55"/>
    <mergeCell ref="FN56:FP56"/>
    <mergeCell ref="FR56:FT56"/>
    <mergeCell ref="FN57:FP57"/>
    <mergeCell ref="EZ139:FB139"/>
    <mergeCell ref="FD139:FF139"/>
    <mergeCell ref="EZ140:FB140"/>
    <mergeCell ref="FD140:FF140"/>
    <mergeCell ref="EZ141:FB141"/>
    <mergeCell ref="FD141:FF141"/>
    <mergeCell ref="FA79:FC79"/>
    <mergeCell ref="FE79:FF79"/>
    <mergeCell ref="FA80:FC80"/>
    <mergeCell ref="FE80:FF80"/>
    <mergeCell ref="EZ74:FD74"/>
    <mergeCell ref="EZ75:FB75"/>
    <mergeCell ref="EZ83:FB83"/>
    <mergeCell ref="FD83:FF83"/>
    <mergeCell ref="EZ84:FB84"/>
    <mergeCell ref="FD84:FF84"/>
    <mergeCell ref="EZ85:FB85"/>
    <mergeCell ref="FD85:FF85"/>
    <mergeCell ref="FA86:FC86"/>
    <mergeCell ref="FE86:FF86"/>
    <mergeCell ref="FA87:FC87"/>
    <mergeCell ref="FE87:FF87"/>
    <mergeCell ref="FA94:FC94"/>
    <mergeCell ref="FU63:FW63"/>
    <mergeCell ref="FU116:FY116"/>
    <mergeCell ref="FU91:FW91"/>
    <mergeCell ref="FY91:GA91"/>
    <mergeCell ref="FU92:FW92"/>
    <mergeCell ref="FY92:GA92"/>
    <mergeCell ref="FV93:FX93"/>
    <mergeCell ref="FZ93:GA93"/>
    <mergeCell ref="FY112:GA112"/>
    <mergeCell ref="FY50:GA50"/>
    <mergeCell ref="FV51:FX51"/>
    <mergeCell ref="FZ51:GA51"/>
    <mergeCell ref="FU46:FY46"/>
    <mergeCell ref="FU47:FW47"/>
    <mergeCell ref="FU53:FY53"/>
    <mergeCell ref="FU54:FW54"/>
    <mergeCell ref="FY47:GA47"/>
    <mergeCell ref="EZ226:FB226"/>
    <mergeCell ref="FD226:FF226"/>
    <mergeCell ref="FU109:FY109"/>
    <mergeCell ref="FU110:FW110"/>
    <mergeCell ref="EZ224:FB224"/>
    <mergeCell ref="FD224:FF224"/>
    <mergeCell ref="EZ225:FB225"/>
    <mergeCell ref="FD225:FF225"/>
    <mergeCell ref="FA199:FC199"/>
    <mergeCell ref="FE199:FF199"/>
    <mergeCell ref="FA200:FC200"/>
    <mergeCell ref="FE200:FF200"/>
    <mergeCell ref="EZ203:FB203"/>
    <mergeCell ref="FD203:FF203"/>
    <mergeCell ref="EZ204:FB204"/>
    <mergeCell ref="FD204:FF204"/>
    <mergeCell ref="EZ205:FB205"/>
    <mergeCell ref="FD205:FF205"/>
    <mergeCell ref="FA206:FC206"/>
    <mergeCell ref="FE206:FF206"/>
    <mergeCell ref="FA207:FC207"/>
    <mergeCell ref="FE207:FF207"/>
    <mergeCell ref="FA221:FC221"/>
    <mergeCell ref="FV107:FX107"/>
    <mergeCell ref="FZ107:GA107"/>
    <mergeCell ref="FV108:FX108"/>
    <mergeCell ref="FZ108:GA108"/>
    <mergeCell ref="FU111:FW111"/>
    <mergeCell ref="FY111:GA111"/>
    <mergeCell ref="FU112:FW112"/>
    <mergeCell ref="FY96:GA96"/>
    <mergeCell ref="FY103:GA103"/>
    <mergeCell ref="FU50:FW50"/>
    <mergeCell ref="FA151:FC151"/>
    <mergeCell ref="FE151:FF151"/>
    <mergeCell ref="EZ154:FB154"/>
    <mergeCell ref="FD154:FF154"/>
    <mergeCell ref="EZ155:FB155"/>
    <mergeCell ref="FD155:FF155"/>
    <mergeCell ref="EZ156:FB156"/>
    <mergeCell ref="FD156:FF156"/>
    <mergeCell ref="FA157:FC157"/>
    <mergeCell ref="FE157:FF157"/>
    <mergeCell ref="FA158:FC158"/>
    <mergeCell ref="FE158:FF158"/>
    <mergeCell ref="EZ161:FB161"/>
    <mergeCell ref="FD161:FF161"/>
    <mergeCell ref="EZ162:FB162"/>
    <mergeCell ref="FD162:FF162"/>
    <mergeCell ref="EZ148:FB148"/>
    <mergeCell ref="FD148:FF148"/>
    <mergeCell ref="EZ149:FB149"/>
    <mergeCell ref="FD149:FF149"/>
    <mergeCell ref="FA150:FC150"/>
    <mergeCell ref="FE150:FF150"/>
    <mergeCell ref="FY110:GA110"/>
    <mergeCell ref="FA227:FC227"/>
    <mergeCell ref="FE227:FF227"/>
    <mergeCell ref="FA228:FC228"/>
    <mergeCell ref="FE228:FF228"/>
    <mergeCell ref="FU19:FW19"/>
    <mergeCell ref="FU20:FW20"/>
    <mergeCell ref="FY20:GA20"/>
    <mergeCell ref="FU21:FW21"/>
    <mergeCell ref="FY21:GA21"/>
    <mergeCell ref="FU22:FW22"/>
    <mergeCell ref="FY22:GA22"/>
    <mergeCell ref="FV23:FX23"/>
    <mergeCell ref="FZ23:GA23"/>
    <mergeCell ref="FV24:FX24"/>
    <mergeCell ref="FZ24:GA24"/>
    <mergeCell ref="FU27:FW27"/>
    <mergeCell ref="FY27:GA27"/>
    <mergeCell ref="FU28:FW28"/>
    <mergeCell ref="FY28:GA28"/>
    <mergeCell ref="FU29:FW29"/>
    <mergeCell ref="FY29:GA29"/>
    <mergeCell ref="FE221:FF221"/>
    <mergeCell ref="FZ30:GA30"/>
    <mergeCell ref="FV31:FX31"/>
    <mergeCell ref="FZ31:GA31"/>
    <mergeCell ref="FU34:FW34"/>
    <mergeCell ref="FY34:GA34"/>
    <mergeCell ref="FU35:FW35"/>
    <mergeCell ref="FY35:GA35"/>
    <mergeCell ref="FU36:FW36"/>
    <mergeCell ref="FU83:FW83"/>
    <mergeCell ref="FY83:GA83"/>
    <mergeCell ref="FU84:FW84"/>
    <mergeCell ref="FY84:GA84"/>
    <mergeCell ref="FU85:FW85"/>
    <mergeCell ref="FY85:GA85"/>
    <mergeCell ref="FV86:FX86"/>
    <mergeCell ref="FZ86:GA86"/>
    <mergeCell ref="FV87:FX87"/>
    <mergeCell ref="FZ87:GA87"/>
    <mergeCell ref="FU82:FW82"/>
    <mergeCell ref="FY56:GA56"/>
    <mergeCell ref="FZ79:GA79"/>
    <mergeCell ref="FV80:FX80"/>
    <mergeCell ref="FZ80:GA80"/>
    <mergeCell ref="FU57:FW57"/>
    <mergeCell ref="FY57:GA57"/>
    <mergeCell ref="FV58:FX58"/>
    <mergeCell ref="FZ58:GA58"/>
    <mergeCell ref="FV59:FX59"/>
    <mergeCell ref="FZ59:GA59"/>
    <mergeCell ref="FU62:FW62"/>
    <mergeCell ref="FY62:GA62"/>
    <mergeCell ref="FU90:FW90"/>
    <mergeCell ref="FY90:GA90"/>
    <mergeCell ref="FU88:FY88"/>
    <mergeCell ref="FU89:FW89"/>
    <mergeCell ref="FY105:GA105"/>
    <mergeCell ref="FU106:FW106"/>
    <mergeCell ref="FY106:GA106"/>
    <mergeCell ref="FU95:FY95"/>
    <mergeCell ref="FU96:FW96"/>
    <mergeCell ref="FU102:FY102"/>
    <mergeCell ref="FU103:FW103"/>
    <mergeCell ref="FU113:FW113"/>
    <mergeCell ref="FY113:GA113"/>
    <mergeCell ref="FV114:FX114"/>
    <mergeCell ref="FZ114:GA114"/>
    <mergeCell ref="FV115:FX115"/>
    <mergeCell ref="FZ115:GA115"/>
    <mergeCell ref="FU137:FY137"/>
    <mergeCell ref="FU138:FW138"/>
    <mergeCell ref="FU133:FW133"/>
    <mergeCell ref="FY133:GA133"/>
    <mergeCell ref="FU134:FW134"/>
    <mergeCell ref="FY134:GA134"/>
    <mergeCell ref="FV135:FX135"/>
    <mergeCell ref="FZ135:GA135"/>
    <mergeCell ref="FV136:FX136"/>
    <mergeCell ref="FZ136:GA136"/>
    <mergeCell ref="FY131:GA131"/>
    <mergeCell ref="FY138:GA138"/>
    <mergeCell ref="FU118:FW118"/>
    <mergeCell ref="FY118:GA118"/>
    <mergeCell ref="FU119:FW119"/>
    <mergeCell ref="FY119:GA119"/>
    <mergeCell ref="FV94:FX94"/>
    <mergeCell ref="FZ94:GA94"/>
    <mergeCell ref="FU97:FW97"/>
    <mergeCell ref="FY97:GA97"/>
    <mergeCell ref="FU98:FW98"/>
    <mergeCell ref="FY98:GA98"/>
    <mergeCell ref="FU99:FW99"/>
    <mergeCell ref="FY99:GA99"/>
    <mergeCell ref="FV100:FX100"/>
    <mergeCell ref="FZ100:GA100"/>
    <mergeCell ref="FV101:FX101"/>
    <mergeCell ref="FZ101:GA101"/>
    <mergeCell ref="FU104:FW104"/>
    <mergeCell ref="FY104:GA104"/>
    <mergeCell ref="FU105:FW105"/>
    <mergeCell ref="FU117:FW117"/>
    <mergeCell ref="FU120:FW120"/>
    <mergeCell ref="FY120:GA120"/>
    <mergeCell ref="FV121:FX121"/>
    <mergeCell ref="FZ121:GA121"/>
    <mergeCell ref="FV122:FX122"/>
    <mergeCell ref="FZ122:GA122"/>
    <mergeCell ref="FU125:FW125"/>
    <mergeCell ref="FY125:GA125"/>
    <mergeCell ref="FU126:FW126"/>
    <mergeCell ref="FY126:GA126"/>
    <mergeCell ref="FU127:FW127"/>
    <mergeCell ref="FY127:GA127"/>
    <mergeCell ref="FV128:FX128"/>
    <mergeCell ref="FZ128:GA128"/>
    <mergeCell ref="FV129:FX129"/>
    <mergeCell ref="FZ129:GA129"/>
    <mergeCell ref="FU132:FW132"/>
    <mergeCell ref="FU169:FW169"/>
    <mergeCell ref="FY169:GA169"/>
    <mergeCell ref="FU170:FW170"/>
    <mergeCell ref="FY170:GA170"/>
    <mergeCell ref="FV171:FX171"/>
    <mergeCell ref="FZ171:GA171"/>
    <mergeCell ref="FV172:FX172"/>
    <mergeCell ref="FZ172:GA172"/>
    <mergeCell ref="FU139:FW139"/>
    <mergeCell ref="FY139:GA139"/>
    <mergeCell ref="FU140:FW140"/>
    <mergeCell ref="FY140:GA140"/>
    <mergeCell ref="FU141:FW141"/>
    <mergeCell ref="FY141:GA141"/>
    <mergeCell ref="FV142:FX142"/>
    <mergeCell ref="FZ142:GA142"/>
    <mergeCell ref="FV143:FX143"/>
    <mergeCell ref="FZ143:GA143"/>
    <mergeCell ref="FU147:FW147"/>
    <mergeCell ref="FY147:GA147"/>
    <mergeCell ref="FU148:FW148"/>
    <mergeCell ref="FY148:GA148"/>
    <mergeCell ref="FU149:FW149"/>
    <mergeCell ref="FY149:GA149"/>
    <mergeCell ref="FZ151:GA151"/>
    <mergeCell ref="FU154:FW154"/>
    <mergeCell ref="FY154:GA154"/>
    <mergeCell ref="FU155:FW155"/>
    <mergeCell ref="FY155:GA155"/>
    <mergeCell ref="FU156:FW156"/>
    <mergeCell ref="FY156:GA156"/>
    <mergeCell ref="FV157:FX157"/>
    <mergeCell ref="FZ157:GA157"/>
    <mergeCell ref="FV158:FX158"/>
    <mergeCell ref="FZ158:GA158"/>
    <mergeCell ref="FU161:FW161"/>
    <mergeCell ref="FY161:GA161"/>
    <mergeCell ref="FU162:FW162"/>
    <mergeCell ref="FY162:GA162"/>
    <mergeCell ref="FU163:FW163"/>
    <mergeCell ref="FY163:GA163"/>
    <mergeCell ref="FU212:FW212"/>
    <mergeCell ref="FY212:GA212"/>
    <mergeCell ref="FV213:FX213"/>
    <mergeCell ref="FZ213:GA213"/>
    <mergeCell ref="FV214:FX214"/>
    <mergeCell ref="FZ214:GA214"/>
    <mergeCell ref="FU217:FW217"/>
    <mergeCell ref="FY217:GA217"/>
    <mergeCell ref="FU218:FW218"/>
    <mergeCell ref="FY218:GA218"/>
    <mergeCell ref="FU219:FW219"/>
    <mergeCell ref="FY219:GA219"/>
    <mergeCell ref="FV220:FX220"/>
    <mergeCell ref="FZ220:GA220"/>
    <mergeCell ref="FU175:FW175"/>
    <mergeCell ref="FY175:GA175"/>
    <mergeCell ref="FU176:FW176"/>
    <mergeCell ref="FY176:GA176"/>
    <mergeCell ref="FU177:FW177"/>
    <mergeCell ref="FY177:GA177"/>
    <mergeCell ref="FV178:FX178"/>
    <mergeCell ref="FZ178:GA178"/>
    <mergeCell ref="FV179:FX179"/>
    <mergeCell ref="FZ179:GA179"/>
    <mergeCell ref="FU182:FW182"/>
    <mergeCell ref="FY182:GA182"/>
    <mergeCell ref="FU183:FW183"/>
    <mergeCell ref="FY183:GA183"/>
    <mergeCell ref="FU184:FW184"/>
    <mergeCell ref="FY184:GA184"/>
    <mergeCell ref="FV185:FX185"/>
    <mergeCell ref="FZ185:GA185"/>
    <mergeCell ref="FV199:FX199"/>
    <mergeCell ref="FZ199:GA199"/>
    <mergeCell ref="FV200:FX200"/>
    <mergeCell ref="FZ200:GA200"/>
    <mergeCell ref="FU203:FW203"/>
    <mergeCell ref="FY203:GA203"/>
    <mergeCell ref="FU204:FW204"/>
    <mergeCell ref="FY204:GA204"/>
    <mergeCell ref="FU205:FW205"/>
    <mergeCell ref="FY205:GA205"/>
    <mergeCell ref="FV206:FX206"/>
    <mergeCell ref="FZ206:GA206"/>
    <mergeCell ref="FV207:FX207"/>
    <mergeCell ref="FZ207:GA207"/>
    <mergeCell ref="FU210:FW210"/>
    <mergeCell ref="FY210:GA210"/>
    <mergeCell ref="FU211:FW211"/>
    <mergeCell ref="FY211:GA211"/>
    <mergeCell ref="FU198:FW198"/>
    <mergeCell ref="FY198:GA198"/>
    <mergeCell ref="FV186:FX186"/>
    <mergeCell ref="FZ186:GA186"/>
    <mergeCell ref="FU189:FW189"/>
    <mergeCell ref="FY189:GA189"/>
    <mergeCell ref="FU190:FW190"/>
    <mergeCell ref="FY190:GA190"/>
    <mergeCell ref="FU191:FW191"/>
    <mergeCell ref="FY191:GA191"/>
    <mergeCell ref="FV192:FX192"/>
    <mergeCell ref="FZ192:GA192"/>
    <mergeCell ref="FV193:FX193"/>
    <mergeCell ref="FZ193:GA193"/>
    <mergeCell ref="FU196:FW196"/>
    <mergeCell ref="FY196:GA196"/>
    <mergeCell ref="FU197:FW197"/>
    <mergeCell ref="FY197:GA197"/>
    <mergeCell ref="FV150:FX150"/>
    <mergeCell ref="FZ150:GA150"/>
    <mergeCell ref="FV151:FX151"/>
    <mergeCell ref="GB35:GD35"/>
    <mergeCell ref="GF35:GH35"/>
    <mergeCell ref="GB36:GD36"/>
    <mergeCell ref="GF36:GH36"/>
    <mergeCell ref="GC37:GE37"/>
    <mergeCell ref="GG37:GH37"/>
    <mergeCell ref="GC38:GE38"/>
    <mergeCell ref="GG38:GH38"/>
    <mergeCell ref="GB41:GD41"/>
    <mergeCell ref="GF41:GH41"/>
    <mergeCell ref="GB42:GD42"/>
    <mergeCell ref="GF42:GH42"/>
    <mergeCell ref="GB43:GD43"/>
    <mergeCell ref="GF43:GH43"/>
    <mergeCell ref="GC44:GE44"/>
    <mergeCell ref="GG44:GH44"/>
    <mergeCell ref="GC45:GE45"/>
    <mergeCell ref="GG45:GH45"/>
    <mergeCell ref="GF104:GH104"/>
    <mergeCell ref="GB82:GD82"/>
    <mergeCell ref="GB88:GF88"/>
    <mergeCell ref="GB89:GD89"/>
    <mergeCell ref="GB95:GF95"/>
    <mergeCell ref="GB96:GD96"/>
    <mergeCell ref="GB102:GF102"/>
    <mergeCell ref="GB103:GD103"/>
    <mergeCell ref="GF96:GH96"/>
    <mergeCell ref="GF103:GH103"/>
    <mergeCell ref="GF84:GH84"/>
    <mergeCell ref="GB85:GD85"/>
    <mergeCell ref="GF85:GH85"/>
    <mergeCell ref="GC86:GE86"/>
    <mergeCell ref="FY132:GA132"/>
    <mergeCell ref="FU123:FY123"/>
    <mergeCell ref="FU124:FW124"/>
    <mergeCell ref="FU130:FY130"/>
    <mergeCell ref="FU131:FW131"/>
    <mergeCell ref="FV164:FX164"/>
    <mergeCell ref="FZ164:GA164"/>
    <mergeCell ref="FV165:FX165"/>
    <mergeCell ref="FZ165:GA165"/>
    <mergeCell ref="FU168:FW168"/>
    <mergeCell ref="FY168:GA168"/>
    <mergeCell ref="GG115:GH115"/>
    <mergeCell ref="GB118:GD118"/>
    <mergeCell ref="GF118:GH118"/>
    <mergeCell ref="GB119:GD119"/>
    <mergeCell ref="GF119:GH119"/>
    <mergeCell ref="GB117:GD117"/>
    <mergeCell ref="GB120:GD120"/>
    <mergeCell ref="GF120:GH120"/>
    <mergeCell ref="GC121:GE121"/>
    <mergeCell ref="GG121:GH121"/>
    <mergeCell ref="GB170:GD170"/>
    <mergeCell ref="GF170:GH170"/>
    <mergeCell ref="GG86:GH86"/>
    <mergeCell ref="GC87:GE87"/>
    <mergeCell ref="FV221:FX221"/>
    <mergeCell ref="FZ221:GA221"/>
    <mergeCell ref="FU224:FW224"/>
    <mergeCell ref="FY224:GA224"/>
    <mergeCell ref="FU225:FW225"/>
    <mergeCell ref="FY225:GA225"/>
    <mergeCell ref="FU226:FW226"/>
    <mergeCell ref="FY226:GA226"/>
    <mergeCell ref="FV227:FX227"/>
    <mergeCell ref="FZ227:GA227"/>
    <mergeCell ref="FV228:FX228"/>
    <mergeCell ref="FZ228:GA228"/>
    <mergeCell ref="GB19:GD19"/>
    <mergeCell ref="GB20:GD20"/>
    <mergeCell ref="GF20:GH20"/>
    <mergeCell ref="GB21:GD21"/>
    <mergeCell ref="GF21:GH21"/>
    <mergeCell ref="GB22:GD22"/>
    <mergeCell ref="GF22:GH22"/>
    <mergeCell ref="GC23:GE23"/>
    <mergeCell ref="GG23:GH23"/>
    <mergeCell ref="GC24:GE24"/>
    <mergeCell ref="GG24:GH24"/>
    <mergeCell ref="GB27:GD27"/>
    <mergeCell ref="GF27:GH27"/>
    <mergeCell ref="GB28:GD28"/>
    <mergeCell ref="GF28:GH28"/>
    <mergeCell ref="GB29:GD29"/>
    <mergeCell ref="GF29:GH29"/>
    <mergeCell ref="GC30:GE30"/>
    <mergeCell ref="GG30:GH30"/>
    <mergeCell ref="GC31:GE31"/>
    <mergeCell ref="GF55:GH55"/>
    <mergeCell ref="GB56:GD56"/>
    <mergeCell ref="GF56:GH56"/>
    <mergeCell ref="GG80:GH80"/>
    <mergeCell ref="GB57:GD57"/>
    <mergeCell ref="GF57:GH57"/>
    <mergeCell ref="GC58:GE58"/>
    <mergeCell ref="GG58:GH58"/>
    <mergeCell ref="GC59:GE59"/>
    <mergeCell ref="GG59:GH59"/>
    <mergeCell ref="GB62:GD62"/>
    <mergeCell ref="GF62:GH62"/>
    <mergeCell ref="GB63:GD63"/>
    <mergeCell ref="GF63:GH63"/>
    <mergeCell ref="GB64:GD64"/>
    <mergeCell ref="GF64:GH64"/>
    <mergeCell ref="GC65:GE65"/>
    <mergeCell ref="GG65:GH65"/>
    <mergeCell ref="GC66:GE66"/>
    <mergeCell ref="GG66:GH66"/>
    <mergeCell ref="GB69:GD69"/>
    <mergeCell ref="GF69:GH69"/>
    <mergeCell ref="GF97:GH97"/>
    <mergeCell ref="GB98:GD98"/>
    <mergeCell ref="GF98:GH98"/>
    <mergeCell ref="GB99:GD99"/>
    <mergeCell ref="GF99:GH99"/>
    <mergeCell ref="GC100:GE100"/>
    <mergeCell ref="GG100:GH100"/>
    <mergeCell ref="GC101:GE101"/>
    <mergeCell ref="GG101:GH101"/>
    <mergeCell ref="GB104:GD104"/>
    <mergeCell ref="GB90:GD90"/>
    <mergeCell ref="GF90:GH90"/>
    <mergeCell ref="GB91:GD91"/>
    <mergeCell ref="GF91:GH91"/>
    <mergeCell ref="GB125:GD125"/>
    <mergeCell ref="GF125:GH125"/>
    <mergeCell ref="GB126:GD126"/>
    <mergeCell ref="GF126:GH126"/>
    <mergeCell ref="GB127:GD127"/>
    <mergeCell ref="GF127:GH127"/>
    <mergeCell ref="GB109:GF109"/>
    <mergeCell ref="GB110:GD110"/>
    <mergeCell ref="GB116:GF116"/>
    <mergeCell ref="GB92:GD92"/>
    <mergeCell ref="GF92:GH92"/>
    <mergeCell ref="GC93:GE93"/>
    <mergeCell ref="GG93:GH93"/>
    <mergeCell ref="GB70:GD70"/>
    <mergeCell ref="GF70:GH70"/>
    <mergeCell ref="GB71:GD71"/>
    <mergeCell ref="GF71:GH71"/>
    <mergeCell ref="GC72:GE72"/>
    <mergeCell ref="GG72:GH72"/>
    <mergeCell ref="GC73:GE73"/>
    <mergeCell ref="GG73:GH73"/>
    <mergeCell ref="GB76:GD76"/>
    <mergeCell ref="GF76:GH76"/>
    <mergeCell ref="GB77:GD77"/>
    <mergeCell ref="GF77:GH77"/>
    <mergeCell ref="GB78:GD78"/>
    <mergeCell ref="GF78:GH78"/>
    <mergeCell ref="GC79:GE79"/>
    <mergeCell ref="GG79:GH79"/>
    <mergeCell ref="GC80:GE80"/>
    <mergeCell ref="GG94:GH94"/>
    <mergeCell ref="GB97:GD97"/>
    <mergeCell ref="GB149:GD149"/>
    <mergeCell ref="GF149:GH149"/>
    <mergeCell ref="GC150:GE150"/>
    <mergeCell ref="GG150:GH150"/>
    <mergeCell ref="GC151:GE151"/>
    <mergeCell ref="GG151:GH151"/>
    <mergeCell ref="GB154:GD154"/>
    <mergeCell ref="GF154:GH154"/>
    <mergeCell ref="GB155:GD155"/>
    <mergeCell ref="GF155:GH155"/>
    <mergeCell ref="GB156:GD156"/>
    <mergeCell ref="GF156:GH156"/>
    <mergeCell ref="GC157:GE157"/>
    <mergeCell ref="GG157:GH157"/>
    <mergeCell ref="GC158:GE158"/>
    <mergeCell ref="GG158:GH158"/>
    <mergeCell ref="GB161:GD161"/>
    <mergeCell ref="GF161:GH161"/>
    <mergeCell ref="GB162:GD162"/>
    <mergeCell ref="GF162:GH162"/>
    <mergeCell ref="GB163:GD163"/>
    <mergeCell ref="GF163:GH163"/>
    <mergeCell ref="GC164:GE164"/>
    <mergeCell ref="GG164:GH164"/>
    <mergeCell ref="GC165:GE165"/>
    <mergeCell ref="GG165:GH165"/>
    <mergeCell ref="GB168:GD168"/>
    <mergeCell ref="GF168:GH168"/>
    <mergeCell ref="GB169:GD169"/>
    <mergeCell ref="GF169:GH169"/>
    <mergeCell ref="GB137:GF137"/>
    <mergeCell ref="GB138:GD138"/>
    <mergeCell ref="GB147:GD147"/>
    <mergeCell ref="GF147:GH147"/>
    <mergeCell ref="GB148:GD148"/>
    <mergeCell ref="GF148:GH148"/>
    <mergeCell ref="GI56:GK56"/>
    <mergeCell ref="GM56:GO56"/>
    <mergeCell ref="GI57:GK57"/>
    <mergeCell ref="GM57:GO57"/>
    <mergeCell ref="GJ58:GL58"/>
    <mergeCell ref="GN58:GO58"/>
    <mergeCell ref="GJ59:GL59"/>
    <mergeCell ref="GN59:GO59"/>
    <mergeCell ref="GI62:GK62"/>
    <mergeCell ref="GM62:GO62"/>
    <mergeCell ref="GI63:GK63"/>
    <mergeCell ref="GM63:GO63"/>
    <mergeCell ref="GI64:GK64"/>
    <mergeCell ref="GI77:GK77"/>
    <mergeCell ref="GF210:GH210"/>
    <mergeCell ref="GB211:GD211"/>
    <mergeCell ref="GF211:GH211"/>
    <mergeCell ref="GB212:GD212"/>
    <mergeCell ref="GF212:GH212"/>
    <mergeCell ref="GC213:GE213"/>
    <mergeCell ref="GG213:GH213"/>
    <mergeCell ref="GC214:GE214"/>
    <mergeCell ref="GG214:GH214"/>
    <mergeCell ref="GB217:GD217"/>
    <mergeCell ref="GF217:GH217"/>
    <mergeCell ref="GB218:GD218"/>
    <mergeCell ref="GF218:GH218"/>
    <mergeCell ref="GB219:GD219"/>
    <mergeCell ref="GF219:GH219"/>
    <mergeCell ref="GF183:GH183"/>
    <mergeCell ref="GB184:GD184"/>
    <mergeCell ref="GF184:GH184"/>
    <mergeCell ref="GC185:GE185"/>
    <mergeCell ref="GG185:GH185"/>
    <mergeCell ref="GC186:GE186"/>
    <mergeCell ref="GI83:GK83"/>
    <mergeCell ref="GM83:GO83"/>
    <mergeCell ref="GI84:GK84"/>
    <mergeCell ref="GM84:GO84"/>
    <mergeCell ref="GI85:GK85"/>
    <mergeCell ref="GM85:GO85"/>
    <mergeCell ref="GJ86:GL86"/>
    <mergeCell ref="GN86:GO86"/>
    <mergeCell ref="GJ87:GL87"/>
    <mergeCell ref="GN87:GO87"/>
    <mergeCell ref="GJ115:GL115"/>
    <mergeCell ref="GC94:GE94"/>
    <mergeCell ref="GB83:GD83"/>
    <mergeCell ref="GF83:GH83"/>
    <mergeCell ref="GB84:GD84"/>
    <mergeCell ref="GF131:GH131"/>
    <mergeCell ref="GC171:GE171"/>
    <mergeCell ref="GG171:GH171"/>
    <mergeCell ref="GC128:GE128"/>
    <mergeCell ref="GG128:GH128"/>
    <mergeCell ref="GC129:GE129"/>
    <mergeCell ref="GG129:GH129"/>
    <mergeCell ref="GB132:GD132"/>
    <mergeCell ref="GF132:GH132"/>
    <mergeCell ref="GB123:GF123"/>
    <mergeCell ref="GB124:GD124"/>
    <mergeCell ref="GB130:GF130"/>
    <mergeCell ref="GI102:GM102"/>
    <mergeCell ref="GI103:GK103"/>
    <mergeCell ref="GJ228:GL228"/>
    <mergeCell ref="GN228:GO228"/>
    <mergeCell ref="GI210:GK210"/>
    <mergeCell ref="GM210:GO210"/>
    <mergeCell ref="GI211:GK211"/>
    <mergeCell ref="GM211:GO211"/>
    <mergeCell ref="GI212:GK212"/>
    <mergeCell ref="GI19:GK19"/>
    <mergeCell ref="GI20:GK20"/>
    <mergeCell ref="GM20:GO20"/>
    <mergeCell ref="GI21:GK21"/>
    <mergeCell ref="GM21:GO21"/>
    <mergeCell ref="GI22:GK22"/>
    <mergeCell ref="GM22:GO22"/>
    <mergeCell ref="GJ23:GL23"/>
    <mergeCell ref="GN23:GO23"/>
    <mergeCell ref="GJ24:GL24"/>
    <mergeCell ref="GN24:GO24"/>
    <mergeCell ref="GI27:GK27"/>
    <mergeCell ref="GM27:GO27"/>
    <mergeCell ref="GI28:GK28"/>
    <mergeCell ref="GM28:GO28"/>
    <mergeCell ref="GI29:GK29"/>
    <mergeCell ref="GM29:GO29"/>
    <mergeCell ref="GJ30:GL30"/>
    <mergeCell ref="GM41:GO41"/>
    <mergeCell ref="GI42:GK42"/>
    <mergeCell ref="GM42:GO42"/>
    <mergeCell ref="GI43:GK43"/>
    <mergeCell ref="GN66:GO66"/>
    <mergeCell ref="GI69:GK69"/>
    <mergeCell ref="GM69:GO69"/>
    <mergeCell ref="GI70:GK70"/>
    <mergeCell ref="GM70:GO70"/>
    <mergeCell ref="GI71:GK71"/>
    <mergeCell ref="GM71:GO71"/>
    <mergeCell ref="GJ72:GL72"/>
    <mergeCell ref="GN72:GO72"/>
    <mergeCell ref="GJ73:GL73"/>
    <mergeCell ref="GN73:GO73"/>
    <mergeCell ref="GN44:GO44"/>
    <mergeCell ref="GJ45:GL45"/>
    <mergeCell ref="GN45:GO45"/>
    <mergeCell ref="GI48:GK48"/>
    <mergeCell ref="GM48:GO48"/>
    <mergeCell ref="GI49:GK49"/>
    <mergeCell ref="GM49:GO49"/>
    <mergeCell ref="GI50:GK50"/>
    <mergeCell ref="GM50:GO50"/>
    <mergeCell ref="GJ51:GL51"/>
    <mergeCell ref="GN51:GO51"/>
    <mergeCell ref="GJ52:GL52"/>
    <mergeCell ref="GI91:GK91"/>
    <mergeCell ref="GM91:GO91"/>
    <mergeCell ref="GI92:GK92"/>
    <mergeCell ref="GM92:GO92"/>
    <mergeCell ref="GJ93:GL93"/>
    <mergeCell ref="GN93:GO93"/>
    <mergeCell ref="GI88:GM88"/>
    <mergeCell ref="GI89:GK89"/>
    <mergeCell ref="GJ94:GL94"/>
    <mergeCell ref="GN94:GO94"/>
    <mergeCell ref="GI97:GK97"/>
    <mergeCell ref="GM97:GO97"/>
    <mergeCell ref="GB225:GD225"/>
    <mergeCell ref="GF225:GH225"/>
    <mergeCell ref="GB226:GD226"/>
    <mergeCell ref="GF226:GH226"/>
    <mergeCell ref="GC227:GE227"/>
    <mergeCell ref="GG227:GH227"/>
    <mergeCell ref="GC228:GE228"/>
    <mergeCell ref="GG228:GH228"/>
    <mergeCell ref="GC220:GE220"/>
    <mergeCell ref="GG220:GH220"/>
    <mergeCell ref="GC221:GE221"/>
    <mergeCell ref="GG221:GH221"/>
    <mergeCell ref="GC199:GE199"/>
    <mergeCell ref="GG199:GH199"/>
    <mergeCell ref="GC200:GE200"/>
    <mergeCell ref="GG200:GH200"/>
    <mergeCell ref="GB203:GD203"/>
    <mergeCell ref="GF203:GH203"/>
    <mergeCell ref="GB204:GD204"/>
    <mergeCell ref="GF204:GH204"/>
    <mergeCell ref="GB205:GD205"/>
    <mergeCell ref="GF205:GH205"/>
    <mergeCell ref="GC206:GE206"/>
    <mergeCell ref="GG206:GH206"/>
    <mergeCell ref="GC207:GE207"/>
    <mergeCell ref="GG207:GH207"/>
    <mergeCell ref="GB210:GD210"/>
    <mergeCell ref="GB197:GD197"/>
    <mergeCell ref="GF197:GH197"/>
    <mergeCell ref="GB198:GD198"/>
    <mergeCell ref="GF198:GH198"/>
    <mergeCell ref="GC172:GE172"/>
    <mergeCell ref="GG172:GH172"/>
    <mergeCell ref="GB175:GD175"/>
    <mergeCell ref="GF175:GH175"/>
    <mergeCell ref="GB176:GD176"/>
    <mergeCell ref="GB224:GD224"/>
    <mergeCell ref="GF224:GH224"/>
    <mergeCell ref="GG179:GH179"/>
    <mergeCell ref="GB182:GD182"/>
    <mergeCell ref="GF182:GH182"/>
    <mergeCell ref="GB183:GD183"/>
    <mergeCell ref="GB196:GD196"/>
    <mergeCell ref="GF196:GH196"/>
    <mergeCell ref="GG186:GH186"/>
    <mergeCell ref="GB189:GD189"/>
    <mergeCell ref="GF189:GH189"/>
    <mergeCell ref="GB190:GD190"/>
    <mergeCell ref="GF190:GH190"/>
    <mergeCell ref="GB191:GD191"/>
    <mergeCell ref="GF191:GH191"/>
    <mergeCell ref="GC192:GE192"/>
    <mergeCell ref="GG192:GH192"/>
    <mergeCell ref="GC193:GE193"/>
    <mergeCell ref="GG193:GH193"/>
    <mergeCell ref="GF176:GH176"/>
    <mergeCell ref="GB177:GD177"/>
    <mergeCell ref="GF177:GH177"/>
    <mergeCell ref="GC178:GE178"/>
    <mergeCell ref="GG178:GH178"/>
    <mergeCell ref="GC179:GE179"/>
    <mergeCell ref="GI183:GK183"/>
    <mergeCell ref="GM183:GO183"/>
    <mergeCell ref="GI133:GK133"/>
    <mergeCell ref="GM133:GO133"/>
    <mergeCell ref="GI134:GK134"/>
    <mergeCell ref="GM134:GO134"/>
    <mergeCell ref="GJ135:GL135"/>
    <mergeCell ref="GN135:GO135"/>
    <mergeCell ref="GJ136:GL136"/>
    <mergeCell ref="GN136:GO136"/>
    <mergeCell ref="GI139:GK139"/>
    <mergeCell ref="GM139:GO139"/>
    <mergeCell ref="GI140:GK140"/>
    <mergeCell ref="GM140:GO140"/>
    <mergeCell ref="GI154:GK154"/>
    <mergeCell ref="GM154:GO154"/>
    <mergeCell ref="GI155:GK155"/>
    <mergeCell ref="GM155:GO155"/>
    <mergeCell ref="GI156:GK156"/>
    <mergeCell ref="GM156:GO156"/>
    <mergeCell ref="GJ157:GL157"/>
    <mergeCell ref="GM125:GO125"/>
    <mergeCell ref="GI126:GK126"/>
    <mergeCell ref="GM126:GO126"/>
    <mergeCell ref="GI127:GK127"/>
    <mergeCell ref="GM127:GO127"/>
    <mergeCell ref="GJ128:GL128"/>
    <mergeCell ref="GN128:GO128"/>
    <mergeCell ref="GJ129:GL129"/>
    <mergeCell ref="GN129:GO129"/>
    <mergeCell ref="GI132:GK132"/>
    <mergeCell ref="GM132:GO132"/>
    <mergeCell ref="GI141:GK141"/>
    <mergeCell ref="GM141:GO141"/>
    <mergeCell ref="GJ142:GL142"/>
    <mergeCell ref="GN142:GO142"/>
    <mergeCell ref="GJ143:GL143"/>
    <mergeCell ref="GN143:GO143"/>
    <mergeCell ref="GI137:GM137"/>
    <mergeCell ref="GI138:GK138"/>
    <mergeCell ref="GI147:GK147"/>
    <mergeCell ref="GM147:GO147"/>
    <mergeCell ref="GI148:GK148"/>
    <mergeCell ref="GM148:GO148"/>
    <mergeCell ref="GI149:GK149"/>
    <mergeCell ref="GM149:GO149"/>
    <mergeCell ref="GJ150:GL150"/>
    <mergeCell ref="GN150:GO150"/>
    <mergeCell ref="GJ151:GL151"/>
    <mergeCell ref="GN151:GO151"/>
    <mergeCell ref="GI125:GK125"/>
    <mergeCell ref="GN164:GO164"/>
    <mergeCell ref="GJ165:GL165"/>
    <mergeCell ref="GN165:GO165"/>
    <mergeCell ref="GI168:GK168"/>
    <mergeCell ref="GM168:GO168"/>
    <mergeCell ref="GI169:GK169"/>
    <mergeCell ref="GM169:GO169"/>
    <mergeCell ref="GI170:GK170"/>
    <mergeCell ref="GM170:GO170"/>
    <mergeCell ref="GN157:GO157"/>
    <mergeCell ref="GJ158:GL158"/>
    <mergeCell ref="GN158:GO158"/>
    <mergeCell ref="GI161:GK161"/>
    <mergeCell ref="FS87:FT87"/>
    <mergeCell ref="FN90:FP90"/>
    <mergeCell ref="FR90:FT90"/>
    <mergeCell ref="FN91:FP91"/>
    <mergeCell ref="FR91:FT91"/>
    <mergeCell ref="FN92:FP92"/>
    <mergeCell ref="GJ100:GL100"/>
    <mergeCell ref="GN100:GO100"/>
    <mergeCell ref="GJ101:GL101"/>
    <mergeCell ref="GN101:GO101"/>
    <mergeCell ref="GI104:GK104"/>
    <mergeCell ref="GM104:GO104"/>
    <mergeCell ref="GI105:GK105"/>
    <mergeCell ref="GM105:GO105"/>
    <mergeCell ref="GI106:GK106"/>
    <mergeCell ref="GM106:GO106"/>
    <mergeCell ref="GI118:GK118"/>
    <mergeCell ref="GM118:GO118"/>
    <mergeCell ref="GI119:GK119"/>
    <mergeCell ref="GM119:GO119"/>
    <mergeCell ref="GI116:GM116"/>
    <mergeCell ref="GI117:GK117"/>
    <mergeCell ref="GI123:GM123"/>
    <mergeCell ref="GI124:GK124"/>
    <mergeCell ref="GI130:GM130"/>
    <mergeCell ref="GN107:GO107"/>
    <mergeCell ref="GJ108:GL108"/>
    <mergeCell ref="GN108:GO108"/>
    <mergeCell ref="GI111:GK111"/>
    <mergeCell ref="GM111:GO111"/>
    <mergeCell ref="GI112:GK112"/>
    <mergeCell ref="GM112:GO112"/>
    <mergeCell ref="GI113:GK113"/>
    <mergeCell ref="GM113:GO113"/>
    <mergeCell ref="GJ114:GL114"/>
    <mergeCell ref="GN114:GO114"/>
    <mergeCell ref="GN115:GO115"/>
    <mergeCell ref="GI109:GM109"/>
    <mergeCell ref="GI110:GK110"/>
    <mergeCell ref="GI98:GK98"/>
    <mergeCell ref="GM98:GO98"/>
    <mergeCell ref="GB105:GD105"/>
    <mergeCell ref="GF105:GH105"/>
    <mergeCell ref="GB106:GD106"/>
    <mergeCell ref="GF106:GH106"/>
    <mergeCell ref="GG107:GH107"/>
    <mergeCell ref="GC108:GE108"/>
    <mergeCell ref="GG108:GH108"/>
    <mergeCell ref="GB111:GD111"/>
    <mergeCell ref="GF111:GH111"/>
    <mergeCell ref="GB112:GD112"/>
    <mergeCell ref="GF112:GH112"/>
    <mergeCell ref="GB113:GD113"/>
    <mergeCell ref="GF113:GH113"/>
    <mergeCell ref="GC114:GE114"/>
    <mergeCell ref="GG114:GH114"/>
    <mergeCell ref="GJ107:GL107"/>
    <mergeCell ref="GI90:GK90"/>
    <mergeCell ref="GM90:GO90"/>
    <mergeCell ref="GM96:GO96"/>
    <mergeCell ref="GM103:GO103"/>
    <mergeCell ref="GI99:GK99"/>
    <mergeCell ref="GM99:GO99"/>
    <mergeCell ref="GG87:GH87"/>
    <mergeCell ref="GM161:GO161"/>
    <mergeCell ref="GI162:GK162"/>
    <mergeCell ref="GM162:GO162"/>
    <mergeCell ref="GI163:GK163"/>
    <mergeCell ref="GM163:GO163"/>
    <mergeCell ref="GI120:GK120"/>
    <mergeCell ref="GM120:GO120"/>
    <mergeCell ref="GJ121:GL121"/>
    <mergeCell ref="GN121:GO121"/>
    <mergeCell ref="GJ122:GL122"/>
    <mergeCell ref="EZ116:FD116"/>
    <mergeCell ref="EZ81:FD81"/>
    <mergeCell ref="EZ82:FB82"/>
    <mergeCell ref="EZ88:FD88"/>
    <mergeCell ref="EZ89:FB89"/>
    <mergeCell ref="EZ95:FD95"/>
    <mergeCell ref="EZ96:FB96"/>
    <mergeCell ref="EZ102:FD102"/>
    <mergeCell ref="EZ103:FB103"/>
    <mergeCell ref="EZ109:FD109"/>
    <mergeCell ref="EZ110:FB110"/>
    <mergeCell ref="FE108:FF108"/>
    <mergeCell ref="FD91:FF91"/>
    <mergeCell ref="EZ92:FB92"/>
    <mergeCell ref="FD92:FF92"/>
    <mergeCell ref="FA93:FC93"/>
    <mergeCell ref="FE93:FF93"/>
    <mergeCell ref="GC107:GE107"/>
    <mergeCell ref="GI131:GK131"/>
    <mergeCell ref="GB131:GD131"/>
    <mergeCell ref="GB133:GD133"/>
    <mergeCell ref="GF133:GH133"/>
    <mergeCell ref="GB134:GD134"/>
    <mergeCell ref="GF134:GH134"/>
    <mergeCell ref="GC135:GE135"/>
    <mergeCell ref="GG135:GH135"/>
    <mergeCell ref="GC136:GE136"/>
    <mergeCell ref="GG136:GH136"/>
    <mergeCell ref="GB139:GD139"/>
    <mergeCell ref="GF139:GH139"/>
    <mergeCell ref="GB140:GD140"/>
    <mergeCell ref="GF140:GH140"/>
    <mergeCell ref="GB141:GD141"/>
    <mergeCell ref="GF141:GH141"/>
    <mergeCell ref="GC142:GE142"/>
    <mergeCell ref="GG142:GH142"/>
    <mergeCell ref="GC143:GE143"/>
    <mergeCell ref="GG143:GH143"/>
    <mergeCell ref="GC115:GE115"/>
    <mergeCell ref="GI95:GM95"/>
    <mergeCell ref="GI96:GK96"/>
    <mergeCell ref="FR92:FT92"/>
    <mergeCell ref="FN98:FP98"/>
    <mergeCell ref="FR98:FT98"/>
    <mergeCell ref="FN127:FP127"/>
    <mergeCell ref="FR127:FT127"/>
    <mergeCell ref="FO128:FQ128"/>
    <mergeCell ref="FS128:FT128"/>
    <mergeCell ref="FO129:FQ129"/>
    <mergeCell ref="FS129:FT129"/>
    <mergeCell ref="FN99:FP99"/>
    <mergeCell ref="FR99:FT99"/>
    <mergeCell ref="FO100:FQ100"/>
    <mergeCell ref="FS100:FT100"/>
    <mergeCell ref="GM212:GO212"/>
    <mergeCell ref="GJ213:GL213"/>
    <mergeCell ref="GN213:GO213"/>
    <mergeCell ref="GJ214:GL214"/>
    <mergeCell ref="GN214:GO214"/>
    <mergeCell ref="GI217:GK217"/>
    <mergeCell ref="EZ117:FB117"/>
    <mergeCell ref="EZ123:FD123"/>
    <mergeCell ref="EZ124:FB124"/>
    <mergeCell ref="EZ130:FD130"/>
    <mergeCell ref="EZ131:FB131"/>
    <mergeCell ref="EZ137:FD137"/>
    <mergeCell ref="GI205:GK205"/>
    <mergeCell ref="GM205:GO205"/>
    <mergeCell ref="GJ206:GL206"/>
    <mergeCell ref="GN206:GO206"/>
    <mergeCell ref="GJ207:GL207"/>
    <mergeCell ref="GN207:GO207"/>
    <mergeCell ref="GI184:GK184"/>
    <mergeCell ref="GM184:GO184"/>
    <mergeCell ref="GJ185:GL185"/>
    <mergeCell ref="GN185:GO185"/>
    <mergeCell ref="GJ186:GL186"/>
    <mergeCell ref="GN186:GO186"/>
    <mergeCell ref="GI189:GK189"/>
    <mergeCell ref="GM189:GO189"/>
    <mergeCell ref="GI190:GK190"/>
    <mergeCell ref="GM190:GO190"/>
    <mergeCell ref="GI191:GK191"/>
    <mergeCell ref="GM191:GO191"/>
    <mergeCell ref="GJ192:GL192"/>
    <mergeCell ref="GN192:GO192"/>
    <mergeCell ref="GJ193:GL193"/>
    <mergeCell ref="GN193:GO193"/>
    <mergeCell ref="GI196:GK196"/>
    <mergeCell ref="GM196:GO196"/>
    <mergeCell ref="GJ171:GL171"/>
    <mergeCell ref="FN139:FP139"/>
    <mergeCell ref="FR125:FT125"/>
    <mergeCell ref="FN126:FP126"/>
    <mergeCell ref="FR126:FT126"/>
    <mergeCell ref="FO143:FQ143"/>
    <mergeCell ref="FS143:FT143"/>
    <mergeCell ref="FN147:FP147"/>
    <mergeCell ref="FR147:FT147"/>
    <mergeCell ref="FN148:FP148"/>
    <mergeCell ref="FR148:FT148"/>
    <mergeCell ref="FN149:FP149"/>
    <mergeCell ref="FR149:FT149"/>
    <mergeCell ref="FO150:FQ150"/>
    <mergeCell ref="FS150:FT150"/>
    <mergeCell ref="FO151:FQ151"/>
    <mergeCell ref="FS151:FT151"/>
    <mergeCell ref="FN154:FP154"/>
    <mergeCell ref="FR154:FT154"/>
    <mergeCell ref="FN155:FP155"/>
    <mergeCell ref="FR155:FT155"/>
    <mergeCell ref="GM131:GO131"/>
    <mergeCell ref="GF138:GH138"/>
    <mergeCell ref="GM138:GO138"/>
    <mergeCell ref="FD117:FF117"/>
    <mergeCell ref="FD124:FF124"/>
    <mergeCell ref="FD131:FF131"/>
    <mergeCell ref="GJ164:GL164"/>
    <mergeCell ref="GJ227:GL227"/>
    <mergeCell ref="GN227:GO227"/>
    <mergeCell ref="GM217:GO217"/>
    <mergeCell ref="GI218:GK218"/>
    <mergeCell ref="GM218:GO218"/>
    <mergeCell ref="GI219:GK219"/>
    <mergeCell ref="GM219:GO219"/>
    <mergeCell ref="GJ220:GL220"/>
    <mergeCell ref="GN220:GO220"/>
    <mergeCell ref="GI197:GK197"/>
    <mergeCell ref="GM197:GO197"/>
    <mergeCell ref="GI198:GK198"/>
    <mergeCell ref="GM198:GO198"/>
    <mergeCell ref="GJ199:GL199"/>
    <mergeCell ref="GN199:GO199"/>
    <mergeCell ref="GJ200:GL200"/>
    <mergeCell ref="EZ25:FD25"/>
    <mergeCell ref="EZ26:FB26"/>
    <mergeCell ref="EZ33:FB33"/>
    <mergeCell ref="EZ32:FD32"/>
    <mergeCell ref="EZ39:FD39"/>
    <mergeCell ref="EZ40:FB40"/>
    <mergeCell ref="EZ46:FD46"/>
    <mergeCell ref="EZ47:FB47"/>
    <mergeCell ref="EZ53:FD53"/>
    <mergeCell ref="EZ54:FB54"/>
    <mergeCell ref="EZ60:FD60"/>
    <mergeCell ref="EZ57:FB57"/>
    <mergeCell ref="FD57:FF57"/>
    <mergeCell ref="FA58:FC58"/>
    <mergeCell ref="FE58:FF58"/>
    <mergeCell ref="FA59:FC59"/>
    <mergeCell ref="GJ221:GL221"/>
    <mergeCell ref="GN221:GO221"/>
    <mergeCell ref="GI224:GK224"/>
    <mergeCell ref="GM224:GO224"/>
    <mergeCell ref="GI225:GK225"/>
    <mergeCell ref="GM225:GO225"/>
    <mergeCell ref="GI226:GK226"/>
    <mergeCell ref="GM226:GO226"/>
    <mergeCell ref="GN171:GO171"/>
    <mergeCell ref="GJ172:GL172"/>
    <mergeCell ref="GN172:GO172"/>
    <mergeCell ref="GI175:GK175"/>
    <mergeCell ref="GM175:GO175"/>
    <mergeCell ref="GI176:GK176"/>
    <mergeCell ref="GM176:GO176"/>
    <mergeCell ref="GI177:GK177"/>
    <mergeCell ref="GM177:GO177"/>
    <mergeCell ref="GJ178:GL178"/>
    <mergeCell ref="GN178:GO178"/>
    <mergeCell ref="GJ179:GL179"/>
    <mergeCell ref="GN179:GO179"/>
    <mergeCell ref="GI182:GK182"/>
    <mergeCell ref="GM182:GO182"/>
    <mergeCell ref="GN200:GO200"/>
    <mergeCell ref="GI203:GK203"/>
    <mergeCell ref="GM203:GO203"/>
    <mergeCell ref="GI204:GK204"/>
    <mergeCell ref="GM204:GO204"/>
    <mergeCell ref="FY63:GA63"/>
    <mergeCell ref="FU64:FW64"/>
    <mergeCell ref="FY64:GA64"/>
    <mergeCell ref="FV65:FX65"/>
    <mergeCell ref="FV66:FX66"/>
    <mergeCell ref="FZ66:GA66"/>
    <mergeCell ref="FU69:FW69"/>
    <mergeCell ref="FY69:GA69"/>
    <mergeCell ref="FU56:FW56"/>
    <mergeCell ref="FU60:FY60"/>
    <mergeCell ref="FU61:FW61"/>
    <mergeCell ref="FU67:FY67"/>
    <mergeCell ref="FU68:FW68"/>
    <mergeCell ref="FU74:FY74"/>
    <mergeCell ref="FU75:FW75"/>
    <mergeCell ref="FU81:FY81"/>
    <mergeCell ref="FU70:FW70"/>
    <mergeCell ref="FY70:GA70"/>
    <mergeCell ref="FU71:FW71"/>
    <mergeCell ref="FY71:GA71"/>
    <mergeCell ref="FV72:FX72"/>
    <mergeCell ref="FZ72:GA72"/>
    <mergeCell ref="FV73:FX73"/>
    <mergeCell ref="FZ73:GA73"/>
    <mergeCell ref="FU76:FW76"/>
    <mergeCell ref="FY76:GA76"/>
    <mergeCell ref="FU77:FW77"/>
    <mergeCell ref="FY77:GA77"/>
    <mergeCell ref="FU78:FW78"/>
    <mergeCell ref="FY78:GA78"/>
    <mergeCell ref="FV79:FX79"/>
    <mergeCell ref="HO41:HQ41"/>
    <mergeCell ref="HK42:HM42"/>
    <mergeCell ref="HO42:HQ42"/>
    <mergeCell ref="GB67:GF67"/>
    <mergeCell ref="GB68:GD68"/>
    <mergeCell ref="GB74:GF74"/>
    <mergeCell ref="GB75:GD75"/>
    <mergeCell ref="HL58:HN58"/>
    <mergeCell ref="HP58:HQ58"/>
    <mergeCell ref="HL59:HN59"/>
    <mergeCell ref="HP59:HQ59"/>
    <mergeCell ref="HK62:HM62"/>
    <mergeCell ref="HO62:HQ62"/>
    <mergeCell ref="HK63:HM63"/>
    <mergeCell ref="HO63:HQ63"/>
    <mergeCell ref="GB81:GF81"/>
    <mergeCell ref="HD53:HH53"/>
    <mergeCell ref="HD54:HF54"/>
    <mergeCell ref="FY54:GA54"/>
    <mergeCell ref="GM77:GO77"/>
    <mergeCell ref="GI78:GK78"/>
    <mergeCell ref="GM78:GO78"/>
    <mergeCell ref="GJ79:GL79"/>
    <mergeCell ref="GN79:GO79"/>
    <mergeCell ref="GJ80:GL80"/>
    <mergeCell ref="GN80:GO80"/>
    <mergeCell ref="GI76:GK76"/>
    <mergeCell ref="GM76:GO76"/>
    <mergeCell ref="GB48:GD48"/>
    <mergeCell ref="GF48:GH48"/>
    <mergeCell ref="GB49:GD49"/>
    <mergeCell ref="GF49:GH49"/>
    <mergeCell ref="GB50:GD50"/>
    <mergeCell ref="GF50:GH50"/>
    <mergeCell ref="GC51:GE51"/>
    <mergeCell ref="GG51:GH51"/>
    <mergeCell ref="GC52:GE52"/>
    <mergeCell ref="FU25:FY25"/>
    <mergeCell ref="FU32:FY32"/>
    <mergeCell ref="FU33:FW33"/>
    <mergeCell ref="FU39:FY39"/>
    <mergeCell ref="FU40:FW40"/>
    <mergeCell ref="GN30:GO30"/>
    <mergeCell ref="GJ31:GL31"/>
    <mergeCell ref="GN31:GO31"/>
    <mergeCell ref="GI34:GK34"/>
    <mergeCell ref="GM34:GO34"/>
    <mergeCell ref="GI35:GK35"/>
    <mergeCell ref="GM35:GO35"/>
    <mergeCell ref="GI36:GK36"/>
    <mergeCell ref="GM36:GO36"/>
    <mergeCell ref="GJ37:GL37"/>
    <mergeCell ref="GN37:GO37"/>
    <mergeCell ref="GJ38:GL38"/>
    <mergeCell ref="GN38:GO38"/>
    <mergeCell ref="GI41:GK41"/>
    <mergeCell ref="HI37:HJ37"/>
    <mergeCell ref="HE38:HG38"/>
    <mergeCell ref="HI38:HJ38"/>
    <mergeCell ref="HD41:HF41"/>
    <mergeCell ref="HH41:HJ41"/>
    <mergeCell ref="HD42:HF42"/>
    <mergeCell ref="HH42:HJ42"/>
    <mergeCell ref="HL38:HN38"/>
    <mergeCell ref="HK41:HM41"/>
    <mergeCell ref="GM43:GO43"/>
    <mergeCell ref="GG31:GH31"/>
    <mergeCell ref="GB60:GF60"/>
    <mergeCell ref="GB61:GD61"/>
    <mergeCell ref="HK53:HO53"/>
    <mergeCell ref="HK54:HM54"/>
    <mergeCell ref="GU58:GV58"/>
    <mergeCell ref="GQ59:GS59"/>
    <mergeCell ref="GU59:GV59"/>
    <mergeCell ref="HD46:HH46"/>
    <mergeCell ref="HD47:HF47"/>
    <mergeCell ref="GG52:GH52"/>
    <mergeCell ref="GB55:GD55"/>
    <mergeCell ref="FY36:GA36"/>
    <mergeCell ref="FV37:FX37"/>
    <mergeCell ref="FZ37:GA37"/>
    <mergeCell ref="FV38:FX38"/>
    <mergeCell ref="FZ38:GA38"/>
    <mergeCell ref="FU41:FW41"/>
    <mergeCell ref="FY41:GA41"/>
    <mergeCell ref="FU42:FW42"/>
    <mergeCell ref="FY42:GA42"/>
    <mergeCell ref="FU43:FW43"/>
    <mergeCell ref="FY43:GA43"/>
    <mergeCell ref="FV44:FX44"/>
    <mergeCell ref="FZ44:GA44"/>
    <mergeCell ref="FV45:FX45"/>
    <mergeCell ref="FV52:FX52"/>
    <mergeCell ref="FZ52:GA52"/>
    <mergeCell ref="FU55:FW55"/>
    <mergeCell ref="FY55:GA55"/>
    <mergeCell ref="FZ45:GA45"/>
    <mergeCell ref="FU48:FW48"/>
    <mergeCell ref="FY48:GA48"/>
    <mergeCell ref="FU49:FW49"/>
    <mergeCell ref="GI55:GK55"/>
    <mergeCell ref="HK55:HM55"/>
    <mergeCell ref="HO55:HQ55"/>
    <mergeCell ref="GB25:GF25"/>
    <mergeCell ref="GB26:GD26"/>
    <mergeCell ref="GB32:GF32"/>
    <mergeCell ref="GB33:GD33"/>
    <mergeCell ref="GB39:GF39"/>
    <mergeCell ref="GB40:GD40"/>
    <mergeCell ref="GB46:GF46"/>
    <mergeCell ref="GB47:GD47"/>
    <mergeCell ref="GB53:GF53"/>
    <mergeCell ref="GB54:GD54"/>
    <mergeCell ref="HP31:HQ31"/>
    <mergeCell ref="HK34:HM34"/>
    <mergeCell ref="HO34:HQ34"/>
    <mergeCell ref="HK35:HM35"/>
    <mergeCell ref="HO35:HQ35"/>
    <mergeCell ref="HK36:HM36"/>
    <mergeCell ref="HO36:HQ36"/>
    <mergeCell ref="HL37:HN37"/>
    <mergeCell ref="HO43:HQ43"/>
    <mergeCell ref="HL44:HN44"/>
    <mergeCell ref="HP44:HQ44"/>
    <mergeCell ref="HL45:HN45"/>
    <mergeCell ref="HP45:HQ45"/>
    <mergeCell ref="HK48:HM48"/>
    <mergeCell ref="HO48:HQ48"/>
    <mergeCell ref="HK49:HM49"/>
    <mergeCell ref="HO49:HQ49"/>
    <mergeCell ref="HK50:HM50"/>
    <mergeCell ref="HO50:HQ50"/>
    <mergeCell ref="HH34:HJ34"/>
    <mergeCell ref="HL51:HN51"/>
    <mergeCell ref="HP51:HQ51"/>
    <mergeCell ref="HL52:HN52"/>
    <mergeCell ref="HP52:HQ52"/>
    <mergeCell ref="HK46:HO46"/>
    <mergeCell ref="HK47:HM47"/>
    <mergeCell ref="GU37:GV37"/>
    <mergeCell ref="GQ38:GS38"/>
    <mergeCell ref="GU38:GV38"/>
    <mergeCell ref="GP41:GR41"/>
    <mergeCell ref="GN52:GO52"/>
    <mergeCell ref="GJ44:GL44"/>
    <mergeCell ref="GM55:GO55"/>
    <mergeCell ref="GW55:GY55"/>
    <mergeCell ref="GX31:GZ31"/>
    <mergeCell ref="HB31:HC31"/>
    <mergeCell ref="GW32:HA32"/>
    <mergeCell ref="GW33:GY33"/>
    <mergeCell ref="GW34:GY34"/>
    <mergeCell ref="HA34:HC34"/>
    <mergeCell ref="GW35:GY35"/>
    <mergeCell ref="HA35:HC35"/>
    <mergeCell ref="GW36:GY36"/>
    <mergeCell ref="HA36:HC36"/>
    <mergeCell ref="GX37:GZ37"/>
    <mergeCell ref="HB37:HC37"/>
    <mergeCell ref="GX38:GZ38"/>
    <mergeCell ref="HB38:HC38"/>
    <mergeCell ref="HL101:HN101"/>
    <mergeCell ref="HP101:HQ101"/>
    <mergeCell ref="HK96:HM96"/>
    <mergeCell ref="HO96:HQ96"/>
    <mergeCell ref="HK102:HO102"/>
    <mergeCell ref="HK103:HM103"/>
    <mergeCell ref="HK106:HM106"/>
    <mergeCell ref="HO106:HQ106"/>
    <mergeCell ref="HL107:HN107"/>
    <mergeCell ref="HP107:HQ107"/>
    <mergeCell ref="HL108:HN108"/>
    <mergeCell ref="HP108:HQ108"/>
    <mergeCell ref="HO98:HQ98"/>
    <mergeCell ref="HL80:HN80"/>
    <mergeCell ref="HP80:HQ80"/>
    <mergeCell ref="HK83:HM83"/>
    <mergeCell ref="HO83:HQ83"/>
    <mergeCell ref="HK84:HM84"/>
    <mergeCell ref="HO84:HQ84"/>
    <mergeCell ref="HK85:HM85"/>
    <mergeCell ref="HO85:HQ85"/>
    <mergeCell ref="HL86:HN86"/>
    <mergeCell ref="HP86:HQ86"/>
    <mergeCell ref="HL87:HN87"/>
    <mergeCell ref="HP87:HQ87"/>
    <mergeCell ref="HK90:HM90"/>
    <mergeCell ref="HO90:HQ90"/>
    <mergeCell ref="HK91:HM91"/>
    <mergeCell ref="HO91:HQ91"/>
    <mergeCell ref="HK92:HM92"/>
    <mergeCell ref="HO92:HQ92"/>
    <mergeCell ref="HK155:HM155"/>
    <mergeCell ref="HO155:HQ155"/>
    <mergeCell ref="HK104:HM104"/>
    <mergeCell ref="HO104:HQ104"/>
    <mergeCell ref="HK105:HM105"/>
    <mergeCell ref="HO105:HQ105"/>
    <mergeCell ref="HL114:HN114"/>
    <mergeCell ref="HP114:HQ114"/>
    <mergeCell ref="HL115:HN115"/>
    <mergeCell ref="HP115:HQ115"/>
    <mergeCell ref="HK118:HM118"/>
    <mergeCell ref="HO118:HQ118"/>
    <mergeCell ref="HK116:HO116"/>
    <mergeCell ref="HK117:HM117"/>
    <mergeCell ref="HK119:HM119"/>
    <mergeCell ref="HO119:HQ119"/>
    <mergeCell ref="HK120:HM120"/>
    <mergeCell ref="HO120:HQ120"/>
    <mergeCell ref="HL121:HN121"/>
    <mergeCell ref="HP121:HQ121"/>
    <mergeCell ref="HK111:HM111"/>
    <mergeCell ref="HO111:HQ111"/>
    <mergeCell ref="HK112:HM112"/>
    <mergeCell ref="HO112:HQ112"/>
    <mergeCell ref="HK113:HM113"/>
    <mergeCell ref="HO113:HQ113"/>
    <mergeCell ref="HK109:HO109"/>
    <mergeCell ref="HK110:HM110"/>
    <mergeCell ref="HK130:HO130"/>
    <mergeCell ref="HK131:HM131"/>
    <mergeCell ref="HK137:HO137"/>
    <mergeCell ref="HK138:HM138"/>
    <mergeCell ref="HK99:HM99"/>
    <mergeCell ref="HK177:HM177"/>
    <mergeCell ref="HO177:HQ177"/>
    <mergeCell ref="HL178:HN178"/>
    <mergeCell ref="HP178:HQ178"/>
    <mergeCell ref="HK132:HM132"/>
    <mergeCell ref="HO132:HQ132"/>
    <mergeCell ref="HK133:HM133"/>
    <mergeCell ref="HO133:HQ133"/>
    <mergeCell ref="HK134:HM134"/>
    <mergeCell ref="HO134:HQ134"/>
    <mergeCell ref="HL135:HN135"/>
    <mergeCell ref="HP135:HQ135"/>
    <mergeCell ref="HL136:HN136"/>
    <mergeCell ref="HP136:HQ136"/>
    <mergeCell ref="HK139:HM139"/>
    <mergeCell ref="HO139:HQ139"/>
    <mergeCell ref="HK140:HM140"/>
    <mergeCell ref="HO140:HQ140"/>
    <mergeCell ref="HK141:HM141"/>
    <mergeCell ref="HO141:HQ141"/>
    <mergeCell ref="HK147:HM147"/>
    <mergeCell ref="HO147:HQ147"/>
    <mergeCell ref="HK148:HM148"/>
    <mergeCell ref="HO148:HQ148"/>
    <mergeCell ref="HK149:HM149"/>
    <mergeCell ref="HO149:HQ149"/>
    <mergeCell ref="HL150:HN150"/>
    <mergeCell ref="HP150:HQ150"/>
    <mergeCell ref="HL151:HN151"/>
    <mergeCell ref="HP151:HQ151"/>
    <mergeCell ref="HK154:HM154"/>
    <mergeCell ref="HO154:HQ154"/>
    <mergeCell ref="HK191:HM191"/>
    <mergeCell ref="HO191:HQ191"/>
    <mergeCell ref="HK156:HM156"/>
    <mergeCell ref="HO156:HQ156"/>
    <mergeCell ref="HL157:HN157"/>
    <mergeCell ref="HP157:HQ157"/>
    <mergeCell ref="HL158:HN158"/>
    <mergeCell ref="HP158:HQ158"/>
    <mergeCell ref="HK161:HM161"/>
    <mergeCell ref="HO161:HQ161"/>
    <mergeCell ref="HK162:HM162"/>
    <mergeCell ref="HO162:HQ162"/>
    <mergeCell ref="HK163:HM163"/>
    <mergeCell ref="HO163:HQ163"/>
    <mergeCell ref="HL164:HN164"/>
    <mergeCell ref="HP164:HQ164"/>
    <mergeCell ref="HL165:HN165"/>
    <mergeCell ref="HP165:HQ165"/>
    <mergeCell ref="HK168:HM168"/>
    <mergeCell ref="HO168:HQ168"/>
    <mergeCell ref="HK169:HM169"/>
    <mergeCell ref="HO169:HQ169"/>
    <mergeCell ref="HK170:HM170"/>
    <mergeCell ref="HO170:HQ170"/>
    <mergeCell ref="HL171:HN171"/>
    <mergeCell ref="HP171:HQ171"/>
    <mergeCell ref="HL172:HN172"/>
    <mergeCell ref="HP172:HQ172"/>
    <mergeCell ref="HK175:HM175"/>
    <mergeCell ref="HO175:HQ175"/>
    <mergeCell ref="HK176:HM176"/>
    <mergeCell ref="HO176:HQ176"/>
    <mergeCell ref="HK217:HM217"/>
    <mergeCell ref="HO217:HQ217"/>
    <mergeCell ref="HK218:HM218"/>
    <mergeCell ref="HO218:HQ218"/>
    <mergeCell ref="HK219:HM219"/>
    <mergeCell ref="HO219:HQ219"/>
    <mergeCell ref="HL220:HN220"/>
    <mergeCell ref="HP220:HQ220"/>
    <mergeCell ref="HL221:HN221"/>
    <mergeCell ref="HP221:HQ221"/>
    <mergeCell ref="HK224:HM224"/>
    <mergeCell ref="HO224:HQ224"/>
    <mergeCell ref="HK225:HM225"/>
    <mergeCell ref="HO225:HQ225"/>
    <mergeCell ref="HK226:HM226"/>
    <mergeCell ref="HO226:HQ226"/>
    <mergeCell ref="HL179:HN179"/>
    <mergeCell ref="HP179:HQ179"/>
    <mergeCell ref="HK182:HM182"/>
    <mergeCell ref="HO182:HQ182"/>
    <mergeCell ref="HK183:HM183"/>
    <mergeCell ref="HO183:HQ183"/>
    <mergeCell ref="HK184:HM184"/>
    <mergeCell ref="HO184:HQ184"/>
    <mergeCell ref="HL185:HN185"/>
    <mergeCell ref="HP185:HQ185"/>
    <mergeCell ref="HL186:HN186"/>
    <mergeCell ref="HP186:HQ186"/>
    <mergeCell ref="HK189:HM189"/>
    <mergeCell ref="HO189:HQ189"/>
    <mergeCell ref="HK190:HM190"/>
    <mergeCell ref="HO190:HQ190"/>
    <mergeCell ref="HO203:HQ203"/>
    <mergeCell ref="HK205:HM205"/>
    <mergeCell ref="HO205:HQ205"/>
    <mergeCell ref="HL206:HN206"/>
    <mergeCell ref="HP206:HQ206"/>
    <mergeCell ref="HL207:HN207"/>
    <mergeCell ref="HP207:HQ207"/>
    <mergeCell ref="HK210:HM210"/>
    <mergeCell ref="HO210:HQ210"/>
    <mergeCell ref="HK211:HM211"/>
    <mergeCell ref="HO211:HQ211"/>
    <mergeCell ref="HK212:HM212"/>
    <mergeCell ref="HO212:HQ212"/>
    <mergeCell ref="HL213:HN213"/>
    <mergeCell ref="HP213:HQ213"/>
    <mergeCell ref="HL214:HN214"/>
    <mergeCell ref="HP214:HQ214"/>
    <mergeCell ref="HL228:HN228"/>
    <mergeCell ref="HP228:HQ228"/>
    <mergeCell ref="HD19:HF19"/>
    <mergeCell ref="HD20:HF20"/>
    <mergeCell ref="HH20:HJ20"/>
    <mergeCell ref="HD21:HF21"/>
    <mergeCell ref="HH21:HJ21"/>
    <mergeCell ref="HD22:HF22"/>
    <mergeCell ref="HH22:HJ22"/>
    <mergeCell ref="HE23:HG23"/>
    <mergeCell ref="HI23:HJ23"/>
    <mergeCell ref="HE24:HG24"/>
    <mergeCell ref="HI24:HJ24"/>
    <mergeCell ref="HD27:HF27"/>
    <mergeCell ref="HH27:HJ27"/>
    <mergeCell ref="HD28:HF28"/>
    <mergeCell ref="HH28:HJ28"/>
    <mergeCell ref="HD29:HF29"/>
    <mergeCell ref="HH29:HJ29"/>
    <mergeCell ref="HE30:HG30"/>
    <mergeCell ref="HD50:HF50"/>
    <mergeCell ref="HH50:HJ50"/>
    <mergeCell ref="HE51:HG51"/>
    <mergeCell ref="HI51:HJ51"/>
    <mergeCell ref="HE52:HG52"/>
    <mergeCell ref="HI52:HJ52"/>
    <mergeCell ref="HD55:HF55"/>
    <mergeCell ref="HH55:HJ55"/>
    <mergeCell ref="HD78:HF78"/>
    <mergeCell ref="HH78:HJ78"/>
    <mergeCell ref="HK204:HM204"/>
    <mergeCell ref="HO204:HQ204"/>
    <mergeCell ref="HD43:HF43"/>
    <mergeCell ref="HH43:HJ43"/>
    <mergeCell ref="HE44:HG44"/>
    <mergeCell ref="HI44:HJ44"/>
    <mergeCell ref="HE45:HG45"/>
    <mergeCell ref="HI45:HJ45"/>
    <mergeCell ref="HD48:HF48"/>
    <mergeCell ref="HH48:HJ48"/>
    <mergeCell ref="HD49:HF49"/>
    <mergeCell ref="HH49:HJ49"/>
    <mergeCell ref="HE79:HG79"/>
    <mergeCell ref="HI79:HJ79"/>
    <mergeCell ref="HD56:HF56"/>
    <mergeCell ref="HH56:HJ56"/>
    <mergeCell ref="HD57:HF57"/>
    <mergeCell ref="HL227:HN227"/>
    <mergeCell ref="HP227:HQ227"/>
    <mergeCell ref="HL192:HN192"/>
    <mergeCell ref="HP192:HQ192"/>
    <mergeCell ref="HL193:HN193"/>
    <mergeCell ref="HP193:HQ193"/>
    <mergeCell ref="HK196:HM196"/>
    <mergeCell ref="HO196:HQ196"/>
    <mergeCell ref="HK197:HM197"/>
    <mergeCell ref="HO197:HQ197"/>
    <mergeCell ref="HK198:HM198"/>
    <mergeCell ref="HO198:HQ198"/>
    <mergeCell ref="HL199:HN199"/>
    <mergeCell ref="HP199:HQ199"/>
    <mergeCell ref="HL200:HN200"/>
    <mergeCell ref="HP200:HQ200"/>
    <mergeCell ref="HK203:HM203"/>
    <mergeCell ref="HD106:HF106"/>
    <mergeCell ref="HH106:HJ106"/>
    <mergeCell ref="HE107:HG107"/>
    <mergeCell ref="HI107:HJ107"/>
    <mergeCell ref="HE108:HG108"/>
    <mergeCell ref="HH156:HJ156"/>
    <mergeCell ref="HD88:HH88"/>
    <mergeCell ref="HD89:HF89"/>
    <mergeCell ref="HH57:HJ57"/>
    <mergeCell ref="HE58:HG58"/>
    <mergeCell ref="HI58:HJ58"/>
    <mergeCell ref="HE59:HG59"/>
    <mergeCell ref="HI59:HJ59"/>
    <mergeCell ref="HD62:HF62"/>
    <mergeCell ref="HH62:HJ62"/>
    <mergeCell ref="HD63:HF63"/>
    <mergeCell ref="HH63:HJ63"/>
    <mergeCell ref="HD64:HF64"/>
    <mergeCell ref="HH64:HJ64"/>
    <mergeCell ref="HE65:HG65"/>
    <mergeCell ref="HI65:HJ65"/>
    <mergeCell ref="HE66:HG66"/>
    <mergeCell ref="HI66:HJ66"/>
    <mergeCell ref="HI80:HJ80"/>
    <mergeCell ref="HD83:HF83"/>
    <mergeCell ref="HH83:HJ83"/>
    <mergeCell ref="HD84:HF84"/>
    <mergeCell ref="HH84:HJ84"/>
    <mergeCell ref="HD85:HF85"/>
    <mergeCell ref="HH85:HJ85"/>
    <mergeCell ref="HE86:HG86"/>
    <mergeCell ref="HI86:HJ86"/>
    <mergeCell ref="HE87:HG87"/>
    <mergeCell ref="HI87:HJ87"/>
    <mergeCell ref="HI108:HJ108"/>
    <mergeCell ref="HD111:HF111"/>
    <mergeCell ref="HH111:HJ111"/>
    <mergeCell ref="HD112:HF112"/>
    <mergeCell ref="HH112:HJ112"/>
    <mergeCell ref="HD60:HH60"/>
    <mergeCell ref="HD61:HF61"/>
    <mergeCell ref="HD67:HH67"/>
    <mergeCell ref="HD68:HF68"/>
    <mergeCell ref="HD74:HH74"/>
    <mergeCell ref="HD75:HF75"/>
    <mergeCell ref="HD81:HH81"/>
    <mergeCell ref="HE80:HG80"/>
    <mergeCell ref="HD69:HF69"/>
    <mergeCell ref="HH69:HJ69"/>
    <mergeCell ref="HD70:HF70"/>
    <mergeCell ref="HH70:HJ70"/>
    <mergeCell ref="HD71:HF71"/>
    <mergeCell ref="HH71:HJ71"/>
    <mergeCell ref="HE72:HG72"/>
    <mergeCell ref="HI72:HJ72"/>
    <mergeCell ref="HE73:HG73"/>
    <mergeCell ref="HI73:HJ73"/>
    <mergeCell ref="HH75:HJ75"/>
    <mergeCell ref="HD90:HF90"/>
    <mergeCell ref="HH90:HJ90"/>
    <mergeCell ref="HD91:HF91"/>
    <mergeCell ref="HH91:HJ91"/>
    <mergeCell ref="HD92:HF92"/>
    <mergeCell ref="HH92:HJ92"/>
    <mergeCell ref="HE157:HG157"/>
    <mergeCell ref="HI157:HJ157"/>
    <mergeCell ref="HE158:HG158"/>
    <mergeCell ref="HI158:HJ158"/>
    <mergeCell ref="HD161:HF161"/>
    <mergeCell ref="HH161:HJ161"/>
    <mergeCell ref="HD118:HF118"/>
    <mergeCell ref="HH118:HJ118"/>
    <mergeCell ref="HD109:HH109"/>
    <mergeCell ref="HD110:HF110"/>
    <mergeCell ref="HD116:HH116"/>
    <mergeCell ref="HD117:HF117"/>
    <mergeCell ref="HD119:HF119"/>
    <mergeCell ref="HH119:HJ119"/>
    <mergeCell ref="HD120:HF120"/>
    <mergeCell ref="HH120:HJ120"/>
    <mergeCell ref="HE121:HG121"/>
    <mergeCell ref="HI121:HJ121"/>
    <mergeCell ref="HE122:HG122"/>
    <mergeCell ref="HI122:HJ122"/>
    <mergeCell ref="HD125:HF125"/>
    <mergeCell ref="HH125:HJ125"/>
    <mergeCell ref="HD126:HF126"/>
    <mergeCell ref="HH126:HJ126"/>
    <mergeCell ref="HD127:HF127"/>
    <mergeCell ref="HH127:HJ127"/>
    <mergeCell ref="HE128:HG128"/>
    <mergeCell ref="HI128:HJ128"/>
    <mergeCell ref="HE129:HG129"/>
    <mergeCell ref="HI129:HJ129"/>
    <mergeCell ref="HD123:HH123"/>
    <mergeCell ref="HI171:HJ171"/>
    <mergeCell ref="HH163:HJ163"/>
    <mergeCell ref="HE164:HG164"/>
    <mergeCell ref="HI164:HJ164"/>
    <mergeCell ref="HE165:HG165"/>
    <mergeCell ref="HI165:HJ165"/>
    <mergeCell ref="HD168:HF168"/>
    <mergeCell ref="HH168:HJ168"/>
    <mergeCell ref="HD113:HF113"/>
    <mergeCell ref="HH113:HJ113"/>
    <mergeCell ref="HE114:HG114"/>
    <mergeCell ref="HI114:HJ114"/>
    <mergeCell ref="HE115:HG115"/>
    <mergeCell ref="HI115:HJ115"/>
    <mergeCell ref="HH131:HJ131"/>
    <mergeCell ref="HH138:HJ138"/>
    <mergeCell ref="HD124:HF124"/>
    <mergeCell ref="HD132:HF132"/>
    <mergeCell ref="HH132:HJ132"/>
    <mergeCell ref="HD133:HF133"/>
    <mergeCell ref="HH133:HJ133"/>
    <mergeCell ref="HD134:HF134"/>
    <mergeCell ref="HH134:HJ134"/>
    <mergeCell ref="HE135:HG135"/>
    <mergeCell ref="HI135:HJ135"/>
    <mergeCell ref="HE172:HG172"/>
    <mergeCell ref="HI172:HJ172"/>
    <mergeCell ref="HD175:HF175"/>
    <mergeCell ref="HH175:HJ175"/>
    <mergeCell ref="HD176:HF176"/>
    <mergeCell ref="HH176:HJ176"/>
    <mergeCell ref="HD177:HF177"/>
    <mergeCell ref="HH177:HJ177"/>
    <mergeCell ref="HD140:HF140"/>
    <mergeCell ref="HH140:HJ140"/>
    <mergeCell ref="HD141:HF141"/>
    <mergeCell ref="HH141:HJ141"/>
    <mergeCell ref="HE142:HG142"/>
    <mergeCell ref="HI142:HJ142"/>
    <mergeCell ref="HE143:HG143"/>
    <mergeCell ref="HI143:HJ143"/>
    <mergeCell ref="HD147:HF147"/>
    <mergeCell ref="HH147:HJ147"/>
    <mergeCell ref="HD148:HF148"/>
    <mergeCell ref="HH148:HJ148"/>
    <mergeCell ref="HD149:HF149"/>
    <mergeCell ref="HH149:HJ149"/>
    <mergeCell ref="HE150:HG150"/>
    <mergeCell ref="HI150:HJ150"/>
    <mergeCell ref="HE151:HG151"/>
    <mergeCell ref="HI151:HJ151"/>
    <mergeCell ref="HD154:HF154"/>
    <mergeCell ref="HH154:HJ154"/>
    <mergeCell ref="HD155:HF155"/>
    <mergeCell ref="HH155:HJ155"/>
    <mergeCell ref="HD156:HF156"/>
    <mergeCell ref="HE221:HG221"/>
    <mergeCell ref="HI221:HJ221"/>
    <mergeCell ref="HH217:HJ217"/>
    <mergeCell ref="HD218:HF218"/>
    <mergeCell ref="HH218:HJ218"/>
    <mergeCell ref="HD219:HF219"/>
    <mergeCell ref="HH219:HJ219"/>
    <mergeCell ref="HE193:HG193"/>
    <mergeCell ref="HI193:HJ193"/>
    <mergeCell ref="HD196:HF196"/>
    <mergeCell ref="HH196:HJ196"/>
    <mergeCell ref="HD197:HF197"/>
    <mergeCell ref="HH197:HJ197"/>
    <mergeCell ref="HD198:HF198"/>
    <mergeCell ref="HH198:HJ198"/>
    <mergeCell ref="HE199:HG199"/>
    <mergeCell ref="HI199:HJ199"/>
    <mergeCell ref="HE200:HG200"/>
    <mergeCell ref="HI200:HJ200"/>
    <mergeCell ref="HD203:HF203"/>
    <mergeCell ref="HH203:HJ203"/>
    <mergeCell ref="HD204:HF204"/>
    <mergeCell ref="HH204:HJ204"/>
    <mergeCell ref="HD205:HF205"/>
    <mergeCell ref="HD210:HF210"/>
    <mergeCell ref="HH210:HJ210"/>
    <mergeCell ref="HE206:HG206"/>
    <mergeCell ref="HI206:HJ206"/>
    <mergeCell ref="HE207:HG207"/>
    <mergeCell ref="HI207:HJ207"/>
    <mergeCell ref="HD162:HF162"/>
    <mergeCell ref="HH162:HJ162"/>
    <mergeCell ref="HD163:HF163"/>
    <mergeCell ref="HD224:HF224"/>
    <mergeCell ref="HH224:HJ224"/>
    <mergeCell ref="HD225:HF225"/>
    <mergeCell ref="HH225:HJ225"/>
    <mergeCell ref="HD226:HF226"/>
    <mergeCell ref="HH226:HJ226"/>
    <mergeCell ref="HE227:HG227"/>
    <mergeCell ref="HI227:HJ227"/>
    <mergeCell ref="HE228:HG228"/>
    <mergeCell ref="HI228:HJ228"/>
    <mergeCell ref="HH205:HJ205"/>
    <mergeCell ref="HE185:HG185"/>
    <mergeCell ref="HI185:HJ185"/>
    <mergeCell ref="HE186:HG186"/>
    <mergeCell ref="HI186:HJ186"/>
    <mergeCell ref="HD189:HF189"/>
    <mergeCell ref="HH189:HJ189"/>
    <mergeCell ref="HD190:HF190"/>
    <mergeCell ref="HH190:HJ190"/>
    <mergeCell ref="HD191:HF191"/>
    <mergeCell ref="HH191:HJ191"/>
    <mergeCell ref="HE192:HG192"/>
    <mergeCell ref="HI192:HJ192"/>
    <mergeCell ref="GT22:GV22"/>
    <mergeCell ref="GQ23:GS23"/>
    <mergeCell ref="GU23:GV23"/>
    <mergeCell ref="GQ24:GS24"/>
    <mergeCell ref="GU24:GV24"/>
    <mergeCell ref="GP27:GR27"/>
    <mergeCell ref="GT27:GV27"/>
    <mergeCell ref="GP28:GR28"/>
    <mergeCell ref="GT28:GV28"/>
    <mergeCell ref="GP29:GR29"/>
    <mergeCell ref="GT29:GV29"/>
    <mergeCell ref="HE136:HG136"/>
    <mergeCell ref="HI136:HJ136"/>
    <mergeCell ref="HD139:HF139"/>
    <mergeCell ref="HH139:HJ139"/>
    <mergeCell ref="HE220:HG220"/>
    <mergeCell ref="HI220:HJ220"/>
    <mergeCell ref="HE178:HG178"/>
    <mergeCell ref="HI178:HJ178"/>
    <mergeCell ref="HE179:HG179"/>
    <mergeCell ref="HI179:HJ179"/>
    <mergeCell ref="HD182:HF182"/>
    <mergeCell ref="HH182:HJ182"/>
    <mergeCell ref="HD183:HF183"/>
    <mergeCell ref="HH183:HJ183"/>
    <mergeCell ref="HD184:HF184"/>
    <mergeCell ref="HH184:HJ184"/>
    <mergeCell ref="HD169:HF169"/>
    <mergeCell ref="HH169:HJ169"/>
    <mergeCell ref="HD170:HF170"/>
    <mergeCell ref="HH170:HJ170"/>
    <mergeCell ref="HE171:HG171"/>
    <mergeCell ref="HD211:HF211"/>
    <mergeCell ref="HH211:HJ211"/>
    <mergeCell ref="HD212:HF212"/>
    <mergeCell ref="HH212:HJ212"/>
    <mergeCell ref="HE213:HG213"/>
    <mergeCell ref="HI213:HJ213"/>
    <mergeCell ref="HE214:HG214"/>
    <mergeCell ref="HI214:HJ214"/>
    <mergeCell ref="HD217:HF217"/>
    <mergeCell ref="GU129:GV129"/>
    <mergeCell ref="GP123:GT123"/>
    <mergeCell ref="GP124:GR124"/>
    <mergeCell ref="GP133:GR133"/>
    <mergeCell ref="GT133:GV133"/>
    <mergeCell ref="GP103:GR103"/>
    <mergeCell ref="GP109:GT109"/>
    <mergeCell ref="GP110:GR110"/>
    <mergeCell ref="GP116:GT116"/>
    <mergeCell ref="GP117:GR117"/>
    <mergeCell ref="GT120:GV120"/>
    <mergeCell ref="GP111:GR111"/>
    <mergeCell ref="GT111:GV111"/>
    <mergeCell ref="GP112:GR112"/>
    <mergeCell ref="GT112:GV112"/>
    <mergeCell ref="GT96:GV96"/>
    <mergeCell ref="GT103:GV103"/>
    <mergeCell ref="GQ65:GS65"/>
    <mergeCell ref="GT42:GV42"/>
    <mergeCell ref="GP43:GR43"/>
    <mergeCell ref="GT43:GV43"/>
    <mergeCell ref="GQ44:GS44"/>
    <mergeCell ref="GU44:GV44"/>
    <mergeCell ref="GQ45:GS45"/>
    <mergeCell ref="GU45:GV45"/>
    <mergeCell ref="GP48:GR48"/>
    <mergeCell ref="GT48:GV48"/>
    <mergeCell ref="GP49:GR49"/>
    <mergeCell ref="GT49:GV49"/>
    <mergeCell ref="GP50:GR50"/>
    <mergeCell ref="GT50:GV50"/>
    <mergeCell ref="GQ51:GS51"/>
    <mergeCell ref="GU51:GV51"/>
    <mergeCell ref="GQ52:GS52"/>
    <mergeCell ref="GU52:GV52"/>
    <mergeCell ref="GU65:GV65"/>
    <mergeCell ref="GQ66:GS66"/>
    <mergeCell ref="GU66:GV66"/>
    <mergeCell ref="GP69:GR69"/>
    <mergeCell ref="GT69:GV69"/>
    <mergeCell ref="GP70:GR70"/>
    <mergeCell ref="GT70:GV70"/>
    <mergeCell ref="GP71:GR71"/>
    <mergeCell ref="GT71:GV71"/>
    <mergeCell ref="GQ72:GS72"/>
    <mergeCell ref="GU72:GV72"/>
    <mergeCell ref="GQ73:GS73"/>
    <mergeCell ref="GU73:GV73"/>
    <mergeCell ref="GP76:GR76"/>
    <mergeCell ref="GT76:GV76"/>
    <mergeCell ref="GP77:GR77"/>
    <mergeCell ref="GT77:GV77"/>
    <mergeCell ref="GT75:GV75"/>
    <mergeCell ref="GQ79:GS79"/>
    <mergeCell ref="GU79:GV79"/>
    <mergeCell ref="GQ80:GS80"/>
    <mergeCell ref="GU80:GV80"/>
    <mergeCell ref="GU87:GV87"/>
    <mergeCell ref="GP42:GR42"/>
    <mergeCell ref="GP55:GR55"/>
    <mergeCell ref="GT55:GV55"/>
    <mergeCell ref="GP56:GR56"/>
    <mergeCell ref="GT56:GV56"/>
    <mergeCell ref="GP57:GR57"/>
    <mergeCell ref="GT154:GV154"/>
    <mergeCell ref="GP155:GR155"/>
    <mergeCell ref="GT155:GV155"/>
    <mergeCell ref="HL142:HN142"/>
    <mergeCell ref="HK125:HM125"/>
    <mergeCell ref="HO125:HQ125"/>
    <mergeCell ref="HK126:HM126"/>
    <mergeCell ref="HO126:HQ126"/>
    <mergeCell ref="HK127:HM127"/>
    <mergeCell ref="HO127:HQ127"/>
    <mergeCell ref="HL128:HN128"/>
    <mergeCell ref="HP128:HQ128"/>
    <mergeCell ref="HL129:HN129"/>
    <mergeCell ref="HP129:HQ129"/>
    <mergeCell ref="HK124:HM124"/>
    <mergeCell ref="HK123:HO123"/>
    <mergeCell ref="HP142:HQ142"/>
    <mergeCell ref="HL143:HN143"/>
    <mergeCell ref="HP143:HQ143"/>
    <mergeCell ref="GT156:GV156"/>
    <mergeCell ref="GQ157:GS157"/>
    <mergeCell ref="GU157:GV157"/>
    <mergeCell ref="GQ158:GS158"/>
    <mergeCell ref="GU158:GV158"/>
    <mergeCell ref="GP132:GR132"/>
    <mergeCell ref="GT132:GV132"/>
    <mergeCell ref="GQ135:GS135"/>
    <mergeCell ref="GU135:GV135"/>
    <mergeCell ref="GQ136:GS136"/>
    <mergeCell ref="GU136:GV136"/>
    <mergeCell ref="GP139:GR139"/>
    <mergeCell ref="GT139:GV139"/>
    <mergeCell ref="GP140:GR140"/>
    <mergeCell ref="GT140:GV140"/>
    <mergeCell ref="GP141:GR141"/>
    <mergeCell ref="GT141:GV141"/>
    <mergeCell ref="GQ142:GS142"/>
    <mergeCell ref="GU142:GV142"/>
    <mergeCell ref="GQ143:GS143"/>
    <mergeCell ref="GU143:GV143"/>
    <mergeCell ref="GP138:GR138"/>
    <mergeCell ref="GP156:GR156"/>
    <mergeCell ref="GP147:GR147"/>
    <mergeCell ref="GT147:GV147"/>
    <mergeCell ref="GP148:GR148"/>
    <mergeCell ref="GT148:GV148"/>
    <mergeCell ref="GP149:GR149"/>
    <mergeCell ref="GT149:GV149"/>
    <mergeCell ref="GQ150:GS150"/>
    <mergeCell ref="GU150:GV150"/>
    <mergeCell ref="GP130:GT130"/>
    <mergeCell ref="GP131:GR131"/>
    <mergeCell ref="GP137:GT137"/>
    <mergeCell ref="GP134:GR134"/>
    <mergeCell ref="GT134:GV134"/>
    <mergeCell ref="GP125:GR125"/>
    <mergeCell ref="GT125:GV125"/>
    <mergeCell ref="GP126:GR126"/>
    <mergeCell ref="GT126:GV126"/>
    <mergeCell ref="GP127:GR127"/>
    <mergeCell ref="GT127:GV127"/>
    <mergeCell ref="GQ128:GS128"/>
    <mergeCell ref="GU128:GV128"/>
    <mergeCell ref="GQ129:GS129"/>
    <mergeCell ref="GP161:GR161"/>
    <mergeCell ref="GT161:GV161"/>
    <mergeCell ref="GP162:GR162"/>
    <mergeCell ref="GT162:GV162"/>
    <mergeCell ref="GP163:GR163"/>
    <mergeCell ref="GT163:GV163"/>
    <mergeCell ref="GQ164:GS164"/>
    <mergeCell ref="GU164:GV164"/>
    <mergeCell ref="GQ165:GS165"/>
    <mergeCell ref="GU165:GV165"/>
    <mergeCell ref="GP168:GR168"/>
    <mergeCell ref="GT168:GV168"/>
    <mergeCell ref="GP169:GR169"/>
    <mergeCell ref="GT169:GV169"/>
    <mergeCell ref="GQ227:GS227"/>
    <mergeCell ref="GU227:GV227"/>
    <mergeCell ref="GQ228:GS228"/>
    <mergeCell ref="GU228:GV228"/>
    <mergeCell ref="GI25:GM25"/>
    <mergeCell ref="GI26:GK26"/>
    <mergeCell ref="GI32:GM32"/>
    <mergeCell ref="GI33:GK33"/>
    <mergeCell ref="GI39:GM39"/>
    <mergeCell ref="GI40:GK40"/>
    <mergeCell ref="GI46:GM46"/>
    <mergeCell ref="GI47:GK47"/>
    <mergeCell ref="GI53:GM53"/>
    <mergeCell ref="GI54:GK54"/>
    <mergeCell ref="GI60:GM60"/>
    <mergeCell ref="GI61:GK61"/>
    <mergeCell ref="GI67:GM67"/>
    <mergeCell ref="GI68:GK68"/>
    <mergeCell ref="GI74:GM74"/>
    <mergeCell ref="GI75:GK75"/>
    <mergeCell ref="GI81:GM81"/>
    <mergeCell ref="GI82:GK82"/>
    <mergeCell ref="GP198:GR198"/>
    <mergeCell ref="GT198:GV198"/>
    <mergeCell ref="GQ199:GS199"/>
    <mergeCell ref="GU199:GV199"/>
    <mergeCell ref="GQ200:GS200"/>
    <mergeCell ref="GU200:GV200"/>
    <mergeCell ref="GP203:GR203"/>
    <mergeCell ref="GT203:GV203"/>
    <mergeCell ref="GU171:GV171"/>
    <mergeCell ref="GQ172:GS172"/>
    <mergeCell ref="GQ214:GS214"/>
    <mergeCell ref="GU214:GV214"/>
    <mergeCell ref="GP217:GR217"/>
    <mergeCell ref="GT217:GV217"/>
    <mergeCell ref="GP218:GR218"/>
    <mergeCell ref="GT218:GV218"/>
    <mergeCell ref="GP219:GR219"/>
    <mergeCell ref="GT219:GV219"/>
    <mergeCell ref="GQ220:GS220"/>
    <mergeCell ref="GU220:GV220"/>
    <mergeCell ref="GQ221:GS221"/>
    <mergeCell ref="GU221:GV221"/>
    <mergeCell ref="GP224:GR224"/>
    <mergeCell ref="GT224:GV224"/>
    <mergeCell ref="GP225:GR225"/>
    <mergeCell ref="GQ151:GS151"/>
    <mergeCell ref="GU151:GV151"/>
    <mergeCell ref="GP154:GR154"/>
    <mergeCell ref="GT225:GV225"/>
    <mergeCell ref="GP226:GR226"/>
    <mergeCell ref="GT226:GV226"/>
    <mergeCell ref="GP212:GR212"/>
    <mergeCell ref="GT212:GV212"/>
    <mergeCell ref="GP204:GR204"/>
    <mergeCell ref="GT204:GV204"/>
    <mergeCell ref="GP205:GR205"/>
    <mergeCell ref="GT205:GV205"/>
    <mergeCell ref="GQ206:GS206"/>
    <mergeCell ref="GU206:GV206"/>
    <mergeCell ref="GQ193:GS193"/>
    <mergeCell ref="GU193:GV193"/>
    <mergeCell ref="GP196:GR196"/>
    <mergeCell ref="GT196:GV196"/>
    <mergeCell ref="GP197:GR197"/>
    <mergeCell ref="GT197:GV197"/>
    <mergeCell ref="GP170:GR170"/>
    <mergeCell ref="GT170:GV170"/>
    <mergeCell ref="GQ213:GS213"/>
    <mergeCell ref="GU213:GV213"/>
    <mergeCell ref="GU172:GV172"/>
    <mergeCell ref="GP175:GR175"/>
    <mergeCell ref="GT175:GV175"/>
    <mergeCell ref="GP176:GR176"/>
    <mergeCell ref="GT176:GV176"/>
    <mergeCell ref="GP177:GR177"/>
    <mergeCell ref="GT177:GV177"/>
    <mergeCell ref="GQ178:GS178"/>
    <mergeCell ref="GU178:GV178"/>
    <mergeCell ref="GQ179:GS179"/>
    <mergeCell ref="GU179:GV179"/>
    <mergeCell ref="GP182:GR182"/>
    <mergeCell ref="GT182:GV182"/>
    <mergeCell ref="GP183:GR183"/>
    <mergeCell ref="GQ207:GS207"/>
    <mergeCell ref="GU207:GV207"/>
    <mergeCell ref="GP210:GR210"/>
    <mergeCell ref="GT210:GV210"/>
    <mergeCell ref="GP211:GR211"/>
    <mergeCell ref="GT211:GV211"/>
    <mergeCell ref="GT183:GV183"/>
    <mergeCell ref="GQ171:GS171"/>
    <mergeCell ref="GP184:GR184"/>
    <mergeCell ref="GT184:GV184"/>
    <mergeCell ref="GQ185:GS185"/>
    <mergeCell ref="GU185:GV185"/>
    <mergeCell ref="GQ186:GS186"/>
    <mergeCell ref="GU186:GV186"/>
    <mergeCell ref="GP189:GR189"/>
    <mergeCell ref="GT189:GV189"/>
    <mergeCell ref="GP190:GR190"/>
    <mergeCell ref="GT190:GV190"/>
    <mergeCell ref="GP191:GR191"/>
    <mergeCell ref="GT191:GV191"/>
    <mergeCell ref="GQ192:GS192"/>
    <mergeCell ref="GU192:GV192"/>
    <mergeCell ref="FN41:FP41"/>
    <mergeCell ref="FR41:FT41"/>
    <mergeCell ref="FN42:FP42"/>
    <mergeCell ref="FR42:FT42"/>
    <mergeCell ref="FN43:FP43"/>
    <mergeCell ref="FO94:FQ94"/>
    <mergeCell ref="FS94:FT94"/>
    <mergeCell ref="FO72:FQ72"/>
    <mergeCell ref="FS72:FT72"/>
    <mergeCell ref="FO73:FQ73"/>
    <mergeCell ref="FS73:FT73"/>
    <mergeCell ref="FN76:FP76"/>
    <mergeCell ref="FR76:FT76"/>
    <mergeCell ref="FN77:FP77"/>
    <mergeCell ref="FR77:FT77"/>
    <mergeCell ref="FN78:FP78"/>
    <mergeCell ref="FR78:FT78"/>
    <mergeCell ref="FO79:FQ79"/>
    <mergeCell ref="FS79:FT79"/>
    <mergeCell ref="FO80:FQ80"/>
    <mergeCell ref="FS80:FT80"/>
    <mergeCell ref="FN83:FP83"/>
    <mergeCell ref="FR83:FT83"/>
    <mergeCell ref="FO93:FQ93"/>
    <mergeCell ref="FS93:FT93"/>
    <mergeCell ref="FR43:FT43"/>
    <mergeCell ref="FO44:FQ44"/>
    <mergeCell ref="FS44:FT44"/>
    <mergeCell ref="FO45:FQ45"/>
    <mergeCell ref="FS45:FT45"/>
    <mergeCell ref="FN48:FP48"/>
    <mergeCell ref="FR48:FT48"/>
    <mergeCell ref="FN49:FP49"/>
    <mergeCell ref="FR49:FT49"/>
    <mergeCell ref="FN50:FP50"/>
    <mergeCell ref="FR50:FT50"/>
    <mergeCell ref="FO51:FQ51"/>
    <mergeCell ref="FS51:FT51"/>
    <mergeCell ref="FR57:FT57"/>
    <mergeCell ref="FO58:FQ58"/>
    <mergeCell ref="FS58:FT58"/>
    <mergeCell ref="FO59:FQ59"/>
    <mergeCell ref="FR62:FT62"/>
    <mergeCell ref="FN63:FP63"/>
    <mergeCell ref="FR63:FT63"/>
    <mergeCell ref="FN64:FP64"/>
    <mergeCell ref="FR64:FT64"/>
    <mergeCell ref="FO65:FQ65"/>
    <mergeCell ref="FS65:FT65"/>
    <mergeCell ref="FO66:FQ66"/>
    <mergeCell ref="FS66:FT66"/>
    <mergeCell ref="FN69:FP69"/>
    <mergeCell ref="FR69:FT69"/>
    <mergeCell ref="FN70:FP70"/>
    <mergeCell ref="FR70:FT70"/>
    <mergeCell ref="FN71:FP71"/>
    <mergeCell ref="FR71:FT71"/>
    <mergeCell ref="FN84:FP84"/>
    <mergeCell ref="FR84:FT84"/>
    <mergeCell ref="FN85:FP85"/>
    <mergeCell ref="FR85:FT85"/>
    <mergeCell ref="FO86:FQ86"/>
    <mergeCell ref="FS86:FT86"/>
    <mergeCell ref="FO87:FQ87"/>
    <mergeCell ref="FO101:FQ101"/>
    <mergeCell ref="FS101:FT101"/>
    <mergeCell ref="FN104:FP104"/>
    <mergeCell ref="FR104:FT104"/>
    <mergeCell ref="FN105:FP105"/>
    <mergeCell ref="FR105:FT105"/>
    <mergeCell ref="FN106:FP106"/>
    <mergeCell ref="FR106:FT106"/>
    <mergeCell ref="FN132:FP132"/>
    <mergeCell ref="FR132:FT132"/>
    <mergeCell ref="FN133:FP133"/>
    <mergeCell ref="FR133:FT133"/>
    <mergeCell ref="FN134:FP134"/>
    <mergeCell ref="FR134:FT134"/>
    <mergeCell ref="FO135:FQ135"/>
    <mergeCell ref="FS135:FT135"/>
    <mergeCell ref="FO136:FQ136"/>
    <mergeCell ref="FS136:FT136"/>
    <mergeCell ref="FO142:FQ142"/>
    <mergeCell ref="FS142:FT142"/>
    <mergeCell ref="FO107:FQ107"/>
    <mergeCell ref="FS107:FT107"/>
    <mergeCell ref="FO108:FQ108"/>
    <mergeCell ref="FN120:FP120"/>
    <mergeCell ref="FR120:FT120"/>
    <mergeCell ref="FO121:FQ121"/>
    <mergeCell ref="FS108:FT108"/>
    <mergeCell ref="FN111:FP111"/>
    <mergeCell ref="FR111:FT111"/>
    <mergeCell ref="FN112:FP112"/>
    <mergeCell ref="FR112:FT112"/>
    <mergeCell ref="FN113:FP113"/>
    <mergeCell ref="FR113:FT113"/>
    <mergeCell ref="FO114:FQ114"/>
    <mergeCell ref="FS114:FT114"/>
    <mergeCell ref="FO115:FQ115"/>
    <mergeCell ref="FS115:FT115"/>
    <mergeCell ref="FN118:FP118"/>
    <mergeCell ref="FR118:FT118"/>
    <mergeCell ref="FN119:FP119"/>
    <mergeCell ref="FR119:FT119"/>
    <mergeCell ref="FS121:FT121"/>
    <mergeCell ref="FO122:FQ122"/>
    <mergeCell ref="FS122:FT122"/>
    <mergeCell ref="FN125:FP125"/>
    <mergeCell ref="FN226:FP226"/>
    <mergeCell ref="FR226:FT226"/>
    <mergeCell ref="FN182:FP182"/>
    <mergeCell ref="FR182:FT182"/>
    <mergeCell ref="FN183:FP183"/>
    <mergeCell ref="FR183:FT183"/>
    <mergeCell ref="FN184:FP184"/>
    <mergeCell ref="FR184:FT184"/>
    <mergeCell ref="FO185:FQ185"/>
    <mergeCell ref="FS185:FT185"/>
    <mergeCell ref="FO186:FQ186"/>
    <mergeCell ref="FS186:FT186"/>
    <mergeCell ref="FN189:FP189"/>
    <mergeCell ref="FR189:FT189"/>
    <mergeCell ref="FN190:FP190"/>
    <mergeCell ref="FR190:FT190"/>
    <mergeCell ref="FO172:FQ172"/>
    <mergeCell ref="FS172:FT172"/>
    <mergeCell ref="FN175:FP175"/>
    <mergeCell ref="FR175:FT175"/>
    <mergeCell ref="FN176:FP176"/>
    <mergeCell ref="FR176:FT176"/>
    <mergeCell ref="FN177:FP177"/>
    <mergeCell ref="FR177:FT177"/>
    <mergeCell ref="FO178:FQ178"/>
    <mergeCell ref="FS178:FT178"/>
    <mergeCell ref="FR156:FT156"/>
    <mergeCell ref="FO157:FQ157"/>
    <mergeCell ref="FN163:FP163"/>
    <mergeCell ref="FR163:FT163"/>
    <mergeCell ref="FO164:FQ164"/>
    <mergeCell ref="FS164:FT164"/>
    <mergeCell ref="FO165:FQ165"/>
    <mergeCell ref="FS165:FT165"/>
    <mergeCell ref="FN168:FP168"/>
    <mergeCell ref="FR168:FT168"/>
    <mergeCell ref="FN169:FP169"/>
    <mergeCell ref="FR169:FT169"/>
    <mergeCell ref="FN170:FP170"/>
    <mergeCell ref="FR170:FT170"/>
    <mergeCell ref="FO171:FQ171"/>
    <mergeCell ref="FS171:FT171"/>
    <mergeCell ref="FN225:FP225"/>
    <mergeCell ref="FR225:FT225"/>
    <mergeCell ref="FN161:FP161"/>
    <mergeCell ref="FR161:FT161"/>
    <mergeCell ref="FN162:FP162"/>
    <mergeCell ref="FR162:FT162"/>
    <mergeCell ref="HW52:HX52"/>
    <mergeCell ref="HR55:HT55"/>
    <mergeCell ref="HV55:HX55"/>
    <mergeCell ref="HV71:HX71"/>
    <mergeCell ref="HS72:HU72"/>
    <mergeCell ref="HW72:HX72"/>
    <mergeCell ref="HS73:HU73"/>
    <mergeCell ref="HW73:HX73"/>
    <mergeCell ref="HR76:HT76"/>
    <mergeCell ref="HV76:HX76"/>
    <mergeCell ref="HR77:HT77"/>
    <mergeCell ref="HV77:HX77"/>
    <mergeCell ref="HR78:HT78"/>
    <mergeCell ref="HV78:HX78"/>
    <mergeCell ref="FN191:FP191"/>
    <mergeCell ref="FR191:FT191"/>
    <mergeCell ref="FR203:FT203"/>
    <mergeCell ref="HR56:HT56"/>
    <mergeCell ref="HV56:HX56"/>
    <mergeCell ref="HR57:HT57"/>
    <mergeCell ref="HV57:HX57"/>
    <mergeCell ref="HS58:HU58"/>
    <mergeCell ref="HW58:HX58"/>
    <mergeCell ref="HS59:HU59"/>
    <mergeCell ref="FO192:FQ192"/>
    <mergeCell ref="FS192:FT192"/>
    <mergeCell ref="FO193:FQ193"/>
    <mergeCell ref="FS193:FT193"/>
    <mergeCell ref="FN196:FP196"/>
    <mergeCell ref="FR196:FT196"/>
    <mergeCell ref="FN197:FP197"/>
    <mergeCell ref="FR197:FT197"/>
    <mergeCell ref="HW31:HX31"/>
    <mergeCell ref="HR34:HT34"/>
    <mergeCell ref="HV34:HX34"/>
    <mergeCell ref="HR35:HT35"/>
    <mergeCell ref="HV35:HX35"/>
    <mergeCell ref="HR36:HT36"/>
    <mergeCell ref="HV36:HX36"/>
    <mergeCell ref="HS37:HU37"/>
    <mergeCell ref="HW37:HX37"/>
    <mergeCell ref="HS38:HU38"/>
    <mergeCell ref="HW38:HX38"/>
    <mergeCell ref="HR41:HT41"/>
    <mergeCell ref="HV41:HX41"/>
    <mergeCell ref="HR42:HT42"/>
    <mergeCell ref="HV42:HX42"/>
    <mergeCell ref="FS157:FT157"/>
    <mergeCell ref="FO158:FQ158"/>
    <mergeCell ref="FS158:FT158"/>
    <mergeCell ref="HR43:HT43"/>
    <mergeCell ref="HV43:HX43"/>
    <mergeCell ref="HS44:HU44"/>
    <mergeCell ref="HW44:HX44"/>
    <mergeCell ref="HS45:HU45"/>
    <mergeCell ref="HW45:HX45"/>
    <mergeCell ref="HR48:HT48"/>
    <mergeCell ref="HV48:HX48"/>
    <mergeCell ref="HR49:HT49"/>
    <mergeCell ref="HV49:HX49"/>
    <mergeCell ref="HR50:HT50"/>
    <mergeCell ref="HV50:HX50"/>
    <mergeCell ref="HS51:HU51"/>
    <mergeCell ref="HW51:HX51"/>
    <mergeCell ref="HV20:HX20"/>
    <mergeCell ref="HR21:HT21"/>
    <mergeCell ref="HV21:HX21"/>
    <mergeCell ref="HR22:HT22"/>
    <mergeCell ref="HV22:HX22"/>
    <mergeCell ref="HS23:HU23"/>
    <mergeCell ref="HW23:HX23"/>
    <mergeCell ref="HS24:HU24"/>
    <mergeCell ref="HW24:HX24"/>
    <mergeCell ref="HR27:HT27"/>
    <mergeCell ref="HV27:HX27"/>
    <mergeCell ref="HR28:HT28"/>
    <mergeCell ref="HV28:HX28"/>
    <mergeCell ref="HR29:HT29"/>
    <mergeCell ref="HV29:HX29"/>
    <mergeCell ref="HS30:HU30"/>
    <mergeCell ref="HW30:HX30"/>
    <mergeCell ref="FO228:FQ228"/>
    <mergeCell ref="FS228:FT228"/>
    <mergeCell ref="FO214:FQ214"/>
    <mergeCell ref="FS214:FT214"/>
    <mergeCell ref="FN217:FP217"/>
    <mergeCell ref="FR217:FT217"/>
    <mergeCell ref="FN218:FP218"/>
    <mergeCell ref="FR218:FT218"/>
    <mergeCell ref="FN219:FP219"/>
    <mergeCell ref="FR219:FT219"/>
    <mergeCell ref="FO220:FQ220"/>
    <mergeCell ref="FS220:FT220"/>
    <mergeCell ref="FO221:FQ221"/>
    <mergeCell ref="FS221:FT221"/>
    <mergeCell ref="FN224:FP224"/>
    <mergeCell ref="FR224:FT224"/>
    <mergeCell ref="HR97:HT97"/>
    <mergeCell ref="HV97:HX97"/>
    <mergeCell ref="HW59:HX59"/>
    <mergeCell ref="HR62:HT62"/>
    <mergeCell ref="HV62:HX62"/>
    <mergeCell ref="HR63:HT63"/>
    <mergeCell ref="HV63:HX63"/>
    <mergeCell ref="HR64:HT64"/>
    <mergeCell ref="HV64:HX64"/>
    <mergeCell ref="HS65:HU65"/>
    <mergeCell ref="HW65:HX65"/>
    <mergeCell ref="HS66:HU66"/>
    <mergeCell ref="HW66:HX66"/>
    <mergeCell ref="HR69:HT69"/>
    <mergeCell ref="HV69:HX69"/>
    <mergeCell ref="HR70:HT70"/>
    <mergeCell ref="HV70:HX70"/>
    <mergeCell ref="HR71:HT71"/>
    <mergeCell ref="HR84:HT84"/>
    <mergeCell ref="HV84:HX84"/>
    <mergeCell ref="HS121:HU121"/>
    <mergeCell ref="HW121:HX121"/>
    <mergeCell ref="HS122:HU122"/>
    <mergeCell ref="HW122:HX122"/>
    <mergeCell ref="HR125:HT125"/>
    <mergeCell ref="HV125:HX125"/>
    <mergeCell ref="HR126:HT126"/>
    <mergeCell ref="HV126:HX126"/>
    <mergeCell ref="HR127:HT127"/>
    <mergeCell ref="HV127:HX127"/>
    <mergeCell ref="HS128:HU128"/>
    <mergeCell ref="HR19:HT19"/>
    <mergeCell ref="HR20:HT20"/>
    <mergeCell ref="HS31:HU31"/>
    <mergeCell ref="HS52:HU52"/>
    <mergeCell ref="FN204:FP204"/>
    <mergeCell ref="FR204:FT204"/>
    <mergeCell ref="FN198:FP198"/>
    <mergeCell ref="FR198:FT198"/>
    <mergeCell ref="FO199:FQ199"/>
    <mergeCell ref="FS199:FT199"/>
    <mergeCell ref="FO200:FQ200"/>
    <mergeCell ref="FS200:FT200"/>
    <mergeCell ref="FN203:FP203"/>
    <mergeCell ref="FO179:FQ179"/>
    <mergeCell ref="FS179:FT179"/>
    <mergeCell ref="FN156:FP156"/>
    <mergeCell ref="HR98:HT98"/>
    <mergeCell ref="HV98:HX98"/>
    <mergeCell ref="HR99:HT99"/>
    <mergeCell ref="HV99:HX99"/>
    <mergeCell ref="HS100:HU100"/>
    <mergeCell ref="HW100:HX100"/>
    <mergeCell ref="HS101:HU101"/>
    <mergeCell ref="HW101:HX101"/>
    <mergeCell ref="HR104:HT104"/>
    <mergeCell ref="HV104:HX104"/>
    <mergeCell ref="HR92:HT92"/>
    <mergeCell ref="HV92:HX92"/>
    <mergeCell ref="HS93:HU93"/>
    <mergeCell ref="HW93:HX93"/>
    <mergeCell ref="HS94:HU94"/>
    <mergeCell ref="HW94:HX94"/>
    <mergeCell ref="FO227:FQ227"/>
    <mergeCell ref="FS227:FT227"/>
    <mergeCell ref="FN205:FP205"/>
    <mergeCell ref="FR205:FT205"/>
    <mergeCell ref="FO206:FQ206"/>
    <mergeCell ref="FS206:FT206"/>
    <mergeCell ref="FO207:FQ207"/>
    <mergeCell ref="FS207:FT207"/>
    <mergeCell ref="FN210:FP210"/>
    <mergeCell ref="FR210:FT210"/>
    <mergeCell ref="FN211:FP211"/>
    <mergeCell ref="FR211:FT211"/>
    <mergeCell ref="FN212:FP212"/>
    <mergeCell ref="FR212:FT212"/>
    <mergeCell ref="FO213:FQ213"/>
    <mergeCell ref="FS213:FT213"/>
    <mergeCell ref="HR85:HT85"/>
    <mergeCell ref="HV85:HX85"/>
    <mergeCell ref="HS86:HU86"/>
    <mergeCell ref="HW86:HX86"/>
    <mergeCell ref="HS87:HU87"/>
    <mergeCell ref="HW87:HX87"/>
    <mergeCell ref="HR90:HT90"/>
    <mergeCell ref="HV90:HX90"/>
    <mergeCell ref="HR91:HT91"/>
    <mergeCell ref="HV91:HX91"/>
    <mergeCell ref="HS79:HU79"/>
    <mergeCell ref="HW79:HX79"/>
    <mergeCell ref="HS80:HU80"/>
    <mergeCell ref="HW80:HX80"/>
    <mergeCell ref="HR83:HT83"/>
    <mergeCell ref="HV83:HX83"/>
    <mergeCell ref="HR132:HT132"/>
    <mergeCell ref="HV132:HX132"/>
    <mergeCell ref="HR133:HT133"/>
    <mergeCell ref="HV133:HX133"/>
    <mergeCell ref="HR134:HT134"/>
    <mergeCell ref="HV134:HX134"/>
    <mergeCell ref="HS135:HU135"/>
    <mergeCell ref="HW135:HX135"/>
    <mergeCell ref="HS136:HU136"/>
    <mergeCell ref="HW136:HX136"/>
    <mergeCell ref="HR139:HT139"/>
    <mergeCell ref="HV139:HX139"/>
    <mergeCell ref="HR140:HT140"/>
    <mergeCell ref="HV140:HX140"/>
    <mergeCell ref="HR141:HT141"/>
    <mergeCell ref="HV141:HX141"/>
    <mergeCell ref="HS142:HU142"/>
    <mergeCell ref="HW142:HX142"/>
    <mergeCell ref="HS143:HU143"/>
    <mergeCell ref="HW143:HX143"/>
    <mergeCell ref="HR147:HT147"/>
    <mergeCell ref="HV147:HX147"/>
    <mergeCell ref="HR191:HT191"/>
    <mergeCell ref="HV191:HX191"/>
    <mergeCell ref="HW128:HX128"/>
    <mergeCell ref="HS129:HU129"/>
    <mergeCell ref="HW129:HX129"/>
    <mergeCell ref="HR105:HT105"/>
    <mergeCell ref="HV105:HX105"/>
    <mergeCell ref="HR106:HT106"/>
    <mergeCell ref="HV106:HX106"/>
    <mergeCell ref="HR148:HT148"/>
    <mergeCell ref="HV148:HX148"/>
    <mergeCell ref="HR149:HT149"/>
    <mergeCell ref="HV149:HX149"/>
    <mergeCell ref="HS150:HU150"/>
    <mergeCell ref="HW150:HX150"/>
    <mergeCell ref="HS151:HU151"/>
    <mergeCell ref="HW151:HX151"/>
    <mergeCell ref="HR154:HT154"/>
    <mergeCell ref="HV154:HX154"/>
    <mergeCell ref="HR155:HT155"/>
    <mergeCell ref="HV155:HX155"/>
    <mergeCell ref="HS107:HU107"/>
    <mergeCell ref="HW107:HX107"/>
    <mergeCell ref="HS108:HU108"/>
    <mergeCell ref="HW108:HX108"/>
    <mergeCell ref="HR111:HT111"/>
    <mergeCell ref="HV111:HX111"/>
    <mergeCell ref="HR112:HT112"/>
    <mergeCell ref="HV112:HX112"/>
    <mergeCell ref="HR113:HT113"/>
    <mergeCell ref="HV113:HX113"/>
    <mergeCell ref="HS114:HU114"/>
    <mergeCell ref="HW114:HX114"/>
    <mergeCell ref="HS115:HU115"/>
    <mergeCell ref="HW115:HX115"/>
    <mergeCell ref="HR118:HT118"/>
    <mergeCell ref="HV118:HX118"/>
    <mergeCell ref="HR119:HT119"/>
    <mergeCell ref="HV119:HX119"/>
    <mergeCell ref="HR120:HT120"/>
    <mergeCell ref="HV120:HX120"/>
    <mergeCell ref="HR152:HV152"/>
    <mergeCell ref="HS192:HU192"/>
    <mergeCell ref="HW192:HX192"/>
    <mergeCell ref="HS193:HU193"/>
    <mergeCell ref="HW193:HX193"/>
    <mergeCell ref="HR196:HT196"/>
    <mergeCell ref="HV196:HX196"/>
    <mergeCell ref="HR197:HT197"/>
    <mergeCell ref="HV197:HX197"/>
    <mergeCell ref="HR198:HT198"/>
    <mergeCell ref="HV198:HX198"/>
    <mergeCell ref="HS199:HU199"/>
    <mergeCell ref="HW199:HX199"/>
    <mergeCell ref="HR156:HT156"/>
    <mergeCell ref="HV156:HX156"/>
    <mergeCell ref="HS157:HU157"/>
    <mergeCell ref="HW157:HX157"/>
    <mergeCell ref="HS158:HU158"/>
    <mergeCell ref="HW158:HX158"/>
    <mergeCell ref="HR161:HT161"/>
    <mergeCell ref="HV161:HX161"/>
    <mergeCell ref="HR162:HT162"/>
    <mergeCell ref="HV162:HX162"/>
    <mergeCell ref="HR163:HT163"/>
    <mergeCell ref="HV163:HX163"/>
    <mergeCell ref="HS164:HU164"/>
    <mergeCell ref="HW164:HX164"/>
    <mergeCell ref="HS165:HU165"/>
    <mergeCell ref="HW165:HX165"/>
    <mergeCell ref="HR168:HT168"/>
    <mergeCell ref="HV168:HX168"/>
    <mergeCell ref="HS207:HU207"/>
    <mergeCell ref="HW207:HX207"/>
    <mergeCell ref="HR210:HT210"/>
    <mergeCell ref="HV210:HX210"/>
    <mergeCell ref="HS172:HU172"/>
    <mergeCell ref="HW172:HX172"/>
    <mergeCell ref="HR175:HT175"/>
    <mergeCell ref="HV175:HX175"/>
    <mergeCell ref="HR176:HT176"/>
    <mergeCell ref="HV176:HX176"/>
    <mergeCell ref="HR177:HT177"/>
    <mergeCell ref="HV177:HX177"/>
    <mergeCell ref="HS178:HU178"/>
    <mergeCell ref="HW178:HX178"/>
    <mergeCell ref="HS200:HU200"/>
    <mergeCell ref="HW200:HX200"/>
    <mergeCell ref="HR194:HV194"/>
    <mergeCell ref="HR195:HT195"/>
    <mergeCell ref="HR203:HT203"/>
    <mergeCell ref="HV203:HX203"/>
    <mergeCell ref="HR201:HV201"/>
    <mergeCell ref="HR202:HT202"/>
    <mergeCell ref="HR159:HV159"/>
    <mergeCell ref="HR160:HT160"/>
    <mergeCell ref="HR166:HV166"/>
    <mergeCell ref="HR167:HT167"/>
    <mergeCell ref="HR173:HV173"/>
    <mergeCell ref="HR174:HT174"/>
    <mergeCell ref="HR180:HV180"/>
    <mergeCell ref="HO131:HQ131"/>
    <mergeCell ref="HL122:HN122"/>
    <mergeCell ref="HP122:HQ122"/>
    <mergeCell ref="HR211:HT211"/>
    <mergeCell ref="HV211:HX211"/>
    <mergeCell ref="HR212:HT212"/>
    <mergeCell ref="HV212:HX212"/>
    <mergeCell ref="HS213:HU213"/>
    <mergeCell ref="HW213:HX213"/>
    <mergeCell ref="HS227:HU227"/>
    <mergeCell ref="HW227:HX227"/>
    <mergeCell ref="HS228:HU228"/>
    <mergeCell ref="HW228:HX228"/>
    <mergeCell ref="HS214:HU214"/>
    <mergeCell ref="HW214:HX214"/>
    <mergeCell ref="HR217:HT217"/>
    <mergeCell ref="HV217:HX217"/>
    <mergeCell ref="HR218:HT218"/>
    <mergeCell ref="HV218:HX218"/>
    <mergeCell ref="HR219:HT219"/>
    <mergeCell ref="HV219:HX219"/>
    <mergeCell ref="HS220:HU220"/>
    <mergeCell ref="HW220:HX220"/>
    <mergeCell ref="HS221:HU221"/>
    <mergeCell ref="HW221:HX221"/>
    <mergeCell ref="HR224:HT224"/>
    <mergeCell ref="HV224:HX224"/>
    <mergeCell ref="HR225:HT225"/>
    <mergeCell ref="HV225:HX225"/>
    <mergeCell ref="HR226:HT226"/>
    <mergeCell ref="HV226:HX226"/>
    <mergeCell ref="HR204:HT204"/>
    <mergeCell ref="HV204:HX204"/>
    <mergeCell ref="HR205:HT205"/>
    <mergeCell ref="HV205:HX205"/>
    <mergeCell ref="HS206:HU206"/>
    <mergeCell ref="HW206:HX206"/>
    <mergeCell ref="HS179:HU179"/>
    <mergeCell ref="HW179:HX179"/>
    <mergeCell ref="HR182:HT182"/>
    <mergeCell ref="HV182:HX182"/>
    <mergeCell ref="HR183:HT183"/>
    <mergeCell ref="HV183:HX183"/>
    <mergeCell ref="HR184:HT184"/>
    <mergeCell ref="HV184:HX184"/>
    <mergeCell ref="HS185:HU185"/>
    <mergeCell ref="HW185:HX185"/>
    <mergeCell ref="HS186:HU186"/>
    <mergeCell ref="HW186:HX186"/>
    <mergeCell ref="HR189:HT189"/>
    <mergeCell ref="HV189:HX189"/>
    <mergeCell ref="HR181:HT181"/>
    <mergeCell ref="HR187:HV187"/>
    <mergeCell ref="HR188:HT188"/>
    <mergeCell ref="HR190:HT190"/>
    <mergeCell ref="HV190:HX190"/>
    <mergeCell ref="HR208:HV208"/>
    <mergeCell ref="HR209:HT209"/>
    <mergeCell ref="HR215:HV215"/>
    <mergeCell ref="HR216:HT216"/>
    <mergeCell ref="HR222:HV222"/>
    <mergeCell ref="HR223:HT223"/>
    <mergeCell ref="HR146:HT146"/>
    <mergeCell ref="HR153:HT153"/>
    <mergeCell ref="GT138:GV138"/>
    <mergeCell ref="GP26:GR26"/>
    <mergeCell ref="GP32:GT32"/>
    <mergeCell ref="GP33:GR33"/>
    <mergeCell ref="GP39:GT39"/>
    <mergeCell ref="GP40:GR40"/>
    <mergeCell ref="GP46:GT46"/>
    <mergeCell ref="GP47:GR47"/>
    <mergeCell ref="GP53:GT53"/>
    <mergeCell ref="GP54:GR54"/>
    <mergeCell ref="GP60:GT60"/>
    <mergeCell ref="GP61:GR61"/>
    <mergeCell ref="GP67:GT67"/>
    <mergeCell ref="GP68:GR68"/>
    <mergeCell ref="GP74:GT74"/>
    <mergeCell ref="GP75:GR75"/>
    <mergeCell ref="GP81:GT81"/>
    <mergeCell ref="GP82:GR82"/>
    <mergeCell ref="GP95:GT95"/>
    <mergeCell ref="GP96:GR96"/>
    <mergeCell ref="GP102:GT102"/>
    <mergeCell ref="GT131:GV131"/>
    <mergeCell ref="HO75:HQ75"/>
    <mergeCell ref="HR169:HT169"/>
    <mergeCell ref="HV169:HX169"/>
    <mergeCell ref="HR170:HT170"/>
    <mergeCell ref="HV170:HX170"/>
    <mergeCell ref="HS171:HU171"/>
    <mergeCell ref="HW171:HX171"/>
    <mergeCell ref="GF47:GH47"/>
    <mergeCell ref="GM47:GO47"/>
    <mergeCell ref="HA47:HC47"/>
    <mergeCell ref="HH47:HJ47"/>
    <mergeCell ref="GT47:GV47"/>
    <mergeCell ref="HO47:HQ47"/>
    <mergeCell ref="GF54:GH54"/>
    <mergeCell ref="GM54:GO54"/>
    <mergeCell ref="HA54:HC54"/>
    <mergeCell ref="HH54:HJ54"/>
    <mergeCell ref="GT54:GV54"/>
    <mergeCell ref="HO54:HQ54"/>
    <mergeCell ref="HO138:HQ138"/>
    <mergeCell ref="HD130:HH130"/>
    <mergeCell ref="HD131:HF131"/>
    <mergeCell ref="HD137:HH137"/>
    <mergeCell ref="HD138:HF138"/>
    <mergeCell ref="HB115:HC115"/>
    <mergeCell ref="GW116:HA116"/>
    <mergeCell ref="GW117:GY117"/>
    <mergeCell ref="GW118:GY118"/>
    <mergeCell ref="HA118:HC118"/>
    <mergeCell ref="GQ101:GS101"/>
    <mergeCell ref="GU101:GV101"/>
    <mergeCell ref="GP104:GR104"/>
    <mergeCell ref="GT104:GV104"/>
    <mergeCell ref="GP105:GR105"/>
    <mergeCell ref="GT105:GV105"/>
    <mergeCell ref="GP106:GR106"/>
    <mergeCell ref="GT106:GV106"/>
    <mergeCell ref="GQ107:GS107"/>
    <mergeCell ref="GU107:GV107"/>
    <mergeCell ref="GQ108:GS108"/>
    <mergeCell ref="GU108:GV108"/>
    <mergeCell ref="GQ121:GS121"/>
    <mergeCell ref="CL138:CN138"/>
    <mergeCell ref="CS138:CU138"/>
    <mergeCell ref="DU134:DW134"/>
    <mergeCell ref="DV135:DW135"/>
    <mergeCell ref="EI133:EK133"/>
    <mergeCell ref="EE134:EG134"/>
    <mergeCell ref="EI134:EK134"/>
    <mergeCell ref="EF135:EH135"/>
    <mergeCell ref="EJ135:EK135"/>
    <mergeCell ref="BN199:BP199"/>
    <mergeCell ref="BR199:BS199"/>
    <mergeCell ref="BN200:BP200"/>
    <mergeCell ref="BR200:BS200"/>
    <mergeCell ref="BM176:BO176"/>
    <mergeCell ref="BQ176:BS176"/>
    <mergeCell ref="BM177:BO177"/>
    <mergeCell ref="BQ177:BS177"/>
    <mergeCell ref="BN178:BP178"/>
    <mergeCell ref="BR178:BS178"/>
    <mergeCell ref="BM196:BO196"/>
    <mergeCell ref="AH216:AJ216"/>
    <mergeCell ref="AH223:AJ223"/>
    <mergeCell ref="AO19:AQ19"/>
    <mergeCell ref="AO26:AQ26"/>
    <mergeCell ref="AO33:AQ33"/>
    <mergeCell ref="AO40:AQ40"/>
    <mergeCell ref="AO47:AQ47"/>
    <mergeCell ref="AO54:AQ54"/>
    <mergeCell ref="AO61:AQ61"/>
    <mergeCell ref="AO68:AQ68"/>
    <mergeCell ref="AO75:AQ75"/>
    <mergeCell ref="AO82:AQ82"/>
    <mergeCell ref="AO89:AQ89"/>
    <mergeCell ref="AO96:AQ96"/>
    <mergeCell ref="AO103:AQ103"/>
    <mergeCell ref="AO110:AQ110"/>
    <mergeCell ref="AO117:AQ117"/>
    <mergeCell ref="AO124:AQ124"/>
    <mergeCell ref="AO131:AQ131"/>
    <mergeCell ref="AO138:AQ138"/>
    <mergeCell ref="AI221:AJ221"/>
    <mergeCell ref="AL221:AN221"/>
    <mergeCell ref="AP221:AQ221"/>
    <mergeCell ref="AO218:AQ218"/>
    <mergeCell ref="AO190:AQ190"/>
    <mergeCell ref="AO50:AQ50"/>
    <mergeCell ref="AO27:AQ27"/>
    <mergeCell ref="AK61:AM61"/>
    <mergeCell ref="AK68:AM68"/>
    <mergeCell ref="AP65:AQ65"/>
    <mergeCell ref="AH104:AJ104"/>
    <mergeCell ref="AK104:AM104"/>
    <mergeCell ref="AV96:AX96"/>
    <mergeCell ref="BC96:BE96"/>
    <mergeCell ref="AV103:AX103"/>
    <mergeCell ref="BC103:BE103"/>
    <mergeCell ref="AV110:AX110"/>
    <mergeCell ref="BC110:BE110"/>
    <mergeCell ref="AV117:AX117"/>
    <mergeCell ref="BC117:BE117"/>
    <mergeCell ref="AV124:AX124"/>
    <mergeCell ref="BN193:BP193"/>
    <mergeCell ref="BC54:BE54"/>
    <mergeCell ref="BN221:BP221"/>
    <mergeCell ref="AH195:AJ195"/>
    <mergeCell ref="BR193:BS193"/>
    <mergeCell ref="BQ154:BS154"/>
    <mergeCell ref="BM155:BO155"/>
    <mergeCell ref="BQ155:BS155"/>
    <mergeCell ref="BM92:BO92"/>
    <mergeCell ref="BQ92:BS92"/>
    <mergeCell ref="BN93:BP93"/>
    <mergeCell ref="BR93:BS93"/>
    <mergeCell ref="BN44:BP44"/>
    <mergeCell ref="BR44:BS44"/>
    <mergeCell ref="BN45:BP45"/>
    <mergeCell ref="BR45:BS45"/>
    <mergeCell ref="BM48:BO48"/>
    <mergeCell ref="BQ48:BS48"/>
    <mergeCell ref="BM49:BO49"/>
    <mergeCell ref="BD192:BE192"/>
    <mergeCell ref="BD164:BE164"/>
    <mergeCell ref="BQ156:BS156"/>
    <mergeCell ref="BN157:BP157"/>
    <mergeCell ref="BR157:BS157"/>
    <mergeCell ref="BN158:BP158"/>
    <mergeCell ref="BR158:BS158"/>
    <mergeCell ref="AH153:AJ153"/>
    <mergeCell ref="AH160:AJ160"/>
    <mergeCell ref="AL51:AN51"/>
    <mergeCell ref="AP51:AQ51"/>
    <mergeCell ref="AS51:AU51"/>
    <mergeCell ref="AR77:AT77"/>
    <mergeCell ref="AI30:AJ30"/>
    <mergeCell ref="AL30:AN30"/>
    <mergeCell ref="AP30:AQ30"/>
    <mergeCell ref="CE40:CG40"/>
    <mergeCell ref="CE138:CG138"/>
    <mergeCell ref="BT184:BV184"/>
    <mergeCell ref="BX184:BZ184"/>
    <mergeCell ref="BX163:BZ163"/>
    <mergeCell ref="CB150:CD150"/>
    <mergeCell ref="CF150:CG150"/>
    <mergeCell ref="AY125:BA125"/>
    <mergeCell ref="BC125:BE125"/>
    <mergeCell ref="AV148:AX148"/>
    <mergeCell ref="AY148:BA148"/>
    <mergeCell ref="BC148:BE148"/>
    <mergeCell ref="BR51:BS51"/>
    <mergeCell ref="BN52:BP52"/>
    <mergeCell ref="BR52:BS52"/>
    <mergeCell ref="BN58:BP58"/>
    <mergeCell ref="BR58:BS58"/>
    <mergeCell ref="BN59:BP59"/>
    <mergeCell ref="BR59:BS59"/>
    <mergeCell ref="BM62:BO62"/>
    <mergeCell ref="BQ62:BS62"/>
    <mergeCell ref="BN65:BP65"/>
    <mergeCell ref="BR65:BS65"/>
    <mergeCell ref="AH117:AJ117"/>
    <mergeCell ref="AH106:AJ106"/>
    <mergeCell ref="AK106:AM106"/>
    <mergeCell ref="AO106:AQ106"/>
    <mergeCell ref="AR106:AT106"/>
    <mergeCell ref="CA83:CC83"/>
    <mergeCell ref="CE83:CG83"/>
    <mergeCell ref="CE82:CG82"/>
    <mergeCell ref="CE48:CG48"/>
    <mergeCell ref="CL40:CN40"/>
    <mergeCell ref="CS40:CU40"/>
    <mergeCell ref="CE47:CG47"/>
    <mergeCell ref="CL47:CN47"/>
    <mergeCell ref="CS47:CU47"/>
    <mergeCell ref="CE54:CG54"/>
    <mergeCell ref="CL54:CN54"/>
    <mergeCell ref="CS54:CU54"/>
    <mergeCell ref="CH53:CL53"/>
    <mergeCell ref="CH54:CJ54"/>
    <mergeCell ref="CH49:CJ49"/>
    <mergeCell ref="CH20:CJ20"/>
    <mergeCell ref="CL20:CN20"/>
    <mergeCell ref="CH21:CJ21"/>
    <mergeCell ref="CL21:CN21"/>
    <mergeCell ref="CZ82:DB82"/>
    <mergeCell ref="DG82:DI82"/>
    <mergeCell ref="DN82:DP82"/>
    <mergeCell ref="EB82:ED82"/>
    <mergeCell ref="EI82:EK82"/>
    <mergeCell ref="DU82:DW82"/>
    <mergeCell ref="CZ89:DB89"/>
    <mergeCell ref="AV138:AX138"/>
    <mergeCell ref="BC138:BE138"/>
    <mergeCell ref="BX26:BZ26"/>
    <mergeCell ref="BX33:BZ33"/>
    <mergeCell ref="BX40:BZ40"/>
    <mergeCell ref="BX47:BZ47"/>
    <mergeCell ref="BX54:BZ54"/>
    <mergeCell ref="BX61:BZ61"/>
    <mergeCell ref="BX68:BZ68"/>
    <mergeCell ref="BX75:BZ75"/>
    <mergeCell ref="BX82:BZ82"/>
    <mergeCell ref="BX89:BZ89"/>
    <mergeCell ref="BX96:BZ96"/>
    <mergeCell ref="BX103:BZ103"/>
    <mergeCell ref="BX110:BZ110"/>
    <mergeCell ref="BX117:BZ117"/>
    <mergeCell ref="BX124:BZ124"/>
    <mergeCell ref="BX131:BZ131"/>
    <mergeCell ref="BX138:BZ138"/>
    <mergeCell ref="DU47:DW47"/>
    <mergeCell ref="CZ54:DB54"/>
    <mergeCell ref="DN54:DP54"/>
    <mergeCell ref="EB54:ED54"/>
    <mergeCell ref="DU54:DW54"/>
    <mergeCell ref="CZ61:DB61"/>
    <mergeCell ref="DG61:DI61"/>
    <mergeCell ref="DN61:DP61"/>
    <mergeCell ref="EB61:ED61"/>
    <mergeCell ref="EI61:EK61"/>
    <mergeCell ref="DU61:DW61"/>
    <mergeCell ref="CZ68:DB68"/>
    <mergeCell ref="DG68:DI68"/>
    <mergeCell ref="AV26:AX26"/>
    <mergeCell ref="BC26:BE26"/>
    <mergeCell ref="AV33:AX33"/>
    <mergeCell ref="BC33:BE33"/>
    <mergeCell ref="AV40:AX40"/>
    <mergeCell ref="BC40:BE40"/>
    <mergeCell ref="AV47:AX47"/>
    <mergeCell ref="BC47:BE47"/>
    <mergeCell ref="AV54:AX54"/>
    <mergeCell ref="CZ138:DB138"/>
    <mergeCell ref="EB138:ED138"/>
    <mergeCell ref="EI138:EK138"/>
    <mergeCell ref="DU138:DW138"/>
    <mergeCell ref="CZ131:DB131"/>
    <mergeCell ref="DG131:DI131"/>
    <mergeCell ref="DN131:DP131"/>
    <mergeCell ref="EB131:ED131"/>
    <mergeCell ref="EI131:EK131"/>
    <mergeCell ref="CZ124:DB124"/>
    <mergeCell ref="DG124:DI124"/>
    <mergeCell ref="DN124:DP124"/>
    <mergeCell ref="EB124:ED124"/>
    <mergeCell ref="EI124:EK124"/>
    <mergeCell ref="DU124:DW124"/>
    <mergeCell ref="DV129:DW129"/>
    <mergeCell ref="DU132:DW132"/>
    <mergeCell ref="DU133:DW133"/>
    <mergeCell ref="DC130:DG130"/>
    <mergeCell ref="CZ96:DB96"/>
    <mergeCell ref="DN96:DP96"/>
    <mergeCell ref="EB96:ED96"/>
    <mergeCell ref="EI96:EK96"/>
    <mergeCell ref="DU96:DW96"/>
    <mergeCell ref="DU89:DW89"/>
    <mergeCell ref="CZ103:DB103"/>
    <mergeCell ref="DG103:DI103"/>
    <mergeCell ref="DN103:DP103"/>
    <mergeCell ref="EB103:ED103"/>
    <mergeCell ref="EI103:EK103"/>
    <mergeCell ref="DU103:DW103"/>
    <mergeCell ref="CZ110:DB110"/>
    <mergeCell ref="DG110:DI110"/>
    <mergeCell ref="DQ91:DS91"/>
    <mergeCell ref="DQ92:DS92"/>
    <mergeCell ref="DR93:DT93"/>
    <mergeCell ref="DR94:DT94"/>
    <mergeCell ref="DQ97:DS97"/>
    <mergeCell ref="DQ98:DS98"/>
    <mergeCell ref="DQ99:DS99"/>
    <mergeCell ref="DR100:DT100"/>
    <mergeCell ref="DR101:DT101"/>
    <mergeCell ref="DQ105:DS105"/>
    <mergeCell ref="DQ106:DS106"/>
    <mergeCell ref="DQ104:DS104"/>
    <mergeCell ref="DR107:DT107"/>
    <mergeCell ref="EF108:EH108"/>
    <mergeCell ref="EJ108:EK108"/>
    <mergeCell ref="EE111:EG111"/>
    <mergeCell ref="EI111:EK111"/>
    <mergeCell ref="EE112:EG112"/>
    <mergeCell ref="EI112:EK112"/>
    <mergeCell ref="EE113:EG113"/>
    <mergeCell ref="EI113:EK113"/>
    <mergeCell ref="EF114:EH114"/>
    <mergeCell ref="EJ114:EK114"/>
    <mergeCell ref="EE109:EI109"/>
    <mergeCell ref="EE110:EG110"/>
    <mergeCell ref="EE92:EG92"/>
    <mergeCell ref="EI92:EK92"/>
    <mergeCell ref="EF93:EH93"/>
    <mergeCell ref="EJ93:EK93"/>
    <mergeCell ref="DU131:DW131"/>
    <mergeCell ref="EB117:ED117"/>
    <mergeCell ref="EI117:EK117"/>
    <mergeCell ref="FD19:FF19"/>
    <mergeCell ref="EW26:EY26"/>
    <mergeCell ref="FD26:FF26"/>
    <mergeCell ref="EW33:EY33"/>
    <mergeCell ref="FD33:FF33"/>
    <mergeCell ref="EW40:EY40"/>
    <mergeCell ref="FD40:FF40"/>
    <mergeCell ref="EW47:EY47"/>
    <mergeCell ref="FD47:FF47"/>
    <mergeCell ref="EW54:EY54"/>
    <mergeCell ref="FD54:FF54"/>
    <mergeCell ref="EW61:EY61"/>
    <mergeCell ref="FD61:FF61"/>
    <mergeCell ref="EW68:EY68"/>
    <mergeCell ref="FD68:FF68"/>
    <mergeCell ref="EW75:EY75"/>
    <mergeCell ref="FD75:FF75"/>
    <mergeCell ref="EW82:EY82"/>
    <mergeCell ref="FD82:FF82"/>
    <mergeCell ref="FD89:FF89"/>
    <mergeCell ref="EW96:EY96"/>
    <mergeCell ref="EW103:EY103"/>
    <mergeCell ref="FD96:FF96"/>
    <mergeCell ref="FD103:FF103"/>
    <mergeCell ref="DU104:DW104"/>
    <mergeCell ref="EW110:EY110"/>
    <mergeCell ref="EP19:ER19"/>
    <mergeCell ref="EP26:ER26"/>
    <mergeCell ref="EP33:ER33"/>
    <mergeCell ref="EP40:ER40"/>
    <mergeCell ref="EP47:ER47"/>
    <mergeCell ref="EP54:ER54"/>
    <mergeCell ref="EB33:ED33"/>
    <mergeCell ref="EI33:EK33"/>
    <mergeCell ref="DU33:DW33"/>
    <mergeCell ref="DV30:DW30"/>
    <mergeCell ref="DV31:DW31"/>
    <mergeCell ref="EI29:EK29"/>
    <mergeCell ref="EE26:EG26"/>
    <mergeCell ref="EE25:EI25"/>
    <mergeCell ref="EF30:EH30"/>
    <mergeCell ref="EJ30:EK30"/>
    <mergeCell ref="EF31:EH31"/>
    <mergeCell ref="EJ31:EK31"/>
    <mergeCell ref="DU40:DW40"/>
    <mergeCell ref="EB47:ED47"/>
    <mergeCell ref="EI47:EK47"/>
    <mergeCell ref="FD36:FF36"/>
    <mergeCell ref="FA37:FC37"/>
    <mergeCell ref="FE37:FF37"/>
    <mergeCell ref="FA38:FC38"/>
    <mergeCell ref="FE38:FF38"/>
    <mergeCell ref="EZ41:FB41"/>
    <mergeCell ref="FD41:FF41"/>
    <mergeCell ref="EZ42:FB42"/>
    <mergeCell ref="FD42:FF42"/>
    <mergeCell ref="EZ43:FB43"/>
    <mergeCell ref="FD43:FF43"/>
    <mergeCell ref="EZ50:FB50"/>
    <mergeCell ref="FD50:FF50"/>
    <mergeCell ref="FA51:FC51"/>
    <mergeCell ref="FE51:FF51"/>
    <mergeCell ref="FA52:FC52"/>
    <mergeCell ref="FE52:FF52"/>
    <mergeCell ref="DU117:DW117"/>
    <mergeCell ref="ES67:EW67"/>
    <mergeCell ref="ES68:EU68"/>
    <mergeCell ref="ES74:EW74"/>
    <mergeCell ref="ES75:EU75"/>
    <mergeCell ref="ES81:EW81"/>
    <mergeCell ref="ES82:EU82"/>
    <mergeCell ref="ES88:EW88"/>
    <mergeCell ref="EZ69:FB69"/>
    <mergeCell ref="FA128:FC128"/>
    <mergeCell ref="FE128:FF128"/>
    <mergeCell ref="HO19:HQ19"/>
    <mergeCell ref="FY19:GA19"/>
    <mergeCell ref="GF19:GH19"/>
    <mergeCell ref="GM19:GO19"/>
    <mergeCell ref="HA19:HC19"/>
    <mergeCell ref="HH19:HJ19"/>
    <mergeCell ref="GP25:GT25"/>
    <mergeCell ref="FS30:FT30"/>
    <mergeCell ref="FO31:FQ31"/>
    <mergeCell ref="FS31:FT31"/>
    <mergeCell ref="FN34:FP34"/>
    <mergeCell ref="FR34:FT34"/>
    <mergeCell ref="GT19:GV19"/>
    <mergeCell ref="FY26:GA26"/>
    <mergeCell ref="GF26:GH26"/>
    <mergeCell ref="GM26:GO26"/>
    <mergeCell ref="HA26:HC26"/>
    <mergeCell ref="HH26:HJ26"/>
    <mergeCell ref="GT26:GV26"/>
    <mergeCell ref="HO26:HQ26"/>
    <mergeCell ref="FY33:GA33"/>
    <mergeCell ref="GF33:GH33"/>
    <mergeCell ref="GM33:GO33"/>
    <mergeCell ref="HA33:HC33"/>
    <mergeCell ref="HH33:HJ33"/>
    <mergeCell ref="GT33:GV33"/>
    <mergeCell ref="HO33:HQ33"/>
    <mergeCell ref="HD26:HF26"/>
    <mergeCell ref="HD25:HH25"/>
    <mergeCell ref="HD32:HH32"/>
    <mergeCell ref="HD33:HF33"/>
    <mergeCell ref="HI30:HJ30"/>
    <mergeCell ref="HE31:HG31"/>
    <mergeCell ref="HI31:HJ31"/>
    <mergeCell ref="HD34:HF34"/>
    <mergeCell ref="GQ30:GS30"/>
    <mergeCell ref="GP19:GR19"/>
    <mergeCell ref="GP20:GR20"/>
    <mergeCell ref="GT20:GV20"/>
    <mergeCell ref="GP21:GR21"/>
    <mergeCell ref="GT21:GV21"/>
    <mergeCell ref="GP22:GR22"/>
    <mergeCell ref="FN19:FP19"/>
    <mergeCell ref="FN20:FP20"/>
    <mergeCell ref="FR20:FT20"/>
    <mergeCell ref="FN21:FP21"/>
    <mergeCell ref="FR21:FT21"/>
    <mergeCell ref="FN22:FP22"/>
    <mergeCell ref="FR22:FT22"/>
    <mergeCell ref="FO23:FQ23"/>
    <mergeCell ref="FS23:FT23"/>
    <mergeCell ref="FO24:FQ24"/>
    <mergeCell ref="FS24:FT24"/>
    <mergeCell ref="FN27:FP27"/>
    <mergeCell ref="FR27:FT27"/>
    <mergeCell ref="FN28:FP28"/>
    <mergeCell ref="FR28:FT28"/>
    <mergeCell ref="FN29:FP29"/>
    <mergeCell ref="FR29:FT29"/>
    <mergeCell ref="FO30:FQ30"/>
    <mergeCell ref="HK19:HM19"/>
    <mergeCell ref="HK20:HM20"/>
    <mergeCell ref="HO20:HQ20"/>
    <mergeCell ref="HK21:HM21"/>
    <mergeCell ref="HO40:HQ40"/>
    <mergeCell ref="GU30:GV30"/>
    <mergeCell ref="GQ31:GS31"/>
    <mergeCell ref="GU31:GV31"/>
    <mergeCell ref="GP34:GR34"/>
    <mergeCell ref="GT34:GV34"/>
    <mergeCell ref="GP35:GR35"/>
    <mergeCell ref="GT35:GV35"/>
    <mergeCell ref="GP36:GR36"/>
    <mergeCell ref="GT36:GV36"/>
    <mergeCell ref="GQ37:GS37"/>
    <mergeCell ref="HD39:HH39"/>
    <mergeCell ref="HD40:HF40"/>
    <mergeCell ref="HD35:HF35"/>
    <mergeCell ref="HH35:HJ35"/>
    <mergeCell ref="HD36:HF36"/>
    <mergeCell ref="HH36:HJ36"/>
    <mergeCell ref="HE37:HG37"/>
    <mergeCell ref="HK32:HO32"/>
    <mergeCell ref="HK33:HM33"/>
    <mergeCell ref="HK39:HO39"/>
    <mergeCell ref="HK40:HM40"/>
    <mergeCell ref="HP37:HQ37"/>
    <mergeCell ref="HP38:HQ38"/>
    <mergeCell ref="GB34:GD34"/>
    <mergeCell ref="GF34:GH34"/>
    <mergeCell ref="FN35:FP35"/>
    <mergeCell ref="FR35:FT35"/>
    <mergeCell ref="FN36:FP36"/>
    <mergeCell ref="FR36:FT36"/>
    <mergeCell ref="FO37:FQ37"/>
    <mergeCell ref="FS37:FT37"/>
    <mergeCell ref="FO38:FQ38"/>
    <mergeCell ref="FS38:FT38"/>
    <mergeCell ref="HO21:HQ21"/>
    <mergeCell ref="HK22:HM22"/>
    <mergeCell ref="HO22:HQ22"/>
    <mergeCell ref="HL23:HN23"/>
    <mergeCell ref="HP23:HQ23"/>
    <mergeCell ref="HL24:HN24"/>
    <mergeCell ref="HP24:HQ24"/>
    <mergeCell ref="HK27:HM27"/>
    <mergeCell ref="HO27:HQ27"/>
    <mergeCell ref="HK28:HM28"/>
    <mergeCell ref="HO28:HQ28"/>
    <mergeCell ref="HK29:HM29"/>
    <mergeCell ref="HO29:HQ29"/>
    <mergeCell ref="HK25:HO25"/>
    <mergeCell ref="HK26:HM26"/>
    <mergeCell ref="HL30:HN30"/>
    <mergeCell ref="HP30:HQ30"/>
    <mergeCell ref="HL31:HN31"/>
    <mergeCell ref="FU26:FW26"/>
    <mergeCell ref="FY82:GA82"/>
    <mergeCell ref="GF82:GH82"/>
    <mergeCell ref="GM82:GO82"/>
    <mergeCell ref="HA82:HC82"/>
    <mergeCell ref="HH82:HJ82"/>
    <mergeCell ref="GT82:GV82"/>
    <mergeCell ref="HO82:HQ82"/>
    <mergeCell ref="HD82:HF82"/>
    <mergeCell ref="GT41:GV41"/>
    <mergeCell ref="GT57:GV57"/>
    <mergeCell ref="GQ58:GS58"/>
    <mergeCell ref="GM64:GO64"/>
    <mergeCell ref="GJ65:GL65"/>
    <mergeCell ref="GN65:GO65"/>
    <mergeCell ref="GJ66:GL66"/>
    <mergeCell ref="HK43:HM43"/>
    <mergeCell ref="GP62:GR62"/>
    <mergeCell ref="GT62:GV62"/>
    <mergeCell ref="GP63:GR63"/>
    <mergeCell ref="GT63:GV63"/>
    <mergeCell ref="GP64:GR64"/>
    <mergeCell ref="GT64:GV64"/>
    <mergeCell ref="FZ65:GA65"/>
    <mergeCell ref="FY49:GA49"/>
    <mergeCell ref="HA55:HC55"/>
    <mergeCell ref="GW56:GY56"/>
    <mergeCell ref="HA56:HC56"/>
    <mergeCell ref="GW57:GY57"/>
    <mergeCell ref="HA57:HC57"/>
    <mergeCell ref="GX58:GZ58"/>
    <mergeCell ref="HB58:HC58"/>
    <mergeCell ref="HB30:HC30"/>
    <mergeCell ref="HK67:HO67"/>
    <mergeCell ref="HK68:HM68"/>
    <mergeCell ref="HK74:HO74"/>
    <mergeCell ref="HK75:HM75"/>
    <mergeCell ref="HK81:HO81"/>
    <mergeCell ref="HK82:HM82"/>
    <mergeCell ref="HP65:HQ65"/>
    <mergeCell ref="HL66:HN66"/>
    <mergeCell ref="HP66:HQ66"/>
    <mergeCell ref="HK60:HO60"/>
    <mergeCell ref="HK61:HM61"/>
    <mergeCell ref="HK69:HM69"/>
    <mergeCell ref="HO69:HQ69"/>
    <mergeCell ref="HK70:HM70"/>
    <mergeCell ref="HO70:HQ70"/>
    <mergeCell ref="HK71:HM71"/>
    <mergeCell ref="HO71:HQ71"/>
    <mergeCell ref="HL72:HN72"/>
    <mergeCell ref="HP72:HQ72"/>
    <mergeCell ref="HL73:HN73"/>
    <mergeCell ref="HP73:HQ73"/>
    <mergeCell ref="HK76:HM76"/>
    <mergeCell ref="HO76:HQ76"/>
    <mergeCell ref="HK77:HM77"/>
    <mergeCell ref="HO77:HQ77"/>
    <mergeCell ref="HO78:HQ78"/>
    <mergeCell ref="HL79:HN79"/>
    <mergeCell ref="HP79:HQ79"/>
    <mergeCell ref="HK56:HM56"/>
    <mergeCell ref="HO56:HQ56"/>
    <mergeCell ref="HK57:HM57"/>
    <mergeCell ref="HO57:HQ57"/>
    <mergeCell ref="HO103:HQ103"/>
    <mergeCell ref="GF110:GH110"/>
    <mergeCell ref="GM110:GO110"/>
    <mergeCell ref="HA110:HC110"/>
    <mergeCell ref="HH110:HJ110"/>
    <mergeCell ref="GT110:GV110"/>
    <mergeCell ref="HO110:HQ110"/>
    <mergeCell ref="FY117:GA117"/>
    <mergeCell ref="GF117:GH117"/>
    <mergeCell ref="GM117:GO117"/>
    <mergeCell ref="HA117:HC117"/>
    <mergeCell ref="HH117:HJ117"/>
    <mergeCell ref="GT117:GV117"/>
    <mergeCell ref="HO117:HQ117"/>
    <mergeCell ref="FY124:GA124"/>
    <mergeCell ref="GF124:GH124"/>
    <mergeCell ref="GM124:GO124"/>
    <mergeCell ref="HA124:HC124"/>
    <mergeCell ref="HH124:HJ124"/>
    <mergeCell ref="GT124:GV124"/>
    <mergeCell ref="HO124:HQ124"/>
    <mergeCell ref="GP113:GR113"/>
    <mergeCell ref="GT113:GV113"/>
    <mergeCell ref="GQ114:GS114"/>
    <mergeCell ref="GU114:GV114"/>
    <mergeCell ref="GQ115:GS115"/>
    <mergeCell ref="GU115:GV115"/>
    <mergeCell ref="GP118:GR118"/>
    <mergeCell ref="GT118:GV118"/>
    <mergeCell ref="GP119:GR119"/>
    <mergeCell ref="GT119:GV119"/>
    <mergeCell ref="GP120:GR120"/>
    <mergeCell ref="GP90:GR90"/>
    <mergeCell ref="GT90:GV90"/>
    <mergeCell ref="GP91:GR91"/>
    <mergeCell ref="GT91:GV91"/>
    <mergeCell ref="GP92:GR92"/>
    <mergeCell ref="GT92:GV92"/>
    <mergeCell ref="GQ93:GS93"/>
    <mergeCell ref="GU93:GV93"/>
    <mergeCell ref="GQ94:GS94"/>
    <mergeCell ref="GN122:GO122"/>
    <mergeCell ref="GC122:GE122"/>
    <mergeCell ref="GG122:GH122"/>
    <mergeCell ref="HB114:HC114"/>
    <mergeCell ref="GX115:GZ115"/>
    <mergeCell ref="HE94:HG94"/>
    <mergeCell ref="HI94:HJ94"/>
    <mergeCell ref="HD97:HF97"/>
    <mergeCell ref="HH97:HJ97"/>
    <mergeCell ref="HD98:HF98"/>
    <mergeCell ref="HH98:HJ98"/>
    <mergeCell ref="HD99:HF99"/>
    <mergeCell ref="HH99:HJ99"/>
    <mergeCell ref="HE100:HG100"/>
    <mergeCell ref="HI100:HJ100"/>
    <mergeCell ref="HE101:HG101"/>
    <mergeCell ref="HI101:HJ101"/>
    <mergeCell ref="HD104:HF104"/>
    <mergeCell ref="HH104:HJ104"/>
    <mergeCell ref="HD105:HF105"/>
    <mergeCell ref="HH105:HJ105"/>
    <mergeCell ref="HD102:HH102"/>
    <mergeCell ref="HD103:HF103"/>
    <mergeCell ref="HO89:HQ89"/>
    <mergeCell ref="GP88:GT88"/>
    <mergeCell ref="GP89:GR89"/>
    <mergeCell ref="HD76:HF76"/>
    <mergeCell ref="HH76:HJ76"/>
    <mergeCell ref="HD77:HF77"/>
    <mergeCell ref="HH77:HJ77"/>
    <mergeCell ref="GP83:GR83"/>
    <mergeCell ref="GT83:GV83"/>
    <mergeCell ref="GP84:GR84"/>
    <mergeCell ref="GT84:GV84"/>
    <mergeCell ref="GP85:GR85"/>
    <mergeCell ref="GT85:GV85"/>
    <mergeCell ref="GQ86:GS86"/>
    <mergeCell ref="GU86:GV86"/>
    <mergeCell ref="GQ87:GS87"/>
    <mergeCell ref="HK78:HM78"/>
    <mergeCell ref="GP78:GR78"/>
    <mergeCell ref="GT78:GV78"/>
    <mergeCell ref="GU94:GV94"/>
    <mergeCell ref="GP97:GR97"/>
    <mergeCell ref="GT97:GV97"/>
    <mergeCell ref="GP98:GR98"/>
    <mergeCell ref="GT98:GV98"/>
    <mergeCell ref="GP99:GR99"/>
    <mergeCell ref="GT99:GV99"/>
    <mergeCell ref="GQ100:GS100"/>
    <mergeCell ref="GU100:GV100"/>
    <mergeCell ref="FY61:GA61"/>
    <mergeCell ref="GF61:GH61"/>
    <mergeCell ref="GM61:GO61"/>
    <mergeCell ref="HA61:HC61"/>
    <mergeCell ref="HH61:HJ61"/>
    <mergeCell ref="GT61:GV61"/>
    <mergeCell ref="HO61:HQ61"/>
    <mergeCell ref="FY68:GA68"/>
    <mergeCell ref="GF68:GH68"/>
    <mergeCell ref="GM68:GO68"/>
    <mergeCell ref="HA68:HC68"/>
    <mergeCell ref="HH68:HJ68"/>
    <mergeCell ref="GT68:GV68"/>
    <mergeCell ref="HO68:HQ68"/>
    <mergeCell ref="FY75:GA75"/>
    <mergeCell ref="GF75:GH75"/>
    <mergeCell ref="GM75:GO75"/>
    <mergeCell ref="HA75:HC75"/>
    <mergeCell ref="HE93:HG93"/>
    <mergeCell ref="HI93:HJ93"/>
    <mergeCell ref="HO99:HQ99"/>
    <mergeCell ref="HL100:HN100"/>
    <mergeCell ref="HP100:HQ100"/>
    <mergeCell ref="HL94:HN94"/>
    <mergeCell ref="HP94:HQ94"/>
    <mergeCell ref="HK97:HM97"/>
    <mergeCell ref="HO97:HQ97"/>
    <mergeCell ref="HK98:HM98"/>
    <mergeCell ref="HK88:HO88"/>
    <mergeCell ref="HK89:HM89"/>
    <mergeCell ref="HK95:HO95"/>
    <mergeCell ref="HL93:HN93"/>
    <mergeCell ref="HP93:HQ93"/>
    <mergeCell ref="HK64:HM64"/>
    <mergeCell ref="HO64:HQ64"/>
    <mergeCell ref="HL65:HN65"/>
    <mergeCell ref="GU121:GV121"/>
    <mergeCell ref="GQ122:GS122"/>
    <mergeCell ref="GU122:GV122"/>
    <mergeCell ref="HD95:HH95"/>
    <mergeCell ref="HD96:HF96"/>
    <mergeCell ref="HH96:HJ96"/>
    <mergeCell ref="HH103:HJ103"/>
    <mergeCell ref="AD11:AE11"/>
    <mergeCell ref="AF11:AH11"/>
    <mergeCell ref="AI11:AL11"/>
    <mergeCell ref="BQ19:BS19"/>
    <mergeCell ref="BM103:BO103"/>
    <mergeCell ref="BQ103:BS103"/>
    <mergeCell ref="BM102:BQ102"/>
    <mergeCell ref="BM60:BQ60"/>
    <mergeCell ref="BM61:BO61"/>
    <mergeCell ref="BQ61:BS61"/>
    <mergeCell ref="FR19:FT19"/>
    <mergeCell ref="FN60:FR60"/>
    <mergeCell ref="FN61:FP61"/>
    <mergeCell ref="FR61:FT61"/>
    <mergeCell ref="BM116:BQ116"/>
    <mergeCell ref="BM117:BO117"/>
    <mergeCell ref="BQ117:BS117"/>
    <mergeCell ref="FN102:FR102"/>
    <mergeCell ref="FN103:FP103"/>
    <mergeCell ref="FR103:FT103"/>
    <mergeCell ref="FN116:FR116"/>
    <mergeCell ref="FN117:FP117"/>
    <mergeCell ref="FR117:FT117"/>
    <mergeCell ref="FY89:GA89"/>
    <mergeCell ref="GF89:GH89"/>
    <mergeCell ref="GM89:GO89"/>
    <mergeCell ref="HA89:HC89"/>
    <mergeCell ref="HH89:HJ89"/>
    <mergeCell ref="GT89:GV89"/>
    <mergeCell ref="FY40:GA40"/>
    <mergeCell ref="GF40:GH40"/>
    <mergeCell ref="GM40:GO40"/>
    <mergeCell ref="HA40:HC40"/>
    <mergeCell ref="HH40:HJ40"/>
    <mergeCell ref="GT40:GV40"/>
    <mergeCell ref="EP110:ER110"/>
    <mergeCell ref="EP117:ER117"/>
    <mergeCell ref="DG33:DI33"/>
    <mergeCell ref="DN33:DP33"/>
    <mergeCell ref="DQ26:DS26"/>
    <mergeCell ref="DQ33:DS33"/>
    <mergeCell ref="DR31:DT31"/>
    <mergeCell ref="DA31:DB31"/>
    <mergeCell ref="DG20:DI20"/>
    <mergeCell ref="CZ47:DB47"/>
    <mergeCell ref="DG47:DI47"/>
    <mergeCell ref="DN47:DP47"/>
    <mergeCell ref="DN117:DP117"/>
    <mergeCell ref="CE19:CG19"/>
    <mergeCell ref="CL19:CN19"/>
    <mergeCell ref="CS19:CU19"/>
    <mergeCell ref="CE26:CG26"/>
    <mergeCell ref="CL26:CN26"/>
    <mergeCell ref="CS26:CU26"/>
    <mergeCell ref="CE33:CG33"/>
    <mergeCell ref="CL33:CN33"/>
    <mergeCell ref="CS33:CU33"/>
  </mergeCells>
  <phoneticPr fontId="5"/>
  <dataValidations count="1">
    <dataValidation type="list" allowBlank="1" showInputMessage="1" showErrorMessage="1" sqref="AS79:AU79 AZ135:BB135 AE142:AG143 AL23:AN23 AE51:AG52 AE93:AG94 AE100:AG101 AS23:AU23 AS30:AU30 AZ30:BB30 AL100:AN100 AS37:AU37 AZ37:BB37 CW30:CY30 AZ44:BB44 CW44:CY44 CW37:CY37 AS51:AU51 AZ51:BB51 CB44:CD44 AE58:AG59 AL58:AN58 CW51:CY51 AS65:AU65 AZ65:BB65 AS58:AU58 AS72:AU72 AZ72:BB72 CW65:CY65 AZ79:BB79 CW72:CY72 AS86:AU86 AZ86:BB86 CW79:CY79 AZ93:BB93 CW93:CY93 AE107:AG108 CW135:CY135 AZ107:BB107 CB93:CD93 AS107:AU107 AL114:AN114 AE114:AG115 AS121:AU121 AZ121:BB121 AS114:AU114 AS128:AU128 AZ128:BB128 CW121:CY121 AS100:AU100 AZ100:BB100 CW86:CY86 CW107:CY107 AE150:AG151 AL150:AN150 AS150:AU150 AE157:AG158 AL157:AN157 AS157:AU157 AE164:AG165 AL164:AN164 AS164:AU164 AE171:AG172 AL171:AN171 AS171:AU171 AE178:AG179 AL178:AN178 AS178:AU178 AE185:AG186 AL185:AN185 AS185:AU185 AE192:AG193 AL192:AN192 AS192:AU192 AE199:AG200 AL199:AN199 AS199:AU199 AE206:AG207 AL206:AN206 AS206:AU206 AE213:AG214 AL213:AN213 AS213:AU213 AE220:AG221 AL220:AN220 AS220:AU220 AE227:AG228 AL227:AN227 AS227:AU227 CW128:CY128 AZ23:BB23 CB107:CD107 CB30:CD30 CB37:CD37 CI44:CK44 CB51:CD51 AZ58:BB58 CB65:CD65 CB72:CD72 CB79:CD79 CB86:CD86 CI93:CK93 CW100:CY100 CI107:CK107 AZ114:BB114 CB121:CD121 CB128:CD128 CB135:CD135 CW23:CY23 CW114:CY114 CI30:CK30 CI37:CK37 EM44:EO44 CI51:CK51 CW58:CY58 CI65:CK65 CI72:CK72 CI79:CK79 CI86:CK86 EM93:EO93 CB100:CD100 EM107:EO107 CB114:CD114 CI121:CK121 CI128:CK128 CI135:CK135 CB23:CD23 EM121:EO121 EM30:EO30 EM37:EO37 EF44:EH44 EM51:EO51 CB58:CD58 EM65:EO65 EM72:EO72 EM79:EO79 EM86:EO86 EF93:EH93 CI100:CK100 EF107:EH107 CI114:CK114 EF121:EH121 EM128:EO128 EM135:EO135 CI23:CK23 EF128:EH128 EF30:EH30 EF37:EH37 DR44:DT44 EF51:EH51 CI58:CK58 EF65:EH65 EF72:EH72 EF79:EH79 EF86:EH86 DR93:DT93 EM100:EO100 DR107:DT107 EM114:EO114 DR121:DT121 DR128:DT128 EM23:EO23 EF23:EH23 EF135:EH135 DR135:DT135 FH135:FJ135 DR30:DT30 DR37:DT37 FH44:FJ44 DR51:DT51 EM58:EO58 DR65:DT65 DR72:DT72 DR79:DT79 DR86:DT86 FH93:FJ93 FH128:FJ128 FH107:FJ107 EF114:EH114 FH121:FJ121 EF100:EH100 BN128:BP128 FH30:FJ30 FH37:FJ37 BN44:BP44 FH51:FJ51 EF58:EH58 FH65:FJ65 FH72:FJ72 FH79:FJ79 FH86:FJ86 BN93:BP93 DR100:DT100 BN107:BP107 DR114:DT114 BN121:BP121 ET128:EV128 BN135:BP135 DR23:DT23 FH23:FJ23 BN30:BP30 BN37:BP37 ET44:EV44 BN51:BP51 DR58:DT58 BN65:BP65 BN72:BP72 BN79:BP79 BN86:BP86 ET93:EV93 FH100:FJ100 ET107:EV107 FH114:FJ114 ET121:EV121 FA128:FC128 BN100:BP100 AE23:AG24 BN23:BP23 FA121:FC121 ET135:EV135 ET23:EV23 FA135:FC135 FV135:FX135 FV128:FX128 BN114:BP114 ET30:EV30 ET37:EV37 FA44:FC44 ET51:EV51 FH58:FJ58 ET65:EV65 ET72:EV72 ET79:EV79 ET86:EV86 FA93:FC93 ET100:EV100 FA107:FC107 ET114:EV114 FV121:FX121 GC128:GE128 GJ128:GL128 FA23:FC23 FA51:FC51 FA30:FC30 FV30:FX30 FA37:FC37 FV44:FX44 BN58:BP58 FA65:FC65 FA72:FC72 FA79:FC79 FA86:FC86 FV93:FX93 FA100:FC100 FV107:FX107 FA114:FC114 GC121:GE121 FV23:FX23 FV37:FX37 GC30:GE30 GC37:GE37 GC44:GE44 FV51:FX51 ET58:EV58 FV65:FX65 FV72:FX72 FV79:FX79 FV86:FX86 GC93:GE93 FV100:FX100 GC107:GE107 FV114:FX114 GJ121:GL121 HL128:HN128 GC23:GE23 GJ44:GL44 GJ30:GL30 GJ37:GL37 HL44:HN44 GC51:GE51 FA58:FC58 GC65:GE65 GC72:GE72 GC79:GE79 GC86:GE86 GJ93:GL93 GC100:GE100 GJ107:GL107 GC114:GE114 HL121:HN121 HE128:HG128 GC135:GE135 GJ135:GL135 GJ23:GL23 GJ51:GL51 HL30:HN30 HL37:HN37 HL135:HN135 HL51:HN51 FV58:FX58 GJ65:GL65 GJ72:GL72 GJ79:GL79 GJ86:GL86 HL93:HN93 GJ100:GL100 HL107:HN107 GJ114:GL114 HE121:HG121 GQ128:GS128 GC58:GE58 HE30:HG30 HE37:HG37 HE44:HG44 HE51:HG51 GJ58:GL58 HL65:HN65 HL72:HN72 HL79:HN79 HL86:HN86 HE93:HG93 HL100:HN100 HE107:HG107 HL114:HN114 GQ121:GS121 FO128:FQ128 HE135:HG135 GQ135:GS135 HL23:HN23 HS23:HU23 HE23:HG23 HE65:HG65 GQ30:GS30 GQ37:GS37 GQ44:GS44 GQ51:GS51 HL58:HN58 GQ65:GS65 HE72:HG72 HE79:HG79 HE86:HG86 GQ93:GS93 HE100:HG100 GQ107:GS107 HE114:HG114 FO121:FQ121 GQ23:GS23 HE58:HG58 GQ72:GS72 FO30:FQ30 FO37:FQ37 FO44:FQ44 FO51:FQ51 GQ58:GS58 FO65:FQ65 FO72:FQ72 GQ79:GS79 GQ86:GS86 FO93:FQ93 GQ100:GS100 FO107:FQ107 GQ114:GS114 BU121:BW121 BU128:BW128 FO114:FQ114 FO86:FQ86 FO58:FQ58 FO23:FQ23 HS150:HU151 HS157:HU158 HS164:HU165 HS171:HU172 HS178:HU179 HS185:HU186 HS192:HU193 HS199:HU200 HS206:HU207 HS213:HU214 HS220:HU221 HS227:HU228 BU23:BW23 FO79:FQ79 BU30:BW30 BU37:BW37 BU44:BW44 BU51:BW51 BU58:BW58 BU65:BW65 BU72:BW72 BU79:BW79 BU86:BW86 BU93:BW93 FO100:FQ100 BU107:BW107 BU114:BW114 DD121:DF121 DD128:DF128 FO135:FQ135 DD23:DF23 DD86:DF86 DD30:DF30 DD37:DF37 DD44:DF44 DD51:DF51 DD58:DF58 DD65:DF65 DD72:DF72 DD79:DF79 CP86:CR86 DD93:DF93 BU100:BW100 DD107:DF107 DD114:DF114 CP121:CR121 CP128:CR128 BU135:BW135 CP23:CR23 DD135:DF135 CP93:CR93 CP30:CR30 CP37:CR37 CP44:CR44 CP51:CR51 CP58:CR58 CP65:CR65 CP72:CR72 CP79:CR79 DY86:EA86 DY93:EA93 DD100:DF100 CP107:CR107 CP114:CR114 DY121:EA121 DY128:EA128 CP135:CR135 DY23:EA23 DY135:EA135 CP100:CR100 DY30:EA30 DY37:EA37 DY44:EA44 DY51:EA51 DY58:EA58 DY65:EA65 DY72:EA72 DY79:EA79 DK86:DM86 DK93:DM93 DY100:EA100 DY107:EA107 DY114:EA114 DK121:DM121 DK23:DM23 DK107:DM107 DK30:DM30 DK37:DM37 DK44:DM44 DK51:DM51 DK58:DM58 DK65:DM65 DK72:DM72 DK79:DM79 GX86:GZ86 GX93:GZ93 DK100:DM100 GX107:GZ107 DK114:DM114 GX121:GZ121 DK128:DM128 DK135:DM135 BG121:BI121 GX128:GZ128 GX23:GZ23 GX135:GZ135 GX114:GZ114 GX30:GZ30 GX37:GZ37 GX44:GZ44 GX51:GZ51 GX58:GZ58 GX65:GZ65 GX72:GZ72 GX79:GZ79 BG86:BI86 BG93:BI93 GX100:GZ100 BG107:BI107 BG114:BI114 BG128:BI128 BG135:BI135 BG23:BI23 BG100:BI100 BG30:BI30 BG37:BI37 BG44:BI44 BG51:BI51 BG58:BI58 BG65:BI65 BG72:BI72 BG79:BI79 AE30:AG31 AL30:AN30 AE37:AG38 AL37:AN37 AE44:AG45 AL44:AN44 AS44:AU44 AL51:AN51 AE65:AG66 AL65:AN65 AE72:AG73 AL72:AN72 AE79:AG80 AL79:AN79 AE86:AG87 AL86:AN86 AL93:AN93 AS93:AU93 AL107:AN107 AE121:AG122 AL121:AN121 AE128:AG129 AL128:AN128 AE135:AG136 AL135:AN135 AS135:AU135 AL142:AN142 AS142:AU142 AZ142:BB142 CW142:CY142 CB142:CD142 CI142:CK142 EM142:EO142 EF142:EH142 DR142:DT142 FH142:FJ142 BN142:BP142 ET142:EV142 FA142:FC142 FV142:FX142 GC142:GE142 GJ142:GL142 HL142:HN142 HE142:HG142 GQ142:GS142 FO142:FQ142 BU142:BW142 DD142:DF142 CP142:CR142 DY142:EA142 DK142:DM142 GX142:GZ142 BG142:BI142" xr:uid="{45D05417-B183-4E48-BF7F-DA4BFFB2815F}">
      <formula1>$AF$8:$AF$11</formula1>
    </dataValidation>
  </dataValidations>
  <pageMargins left="0.7" right="0.7" top="0.75" bottom="0.75" header="0.3" footer="0.3"/>
  <pageSetup paperSize="8" scale="70" fitToHeight="0" orientation="portrait" horizont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1552-EC55-467A-A2C3-C982A4D6AF19}">
  <sheetPr codeName="Sheet3"/>
  <dimension ref="B2:BU67"/>
  <sheetViews>
    <sheetView showGridLines="0" zoomScaleNormal="100" workbookViewId="0"/>
  </sheetViews>
  <sheetFormatPr defaultColWidth="2.625" defaultRowHeight="14.25" x14ac:dyDescent="0.25"/>
  <cols>
    <col min="1" max="16384" width="2.625" style="1"/>
  </cols>
  <sheetData>
    <row r="2" spans="2:66" x14ac:dyDescent="0.25">
      <c r="B2" s="1" t="s">
        <v>557</v>
      </c>
    </row>
    <row r="4" spans="2:66" x14ac:dyDescent="0.25">
      <c r="D4" s="260"/>
      <c r="E4" s="261"/>
      <c r="F4" s="260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0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1"/>
      <c r="AN4" s="263" t="s">
        <v>558</v>
      </c>
      <c r="AO4" s="264"/>
      <c r="AP4" s="264"/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5"/>
      <c r="BH4" s="263" t="s">
        <v>559</v>
      </c>
      <c r="BI4" s="264"/>
      <c r="BJ4" s="264"/>
      <c r="BK4" s="264"/>
      <c r="BL4" s="264"/>
      <c r="BM4" s="264"/>
      <c r="BN4" s="265"/>
    </row>
    <row r="5" spans="2:66" x14ac:dyDescent="0.25">
      <c r="D5" s="266" t="s">
        <v>560</v>
      </c>
      <c r="E5" s="267"/>
      <c r="F5" s="266" t="s">
        <v>561</v>
      </c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6" t="s">
        <v>562</v>
      </c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7"/>
      <c r="AN5" s="263" t="s">
        <v>563</v>
      </c>
      <c r="AO5" s="264"/>
      <c r="AP5" s="264"/>
      <c r="AQ5" s="269" t="s">
        <v>90</v>
      </c>
      <c r="AR5" s="264"/>
      <c r="AS5" s="264"/>
      <c r="AT5" s="264"/>
      <c r="AU5" s="264"/>
      <c r="AV5" s="264"/>
      <c r="AW5" s="264"/>
      <c r="AX5" s="264"/>
      <c r="AY5" s="264"/>
      <c r="AZ5" s="264"/>
      <c r="BA5" s="264"/>
      <c r="BB5" s="264"/>
      <c r="BC5" s="264"/>
      <c r="BD5" s="264"/>
      <c r="BE5" s="264"/>
      <c r="BF5" s="264"/>
      <c r="BG5" s="265"/>
      <c r="BH5" s="270" t="s">
        <v>85</v>
      </c>
      <c r="BI5" s="271" t="s">
        <v>198</v>
      </c>
      <c r="BJ5" s="271" t="s">
        <v>190</v>
      </c>
      <c r="BK5" s="271" t="s">
        <v>172</v>
      </c>
      <c r="BL5" s="271" t="s">
        <v>196</v>
      </c>
      <c r="BM5" s="271" t="s">
        <v>211</v>
      </c>
      <c r="BN5" s="272" t="s">
        <v>564</v>
      </c>
    </row>
    <row r="6" spans="2:66" x14ac:dyDescent="0.25">
      <c r="D6" s="380">
        <v>1</v>
      </c>
      <c r="E6" s="381"/>
      <c r="F6" s="273" t="s">
        <v>565</v>
      </c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5"/>
      <c r="R6" s="276" t="s">
        <v>566</v>
      </c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  <c r="AI6" s="277"/>
      <c r="AJ6" s="277"/>
      <c r="AK6" s="277"/>
      <c r="AL6" s="277"/>
      <c r="AM6" s="278"/>
      <c r="AN6" s="276" t="s">
        <v>567</v>
      </c>
      <c r="AO6" s="277"/>
      <c r="AP6" s="277"/>
      <c r="AQ6" s="279" t="s">
        <v>568</v>
      </c>
      <c r="AR6" s="277"/>
      <c r="AS6" s="277"/>
      <c r="AT6" s="277"/>
      <c r="AU6" s="277"/>
      <c r="AV6" s="277"/>
      <c r="AW6" s="277"/>
      <c r="AX6" s="277"/>
      <c r="AY6" s="277"/>
      <c r="AZ6" s="277"/>
      <c r="BA6" s="277"/>
      <c r="BB6" s="277"/>
      <c r="BC6" s="277"/>
      <c r="BD6" s="277"/>
      <c r="BE6" s="277"/>
      <c r="BF6" s="277"/>
      <c r="BG6" s="278"/>
      <c r="BH6" s="280" t="s">
        <v>97</v>
      </c>
      <c r="BI6" s="281" t="s">
        <v>97</v>
      </c>
      <c r="BJ6" s="281" t="s">
        <v>97</v>
      </c>
      <c r="BK6" s="281" t="s">
        <v>97</v>
      </c>
      <c r="BL6" s="281" t="s">
        <v>22</v>
      </c>
      <c r="BM6" s="281" t="s">
        <v>22</v>
      </c>
      <c r="BN6" s="288" t="s">
        <v>22</v>
      </c>
    </row>
    <row r="7" spans="2:66" x14ac:dyDescent="0.25">
      <c r="D7" s="382">
        <v>2</v>
      </c>
      <c r="E7" s="383"/>
      <c r="F7" s="284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8"/>
      <c r="R7" s="276" t="s">
        <v>569</v>
      </c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285"/>
      <c r="AH7" s="285"/>
      <c r="AI7" s="285"/>
      <c r="AJ7" s="285"/>
      <c r="AK7" s="285"/>
      <c r="AL7" s="285"/>
      <c r="AM7" s="286"/>
      <c r="AN7" s="276" t="s">
        <v>567</v>
      </c>
      <c r="AO7" s="285"/>
      <c r="AP7" s="285"/>
      <c r="AQ7" s="279" t="s">
        <v>568</v>
      </c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6"/>
      <c r="BH7" s="280" t="s">
        <v>22</v>
      </c>
      <c r="BI7" s="287" t="s">
        <v>22</v>
      </c>
      <c r="BJ7" s="287" t="s">
        <v>22</v>
      </c>
      <c r="BK7" s="287" t="s">
        <v>22</v>
      </c>
      <c r="BL7" s="287" t="s">
        <v>97</v>
      </c>
      <c r="BM7" s="287" t="s">
        <v>97</v>
      </c>
      <c r="BN7" s="283" t="s">
        <v>22</v>
      </c>
    </row>
    <row r="8" spans="2:66" x14ac:dyDescent="0.25">
      <c r="D8" s="382">
        <v>3</v>
      </c>
      <c r="E8" s="383"/>
      <c r="F8" s="284" t="s">
        <v>570</v>
      </c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6" t="s">
        <v>571</v>
      </c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7"/>
      <c r="AI8" s="277"/>
      <c r="AJ8" s="277"/>
      <c r="AK8" s="277"/>
      <c r="AL8" s="277"/>
      <c r="AM8" s="278"/>
      <c r="AN8" s="276" t="s">
        <v>567</v>
      </c>
      <c r="AO8" s="277"/>
      <c r="AP8" s="277"/>
      <c r="AQ8" s="279" t="s">
        <v>568</v>
      </c>
      <c r="AR8" s="277"/>
      <c r="AS8" s="277"/>
      <c r="AT8" s="277"/>
      <c r="AU8" s="277"/>
      <c r="AV8" s="277"/>
      <c r="AW8" s="277"/>
      <c r="AX8" s="277"/>
      <c r="AY8" s="277"/>
      <c r="AZ8" s="277"/>
      <c r="BA8" s="277"/>
      <c r="BB8" s="277"/>
      <c r="BC8" s="277"/>
      <c r="BD8" s="277"/>
      <c r="BE8" s="277"/>
      <c r="BF8" s="277"/>
      <c r="BG8" s="278"/>
      <c r="BH8" s="280" t="s">
        <v>97</v>
      </c>
      <c r="BI8" s="281" t="s">
        <v>22</v>
      </c>
      <c r="BJ8" s="287" t="s">
        <v>97</v>
      </c>
      <c r="BK8" s="287" t="s">
        <v>22</v>
      </c>
      <c r="BL8" s="287" t="s">
        <v>97</v>
      </c>
      <c r="BM8" s="287" t="s">
        <v>97</v>
      </c>
      <c r="BN8" s="283" t="s">
        <v>97</v>
      </c>
    </row>
    <row r="9" spans="2:66" x14ac:dyDescent="0.25">
      <c r="D9" s="382">
        <v>4</v>
      </c>
      <c r="E9" s="383"/>
      <c r="F9" s="276" t="s">
        <v>572</v>
      </c>
      <c r="G9" s="285"/>
      <c r="H9" s="285"/>
      <c r="I9" s="285"/>
      <c r="J9" s="285"/>
      <c r="K9" s="285"/>
      <c r="L9" s="285"/>
      <c r="M9" s="285"/>
      <c r="N9" s="285"/>
      <c r="O9" s="285"/>
      <c r="P9" s="285"/>
      <c r="Q9" s="285"/>
      <c r="R9" s="276" t="s">
        <v>573</v>
      </c>
      <c r="S9" s="285"/>
      <c r="T9" s="285"/>
      <c r="U9" s="285"/>
      <c r="V9" s="285"/>
      <c r="W9" s="285"/>
      <c r="X9" s="285"/>
      <c r="Y9" s="285"/>
      <c r="Z9" s="285"/>
      <c r="AA9" s="285"/>
      <c r="AB9" s="285"/>
      <c r="AC9" s="285"/>
      <c r="AD9" s="285"/>
      <c r="AE9" s="285"/>
      <c r="AF9" s="285"/>
      <c r="AG9" s="285"/>
      <c r="AH9" s="285"/>
      <c r="AI9" s="285"/>
      <c r="AJ9" s="285"/>
      <c r="AK9" s="285"/>
      <c r="AL9" s="285"/>
      <c r="AM9" s="286"/>
      <c r="AN9" s="289" t="s">
        <v>574</v>
      </c>
      <c r="AO9" s="285"/>
      <c r="AP9" s="285"/>
      <c r="AQ9" s="290" t="s">
        <v>575</v>
      </c>
      <c r="AR9" s="285"/>
      <c r="AS9" s="285"/>
      <c r="AT9" s="285"/>
      <c r="AU9" s="285"/>
      <c r="AV9" s="285"/>
      <c r="AW9" s="285"/>
      <c r="AX9" s="285"/>
      <c r="AY9" s="285"/>
      <c r="AZ9" s="285"/>
      <c r="BA9" s="285"/>
      <c r="BB9" s="285"/>
      <c r="BC9" s="285"/>
      <c r="BD9" s="285"/>
      <c r="BE9" s="285"/>
      <c r="BF9" s="285"/>
      <c r="BG9" s="286"/>
      <c r="BH9" s="280" t="s">
        <v>22</v>
      </c>
      <c r="BI9" s="287" t="s">
        <v>97</v>
      </c>
      <c r="BJ9" s="287" t="s">
        <v>22</v>
      </c>
      <c r="BK9" s="287" t="s">
        <v>22</v>
      </c>
      <c r="BL9" s="287" t="s">
        <v>22</v>
      </c>
      <c r="BM9" s="287" t="s">
        <v>22</v>
      </c>
      <c r="BN9" s="283" t="s">
        <v>22</v>
      </c>
    </row>
    <row r="10" spans="2:66" x14ac:dyDescent="0.25">
      <c r="D10" s="382">
        <v>5</v>
      </c>
      <c r="E10" s="383"/>
      <c r="F10" s="276" t="s">
        <v>576</v>
      </c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76" t="s">
        <v>577</v>
      </c>
      <c r="S10" s="285"/>
      <c r="T10" s="285"/>
      <c r="U10" s="285"/>
      <c r="V10" s="285"/>
      <c r="W10" s="285"/>
      <c r="X10" s="285"/>
      <c r="Y10" s="285"/>
      <c r="Z10" s="285"/>
      <c r="AA10" s="285"/>
      <c r="AB10" s="285"/>
      <c r="AC10" s="285"/>
      <c r="AD10" s="285"/>
      <c r="AE10" s="285"/>
      <c r="AF10" s="285"/>
      <c r="AG10" s="285"/>
      <c r="AH10" s="285"/>
      <c r="AI10" s="285"/>
      <c r="AJ10" s="285"/>
      <c r="AK10" s="285"/>
      <c r="AL10" s="285"/>
      <c r="AM10" s="286"/>
      <c r="AN10" s="276" t="s">
        <v>567</v>
      </c>
      <c r="AO10" s="285"/>
      <c r="AP10" s="285"/>
      <c r="AQ10" s="290" t="s">
        <v>578</v>
      </c>
      <c r="AR10" s="285"/>
      <c r="AS10" s="285"/>
      <c r="AT10" s="285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E10" s="285"/>
      <c r="BF10" s="285"/>
      <c r="BG10" s="286"/>
      <c r="BH10" s="280" t="s">
        <v>22</v>
      </c>
      <c r="BI10" s="287" t="s">
        <v>22</v>
      </c>
      <c r="BJ10" s="287" t="s">
        <v>22</v>
      </c>
      <c r="BK10" s="287" t="s">
        <v>22</v>
      </c>
      <c r="BL10" s="287" t="s">
        <v>22</v>
      </c>
      <c r="BM10" s="287" t="s">
        <v>22</v>
      </c>
      <c r="BN10" s="283" t="s">
        <v>97</v>
      </c>
    </row>
    <row r="11" spans="2:66" x14ac:dyDescent="0.25">
      <c r="D11" s="382">
        <v>6</v>
      </c>
      <c r="E11" s="383"/>
      <c r="F11" s="291" t="s">
        <v>579</v>
      </c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76" t="s">
        <v>580</v>
      </c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6"/>
      <c r="AN11" s="276" t="s">
        <v>567</v>
      </c>
      <c r="AO11" s="285"/>
      <c r="AP11" s="285"/>
      <c r="AQ11" s="279" t="s">
        <v>568</v>
      </c>
      <c r="AR11" s="285"/>
      <c r="AS11" s="285"/>
      <c r="AT11" s="285"/>
      <c r="AU11" s="285"/>
      <c r="AV11" s="285"/>
      <c r="AW11" s="285"/>
      <c r="AX11" s="285"/>
      <c r="AY11" s="285"/>
      <c r="AZ11" s="285"/>
      <c r="BA11" s="285"/>
      <c r="BB11" s="285"/>
      <c r="BC11" s="285"/>
      <c r="BD11" s="285"/>
      <c r="BE11" s="285"/>
      <c r="BF11" s="285"/>
      <c r="BG11" s="286"/>
      <c r="BH11" s="280" t="s">
        <v>22</v>
      </c>
      <c r="BI11" s="287" t="s">
        <v>22</v>
      </c>
      <c r="BJ11" s="287" t="s">
        <v>22</v>
      </c>
      <c r="BK11" s="287" t="s">
        <v>22</v>
      </c>
      <c r="BL11" s="287" t="s">
        <v>22</v>
      </c>
      <c r="BM11" s="287" t="s">
        <v>22</v>
      </c>
      <c r="BN11" s="283" t="s">
        <v>97</v>
      </c>
    </row>
    <row r="12" spans="2:66" x14ac:dyDescent="0.25">
      <c r="D12" s="382">
        <v>7</v>
      </c>
      <c r="E12" s="383"/>
      <c r="F12" s="291" t="s">
        <v>581</v>
      </c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3"/>
      <c r="R12" s="276" t="s">
        <v>582</v>
      </c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6"/>
      <c r="AN12" s="276" t="s">
        <v>567</v>
      </c>
      <c r="AO12" s="285"/>
      <c r="AP12" s="285"/>
      <c r="AQ12" s="290" t="s">
        <v>583</v>
      </c>
      <c r="AR12" s="285"/>
      <c r="AS12" s="285"/>
      <c r="AT12" s="285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E12" s="285"/>
      <c r="BF12" s="285"/>
      <c r="BG12" s="286"/>
      <c r="BH12" s="280" t="s">
        <v>97</v>
      </c>
      <c r="BI12" s="287" t="s">
        <v>22</v>
      </c>
      <c r="BJ12" s="287" t="s">
        <v>22</v>
      </c>
      <c r="BK12" s="287" t="s">
        <v>22</v>
      </c>
      <c r="BL12" s="287" t="s">
        <v>22</v>
      </c>
      <c r="BM12" s="287" t="s">
        <v>22</v>
      </c>
      <c r="BN12" s="283" t="s">
        <v>22</v>
      </c>
    </row>
    <row r="13" spans="2:66" x14ac:dyDescent="0.25">
      <c r="D13" s="382">
        <v>8</v>
      </c>
      <c r="E13" s="383"/>
      <c r="F13" s="291" t="s">
        <v>584</v>
      </c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3"/>
      <c r="R13" s="276" t="s">
        <v>585</v>
      </c>
      <c r="S13" s="285"/>
      <c r="T13" s="285"/>
      <c r="U13" s="285"/>
      <c r="V13" s="285"/>
      <c r="W13" s="285"/>
      <c r="X13" s="285"/>
      <c r="Y13" s="285"/>
      <c r="Z13" s="285"/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85"/>
      <c r="AL13" s="285"/>
      <c r="AM13" s="286"/>
      <c r="AN13" s="276" t="s">
        <v>567</v>
      </c>
      <c r="AO13" s="285"/>
      <c r="AP13" s="285"/>
      <c r="AQ13" s="294" t="s">
        <v>583</v>
      </c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2"/>
      <c r="BD13" s="292"/>
      <c r="BE13" s="292"/>
      <c r="BF13" s="292"/>
      <c r="BG13" s="293"/>
      <c r="BH13" s="280" t="s">
        <v>22</v>
      </c>
      <c r="BI13" s="287" t="s">
        <v>22</v>
      </c>
      <c r="BJ13" s="287" t="s">
        <v>22</v>
      </c>
      <c r="BK13" s="287" t="s">
        <v>97</v>
      </c>
      <c r="BL13" s="287" t="s">
        <v>97</v>
      </c>
      <c r="BM13" s="287" t="s">
        <v>22</v>
      </c>
      <c r="BN13" s="283" t="s">
        <v>22</v>
      </c>
    </row>
    <row r="14" spans="2:66" x14ac:dyDescent="0.25">
      <c r="D14" s="382">
        <v>9</v>
      </c>
      <c r="E14" s="383"/>
      <c r="F14" s="273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5"/>
      <c r="R14" s="276" t="s">
        <v>586</v>
      </c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285"/>
      <c r="AI14" s="285"/>
      <c r="AJ14" s="285"/>
      <c r="AK14" s="285"/>
      <c r="AL14" s="285"/>
      <c r="AM14" s="286"/>
      <c r="AN14" s="276" t="s">
        <v>567</v>
      </c>
      <c r="AO14" s="285"/>
      <c r="AP14" s="285"/>
      <c r="AQ14" s="295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5"/>
      <c r="BH14" s="280" t="s">
        <v>22</v>
      </c>
      <c r="BI14" s="287" t="s">
        <v>22</v>
      </c>
      <c r="BJ14" s="287" t="s">
        <v>22</v>
      </c>
      <c r="BK14" s="287" t="s">
        <v>22</v>
      </c>
      <c r="BL14" s="287" t="s">
        <v>97</v>
      </c>
      <c r="BM14" s="287" t="s">
        <v>97</v>
      </c>
      <c r="BN14" s="283" t="s">
        <v>22</v>
      </c>
    </row>
    <row r="15" spans="2:66" x14ac:dyDescent="0.25">
      <c r="D15" s="384">
        <v>10</v>
      </c>
      <c r="E15" s="385"/>
      <c r="F15" s="284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8"/>
      <c r="R15" s="276" t="s">
        <v>587</v>
      </c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  <c r="AE15" s="285"/>
      <c r="AF15" s="285"/>
      <c r="AG15" s="285"/>
      <c r="AH15" s="285"/>
      <c r="AI15" s="285"/>
      <c r="AJ15" s="285"/>
      <c r="AK15" s="285"/>
      <c r="AL15" s="285"/>
      <c r="AM15" s="286"/>
      <c r="AN15" s="276" t="s">
        <v>567</v>
      </c>
      <c r="AO15" s="285"/>
      <c r="AP15" s="285"/>
      <c r="AQ15" s="279"/>
      <c r="AR15" s="277"/>
      <c r="AS15" s="277"/>
      <c r="AT15" s="277"/>
      <c r="AU15" s="277"/>
      <c r="AV15" s="277"/>
      <c r="AW15" s="277"/>
      <c r="AX15" s="277"/>
      <c r="AY15" s="277"/>
      <c r="AZ15" s="277"/>
      <c r="BA15" s="277"/>
      <c r="BB15" s="277"/>
      <c r="BC15" s="277"/>
      <c r="BD15" s="277"/>
      <c r="BE15" s="277"/>
      <c r="BF15" s="277"/>
      <c r="BG15" s="278"/>
      <c r="BH15" s="280" t="s">
        <v>22</v>
      </c>
      <c r="BI15" s="287" t="s">
        <v>22</v>
      </c>
      <c r="BJ15" s="287" t="s">
        <v>22</v>
      </c>
      <c r="BK15" s="287" t="s">
        <v>22</v>
      </c>
      <c r="BL15" s="287" t="s">
        <v>22</v>
      </c>
      <c r="BM15" s="287" t="s">
        <v>97</v>
      </c>
      <c r="BN15" s="283" t="s">
        <v>97</v>
      </c>
    </row>
    <row r="16" spans="2:66" x14ac:dyDescent="0.25">
      <c r="D16" s="382">
        <v>11</v>
      </c>
      <c r="E16" s="383"/>
      <c r="F16" s="276" t="s">
        <v>588</v>
      </c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6"/>
      <c r="R16" s="276" t="s">
        <v>589</v>
      </c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5"/>
      <c r="AL16" s="285"/>
      <c r="AM16" s="286"/>
      <c r="AN16" s="276" t="s">
        <v>567</v>
      </c>
      <c r="AO16" s="285"/>
      <c r="AP16" s="285"/>
      <c r="AQ16" s="290" t="s">
        <v>590</v>
      </c>
      <c r="AR16" s="285"/>
      <c r="AS16" s="285"/>
      <c r="AT16" s="285"/>
      <c r="AU16" s="285"/>
      <c r="AV16" s="285"/>
      <c r="AW16" s="285"/>
      <c r="AX16" s="285"/>
      <c r="AY16" s="285"/>
      <c r="AZ16" s="285"/>
      <c r="BA16" s="285"/>
      <c r="BB16" s="285"/>
      <c r="BC16" s="285"/>
      <c r="BD16" s="285"/>
      <c r="BE16" s="285"/>
      <c r="BF16" s="285"/>
      <c r="BG16" s="286"/>
      <c r="BH16" s="280" t="s">
        <v>22</v>
      </c>
      <c r="BI16" s="287" t="s">
        <v>22</v>
      </c>
      <c r="BJ16" s="287" t="s">
        <v>22</v>
      </c>
      <c r="BK16" s="287" t="s">
        <v>22</v>
      </c>
      <c r="BL16" s="287" t="s">
        <v>22</v>
      </c>
      <c r="BM16" s="287" t="s">
        <v>22</v>
      </c>
      <c r="BN16" s="283" t="s">
        <v>97</v>
      </c>
    </row>
    <row r="19" spans="2:73" x14ac:dyDescent="0.25">
      <c r="B19" s="1" t="s">
        <v>591</v>
      </c>
    </row>
    <row r="20" spans="2:73" x14ac:dyDescent="0.25">
      <c r="BT20" s="1">
        <f>SUM(BT24:BT67)</f>
        <v>6</v>
      </c>
      <c r="BU20" s="1">
        <f>SUM(BU24:BU67)</f>
        <v>6</v>
      </c>
    </row>
    <row r="21" spans="2:73" x14ac:dyDescent="0.25">
      <c r="D21" s="260"/>
      <c r="E21" s="261"/>
      <c r="F21" s="260" t="s">
        <v>0</v>
      </c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1"/>
      <c r="AN21" s="263" t="s">
        <v>76</v>
      </c>
      <c r="AO21" s="264"/>
      <c r="AP21" s="264"/>
      <c r="AQ21" s="264"/>
      <c r="AR21" s="264"/>
      <c r="AS21" s="264"/>
      <c r="AT21" s="264"/>
      <c r="AU21" s="264"/>
      <c r="AV21" s="264"/>
      <c r="AW21" s="264"/>
      <c r="AX21" s="264"/>
      <c r="AY21" s="264"/>
      <c r="AZ21" s="264"/>
      <c r="BA21" s="264"/>
      <c r="BB21" s="264"/>
      <c r="BC21" s="264"/>
      <c r="BD21" s="264"/>
      <c r="BE21" s="264"/>
      <c r="BF21" s="264"/>
      <c r="BG21" s="264"/>
      <c r="BH21" s="264"/>
      <c r="BI21" s="264"/>
      <c r="BJ21" s="264"/>
      <c r="BK21" s="264"/>
      <c r="BL21" s="264"/>
      <c r="BM21" s="264"/>
      <c r="BN21" s="264"/>
      <c r="BO21" s="264"/>
      <c r="BP21" s="264"/>
      <c r="BQ21" s="264"/>
      <c r="BR21" s="264"/>
      <c r="BS21" s="264"/>
      <c r="BT21" s="264"/>
      <c r="BU21" s="265"/>
    </row>
    <row r="22" spans="2:73" x14ac:dyDescent="0.25">
      <c r="D22" s="296"/>
      <c r="E22" s="297"/>
      <c r="F22" s="260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98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1"/>
      <c r="AN22" s="260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98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99" t="s">
        <v>592</v>
      </c>
      <c r="BU22" s="300" t="s">
        <v>593</v>
      </c>
    </row>
    <row r="23" spans="2:73" x14ac:dyDescent="0.25">
      <c r="D23" s="266" t="s">
        <v>560</v>
      </c>
      <c r="E23" s="267"/>
      <c r="F23" s="266" t="s">
        <v>594</v>
      </c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301" t="s">
        <v>33</v>
      </c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  <c r="AJ23" s="268"/>
      <c r="AK23" s="268"/>
      <c r="AL23" s="268"/>
      <c r="AM23" s="267"/>
      <c r="AN23" s="266" t="s">
        <v>594</v>
      </c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68"/>
      <c r="BE23" s="268"/>
      <c r="BF23" s="268"/>
      <c r="BG23" s="268"/>
      <c r="BH23" s="301" t="s">
        <v>60</v>
      </c>
      <c r="BI23" s="268"/>
      <c r="BJ23" s="268"/>
      <c r="BK23" s="268"/>
      <c r="BL23" s="268"/>
      <c r="BM23" s="268"/>
      <c r="BN23" s="268"/>
      <c r="BO23" s="268"/>
      <c r="BP23" s="268"/>
      <c r="BQ23" s="268"/>
      <c r="BR23" s="268"/>
      <c r="BS23" s="268"/>
      <c r="BT23" s="302" t="s">
        <v>595</v>
      </c>
      <c r="BU23" s="303" t="s">
        <v>596</v>
      </c>
    </row>
    <row r="24" spans="2:73" x14ac:dyDescent="0.25">
      <c r="D24" s="378" t="s">
        <v>85</v>
      </c>
      <c r="E24" s="379"/>
      <c r="F24" s="291" t="s">
        <v>597</v>
      </c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304" t="s">
        <v>50</v>
      </c>
      <c r="R24" s="292" t="s">
        <v>598</v>
      </c>
      <c r="S24" s="292"/>
      <c r="T24" s="292"/>
      <c r="U24" s="292"/>
      <c r="V24" s="292"/>
      <c r="W24" s="292"/>
      <c r="X24" s="292"/>
      <c r="Y24" s="292"/>
      <c r="Z24" s="292"/>
      <c r="AA24" s="292"/>
      <c r="AB24" s="292"/>
      <c r="AC24" s="292"/>
      <c r="AD24" s="292"/>
      <c r="AE24" s="292"/>
      <c r="AF24" s="292"/>
      <c r="AG24" s="292"/>
      <c r="AH24" s="292"/>
      <c r="AI24" s="292"/>
      <c r="AJ24" s="292"/>
      <c r="AK24" s="292"/>
      <c r="AL24" s="292"/>
      <c r="AM24" s="293"/>
      <c r="AN24" s="291" t="s">
        <v>55</v>
      </c>
      <c r="AO24" s="292" t="s">
        <v>118</v>
      </c>
      <c r="AP24" s="292"/>
      <c r="AQ24" s="292"/>
      <c r="AR24" s="292"/>
      <c r="AS24" s="292"/>
      <c r="AT24" s="292"/>
      <c r="AU24" s="292"/>
      <c r="AV24" s="292"/>
      <c r="AW24" s="292"/>
      <c r="AX24" s="292" t="s">
        <v>599</v>
      </c>
      <c r="AY24" s="292"/>
      <c r="AZ24" s="292"/>
      <c r="BA24" s="292"/>
      <c r="BB24" s="292"/>
      <c r="BC24" s="292"/>
      <c r="BD24" s="292"/>
      <c r="BE24" s="292"/>
      <c r="BF24" s="292"/>
      <c r="BG24" s="292"/>
      <c r="BH24" s="304" t="s">
        <v>50</v>
      </c>
      <c r="BI24" s="292" t="s">
        <v>121</v>
      </c>
      <c r="BJ24" s="292"/>
      <c r="BK24" s="292"/>
      <c r="BL24" s="292"/>
      <c r="BM24" s="292"/>
      <c r="BN24" s="292"/>
      <c r="BO24" s="292"/>
      <c r="BP24" s="292"/>
      <c r="BQ24" s="292"/>
      <c r="BR24" s="292"/>
      <c r="BS24" s="292"/>
      <c r="BT24" s="304">
        <v>1</v>
      </c>
      <c r="BU24" s="305">
        <v>1</v>
      </c>
    </row>
    <row r="25" spans="2:73" x14ac:dyDescent="0.25">
      <c r="D25" s="386"/>
      <c r="E25" s="387"/>
      <c r="F25" s="273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95"/>
      <c r="R25" s="308" t="s">
        <v>50</v>
      </c>
      <c r="S25" s="274" t="s">
        <v>600</v>
      </c>
      <c r="T25" s="274"/>
      <c r="U25" s="274"/>
      <c r="V25" s="274"/>
      <c r="W25" s="274"/>
      <c r="X25" s="274"/>
      <c r="Y25" s="274"/>
      <c r="Z25" s="274"/>
      <c r="AA25" s="274"/>
      <c r="AB25" s="274"/>
      <c r="AC25" s="274"/>
      <c r="AD25" s="274"/>
      <c r="AE25" s="274"/>
      <c r="AF25" s="274"/>
      <c r="AG25" s="274"/>
      <c r="AH25" s="274"/>
      <c r="AI25" s="274"/>
      <c r="AJ25" s="274"/>
      <c r="AK25" s="274"/>
      <c r="AL25" s="274"/>
      <c r="AM25" s="275"/>
      <c r="AN25" s="273"/>
      <c r="AO25" s="274" t="s">
        <v>51</v>
      </c>
      <c r="AP25" s="274"/>
      <c r="AQ25" s="274"/>
      <c r="AR25" s="274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95"/>
      <c r="BI25" s="274"/>
      <c r="BJ25" s="274"/>
      <c r="BK25" s="274"/>
      <c r="BL25" s="274"/>
      <c r="BM25" s="274"/>
      <c r="BN25" s="274"/>
      <c r="BO25" s="274"/>
      <c r="BP25" s="274"/>
      <c r="BQ25" s="274"/>
      <c r="BR25" s="274"/>
      <c r="BS25" s="274"/>
      <c r="BT25" s="309"/>
      <c r="BU25" s="310"/>
    </row>
    <row r="26" spans="2:73" x14ac:dyDescent="0.25">
      <c r="D26" s="386"/>
      <c r="E26" s="387"/>
      <c r="F26" s="273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95"/>
      <c r="R26" s="308" t="s">
        <v>50</v>
      </c>
      <c r="S26" s="274" t="s">
        <v>601</v>
      </c>
      <c r="T26" s="274"/>
      <c r="U26" s="274"/>
      <c r="V26" s="274"/>
      <c r="W26" s="274"/>
      <c r="X26" s="274"/>
      <c r="Y26" s="274"/>
      <c r="Z26" s="274"/>
      <c r="AA26" s="274"/>
      <c r="AB26" s="274"/>
      <c r="AC26" s="274"/>
      <c r="AD26" s="274"/>
      <c r="AE26" s="274"/>
      <c r="AF26" s="274"/>
      <c r="AG26" s="274"/>
      <c r="AH26" s="274"/>
      <c r="AI26" s="274"/>
      <c r="AJ26" s="274"/>
      <c r="AK26" s="274"/>
      <c r="AL26" s="274"/>
      <c r="AM26" s="275"/>
      <c r="AN26" s="273" t="s">
        <v>65</v>
      </c>
      <c r="AO26" s="274" t="s">
        <v>602</v>
      </c>
      <c r="AP26" s="274"/>
      <c r="AQ26" s="274"/>
      <c r="AR26" s="274"/>
      <c r="AS26" s="274"/>
      <c r="AT26" s="274"/>
      <c r="AU26" s="274"/>
      <c r="AV26" s="274"/>
      <c r="AW26" s="274"/>
      <c r="AX26" s="274" t="s">
        <v>601</v>
      </c>
      <c r="AY26" s="274"/>
      <c r="AZ26" s="274"/>
      <c r="BA26" s="274"/>
      <c r="BB26" s="274"/>
      <c r="BC26" s="274"/>
      <c r="BD26" s="274"/>
      <c r="BE26" s="274"/>
      <c r="BF26" s="274"/>
      <c r="BG26" s="274"/>
      <c r="BH26" s="295"/>
      <c r="BI26" s="274"/>
      <c r="BJ26" s="274"/>
      <c r="BK26" s="274"/>
      <c r="BL26" s="274"/>
      <c r="BM26" s="274"/>
      <c r="BN26" s="274"/>
      <c r="BO26" s="274"/>
      <c r="BP26" s="274"/>
      <c r="BQ26" s="274"/>
      <c r="BR26" s="274"/>
      <c r="BS26" s="274"/>
      <c r="BT26" s="309"/>
      <c r="BU26" s="310"/>
    </row>
    <row r="27" spans="2:73" x14ac:dyDescent="0.25">
      <c r="D27" s="386"/>
      <c r="E27" s="387"/>
      <c r="F27" s="273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95"/>
      <c r="R27" s="308" t="s">
        <v>50</v>
      </c>
      <c r="S27" s="274" t="s">
        <v>603</v>
      </c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5"/>
      <c r="AN27" s="273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95"/>
      <c r="BI27" s="274"/>
      <c r="BJ27" s="274"/>
      <c r="BK27" s="274"/>
      <c r="BL27" s="274"/>
      <c r="BM27" s="274"/>
      <c r="BN27" s="274"/>
      <c r="BO27" s="274"/>
      <c r="BP27" s="274"/>
      <c r="BQ27" s="274"/>
      <c r="BR27" s="274"/>
      <c r="BS27" s="274"/>
      <c r="BT27" s="309"/>
      <c r="BU27" s="310"/>
    </row>
    <row r="28" spans="2:73" x14ac:dyDescent="0.25">
      <c r="D28" s="386"/>
      <c r="E28" s="387"/>
      <c r="F28" s="273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95"/>
      <c r="R28" s="274"/>
      <c r="S28" s="274"/>
      <c r="T28" s="274"/>
      <c r="U28" s="274"/>
      <c r="V28" s="274"/>
      <c r="W28" s="274"/>
      <c r="X28" s="274"/>
      <c r="Y28" s="274"/>
      <c r="Z28" s="274"/>
      <c r="AA28" s="274"/>
      <c r="AB28" s="274"/>
      <c r="AC28" s="274"/>
      <c r="AD28" s="274"/>
      <c r="AE28" s="274"/>
      <c r="AF28" s="274"/>
      <c r="AG28" s="274"/>
      <c r="AH28" s="274"/>
      <c r="AI28" s="274"/>
      <c r="AJ28" s="274"/>
      <c r="AK28" s="274"/>
      <c r="AL28" s="274"/>
      <c r="AM28" s="275"/>
      <c r="AN28" s="273" t="s">
        <v>66</v>
      </c>
      <c r="AO28" s="274" t="s">
        <v>117</v>
      </c>
      <c r="AP28" s="274"/>
      <c r="AQ28" s="274"/>
      <c r="AR28" s="274"/>
      <c r="AS28" s="274"/>
      <c r="AT28" s="274"/>
      <c r="AU28" s="274"/>
      <c r="AV28" s="274"/>
      <c r="AW28" s="274"/>
      <c r="AX28" s="274" t="s">
        <v>604</v>
      </c>
      <c r="AY28" s="274"/>
      <c r="AZ28" s="274"/>
      <c r="BA28" s="274"/>
      <c r="BB28" s="274"/>
      <c r="BC28" s="274"/>
      <c r="BD28" s="274"/>
      <c r="BE28" s="274"/>
      <c r="BF28" s="274"/>
      <c r="BG28" s="274"/>
      <c r="BH28" s="295"/>
      <c r="BI28" s="274"/>
      <c r="BJ28" s="274"/>
      <c r="BK28" s="274"/>
      <c r="BL28" s="274"/>
      <c r="BM28" s="274"/>
      <c r="BN28" s="274"/>
      <c r="BO28" s="274"/>
      <c r="BP28" s="274"/>
      <c r="BQ28" s="274"/>
      <c r="BR28" s="274"/>
      <c r="BS28" s="274"/>
      <c r="BT28" s="309"/>
      <c r="BU28" s="310"/>
    </row>
    <row r="29" spans="2:73" x14ac:dyDescent="0.25">
      <c r="D29" s="386"/>
      <c r="E29" s="387"/>
      <c r="F29" s="273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95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  <c r="AD29" s="274"/>
      <c r="AE29" s="274"/>
      <c r="AF29" s="274"/>
      <c r="AG29" s="274"/>
      <c r="AH29" s="274"/>
      <c r="AI29" s="274"/>
      <c r="AJ29" s="274"/>
      <c r="AK29" s="274"/>
      <c r="AL29" s="274"/>
      <c r="AM29" s="275"/>
      <c r="AN29" s="273"/>
      <c r="AO29" s="274" t="s">
        <v>51</v>
      </c>
      <c r="AP29" s="274"/>
      <c r="AQ29" s="274"/>
      <c r="AR29" s="274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  <c r="BD29" s="274"/>
      <c r="BE29" s="274"/>
      <c r="BF29" s="274"/>
      <c r="BG29" s="274"/>
      <c r="BH29" s="295"/>
      <c r="BI29" s="274"/>
      <c r="BJ29" s="274"/>
      <c r="BK29" s="274"/>
      <c r="BL29" s="274"/>
      <c r="BM29" s="274"/>
      <c r="BN29" s="274"/>
      <c r="BO29" s="274"/>
      <c r="BP29" s="274"/>
      <c r="BQ29" s="274"/>
      <c r="BR29" s="274"/>
      <c r="BS29" s="274"/>
      <c r="BT29" s="309"/>
      <c r="BU29" s="310"/>
    </row>
    <row r="30" spans="2:73" x14ac:dyDescent="0.25">
      <c r="D30" s="386"/>
      <c r="E30" s="387"/>
      <c r="F30" s="273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95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5"/>
      <c r="AN30" s="273" t="s">
        <v>71</v>
      </c>
      <c r="AO30" s="274" t="s">
        <v>602</v>
      </c>
      <c r="AP30" s="274"/>
      <c r="AQ30" s="274"/>
      <c r="AR30" s="274"/>
      <c r="AS30" s="274"/>
      <c r="AT30" s="274"/>
      <c r="AU30" s="274"/>
      <c r="AV30" s="274"/>
      <c r="AW30" s="274"/>
      <c r="AX30" s="274" t="s">
        <v>601</v>
      </c>
      <c r="AY30" s="274"/>
      <c r="AZ30" s="274"/>
      <c r="BA30" s="274"/>
      <c r="BB30" s="274"/>
      <c r="BC30" s="274"/>
      <c r="BD30" s="274"/>
      <c r="BE30" s="274"/>
      <c r="BF30" s="274"/>
      <c r="BG30" s="274"/>
      <c r="BH30" s="295"/>
      <c r="BI30" s="274"/>
      <c r="BJ30" s="274"/>
      <c r="BK30" s="274"/>
      <c r="BL30" s="274"/>
      <c r="BM30" s="274"/>
      <c r="BN30" s="274"/>
      <c r="BO30" s="274"/>
      <c r="BP30" s="274"/>
      <c r="BQ30" s="274"/>
      <c r="BR30" s="274"/>
      <c r="BS30" s="274"/>
      <c r="BT30" s="309"/>
      <c r="BU30" s="310"/>
    </row>
    <row r="31" spans="2:73" x14ac:dyDescent="0.25">
      <c r="D31" s="306"/>
      <c r="E31" s="307"/>
      <c r="F31" s="273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95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5"/>
      <c r="AN31" s="273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95"/>
      <c r="BI31" s="274"/>
      <c r="BJ31" s="274"/>
      <c r="BK31" s="274"/>
      <c r="BL31" s="274"/>
      <c r="BM31" s="274"/>
      <c r="BN31" s="274"/>
      <c r="BO31" s="274"/>
      <c r="BP31" s="274"/>
      <c r="BQ31" s="274"/>
      <c r="BR31" s="274"/>
      <c r="BS31" s="274"/>
      <c r="BT31" s="309"/>
      <c r="BU31" s="310"/>
    </row>
    <row r="32" spans="2:73" x14ac:dyDescent="0.25">
      <c r="D32" s="306"/>
      <c r="E32" s="307"/>
      <c r="F32" s="273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95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5"/>
      <c r="AN32" s="273" t="s">
        <v>72</v>
      </c>
      <c r="AO32" s="274" t="s">
        <v>605</v>
      </c>
      <c r="AP32" s="274"/>
      <c r="AQ32" s="274"/>
      <c r="AR32" s="274"/>
      <c r="AS32" s="274"/>
      <c r="AT32" s="274"/>
      <c r="AU32" s="274"/>
      <c r="AV32" s="274"/>
      <c r="AW32" s="274"/>
      <c r="AX32" s="274" t="s">
        <v>606</v>
      </c>
      <c r="AY32" s="274"/>
      <c r="AZ32" s="274"/>
      <c r="BA32" s="274"/>
      <c r="BB32" s="274"/>
      <c r="BC32" s="274"/>
      <c r="BD32" s="274"/>
      <c r="BE32" s="274"/>
      <c r="BF32" s="274"/>
      <c r="BG32" s="274"/>
      <c r="BH32" s="295"/>
      <c r="BI32" s="274"/>
      <c r="BJ32" s="274"/>
      <c r="BK32" s="274"/>
      <c r="BL32" s="274"/>
      <c r="BM32" s="274"/>
      <c r="BN32" s="274"/>
      <c r="BO32" s="274"/>
      <c r="BP32" s="274"/>
      <c r="BQ32" s="274"/>
      <c r="BR32" s="274"/>
      <c r="BS32" s="274"/>
      <c r="BT32" s="309"/>
      <c r="BU32" s="310"/>
    </row>
    <row r="33" spans="4:73" x14ac:dyDescent="0.25">
      <c r="D33" s="388"/>
      <c r="E33" s="389"/>
      <c r="F33" s="284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9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8"/>
      <c r="AN33" s="284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7"/>
      <c r="BH33" s="279"/>
      <c r="BI33" s="277"/>
      <c r="BJ33" s="277"/>
      <c r="BK33" s="277"/>
      <c r="BL33" s="277"/>
      <c r="BM33" s="277"/>
      <c r="BN33" s="277"/>
      <c r="BO33" s="277"/>
      <c r="BP33" s="277"/>
      <c r="BQ33" s="277"/>
      <c r="BR33" s="277"/>
      <c r="BS33" s="277"/>
      <c r="BT33" s="311"/>
      <c r="BU33" s="312"/>
    </row>
    <row r="34" spans="4:73" x14ac:dyDescent="0.25">
      <c r="D34" s="378" t="s">
        <v>198</v>
      </c>
      <c r="E34" s="379"/>
      <c r="F34" s="291" t="s">
        <v>607</v>
      </c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304" t="s">
        <v>50</v>
      </c>
      <c r="R34" s="292" t="s">
        <v>608</v>
      </c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3"/>
      <c r="AN34" s="291" t="s">
        <v>55</v>
      </c>
      <c r="AO34" s="292" t="s">
        <v>120</v>
      </c>
      <c r="AP34" s="292"/>
      <c r="AQ34" s="292"/>
      <c r="AR34" s="292"/>
      <c r="AS34" s="292"/>
      <c r="AT34" s="292"/>
      <c r="AU34" s="292"/>
      <c r="AV34" s="292"/>
      <c r="AW34" s="292"/>
      <c r="AX34" s="292" t="s">
        <v>599</v>
      </c>
      <c r="AY34" s="292"/>
      <c r="AZ34" s="292"/>
      <c r="BA34" s="292"/>
      <c r="BB34" s="292"/>
      <c r="BC34" s="292"/>
      <c r="BD34" s="292"/>
      <c r="BE34" s="292"/>
      <c r="BF34" s="292"/>
      <c r="BG34" s="292"/>
      <c r="BH34" s="304" t="s">
        <v>50</v>
      </c>
      <c r="BI34" s="292" t="s">
        <v>121</v>
      </c>
      <c r="BJ34" s="292"/>
      <c r="BK34" s="292"/>
      <c r="BL34" s="292"/>
      <c r="BM34" s="292"/>
      <c r="BN34" s="292"/>
      <c r="BO34" s="292"/>
      <c r="BP34" s="292"/>
      <c r="BQ34" s="292"/>
      <c r="BR34" s="292"/>
      <c r="BS34" s="292"/>
      <c r="BT34" s="304">
        <v>1</v>
      </c>
      <c r="BU34" s="305">
        <v>1</v>
      </c>
    </row>
    <row r="35" spans="4:73" x14ac:dyDescent="0.25">
      <c r="D35" s="386"/>
      <c r="E35" s="387"/>
      <c r="F35" s="273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95"/>
      <c r="R35" s="308" t="s">
        <v>50</v>
      </c>
      <c r="S35" s="274" t="s">
        <v>609</v>
      </c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5"/>
      <c r="AN35" s="273"/>
      <c r="AO35" s="274" t="s">
        <v>51</v>
      </c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95"/>
      <c r="BI35" s="308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309"/>
      <c r="BU35" s="310"/>
    </row>
    <row r="36" spans="4:73" x14ac:dyDescent="0.25">
      <c r="D36" s="386"/>
      <c r="E36" s="387"/>
      <c r="F36" s="273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95"/>
      <c r="R36" s="274"/>
      <c r="S36" s="274" t="s">
        <v>610</v>
      </c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5"/>
      <c r="AN36" s="273" t="s">
        <v>65</v>
      </c>
      <c r="AO36" s="274" t="s">
        <v>117</v>
      </c>
      <c r="AP36" s="274"/>
      <c r="AQ36" s="274"/>
      <c r="AR36" s="274"/>
      <c r="AS36" s="274"/>
      <c r="AT36" s="274"/>
      <c r="AU36" s="274"/>
      <c r="AV36" s="274"/>
      <c r="AW36" s="274"/>
      <c r="AX36" s="274" t="s">
        <v>599</v>
      </c>
      <c r="AY36" s="274"/>
      <c r="AZ36" s="274"/>
      <c r="BA36" s="274"/>
      <c r="BB36" s="274"/>
      <c r="BC36" s="274"/>
      <c r="BD36" s="274"/>
      <c r="BE36" s="274"/>
      <c r="BF36" s="274"/>
      <c r="BG36" s="274"/>
      <c r="BH36" s="295"/>
      <c r="BI36" s="308"/>
      <c r="BJ36" s="274"/>
      <c r="BK36" s="274"/>
      <c r="BL36" s="274"/>
      <c r="BM36" s="274"/>
      <c r="BN36" s="274"/>
      <c r="BO36" s="274"/>
      <c r="BP36" s="274"/>
      <c r="BQ36" s="274"/>
      <c r="BR36" s="274"/>
      <c r="BS36" s="274"/>
      <c r="BT36" s="309"/>
      <c r="BU36" s="310"/>
    </row>
    <row r="37" spans="4:73" x14ac:dyDescent="0.25">
      <c r="D37" s="306"/>
      <c r="E37" s="307"/>
      <c r="F37" s="273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95"/>
      <c r="R37" s="313" t="s">
        <v>54</v>
      </c>
      <c r="S37" s="313" t="s">
        <v>611</v>
      </c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5"/>
      <c r="AN37" s="273"/>
      <c r="AO37" s="274"/>
      <c r="AP37" s="274"/>
      <c r="AQ37" s="274"/>
      <c r="AR37" s="274"/>
      <c r="AS37" s="274"/>
      <c r="AT37" s="274"/>
      <c r="AU37" s="274"/>
      <c r="AV37" s="274"/>
      <c r="AW37" s="274"/>
      <c r="AX37" s="274"/>
      <c r="AY37" s="274"/>
      <c r="AZ37" s="274"/>
      <c r="BA37" s="274"/>
      <c r="BB37" s="274"/>
      <c r="BC37" s="274"/>
      <c r="BD37" s="274"/>
      <c r="BE37" s="274"/>
      <c r="BF37" s="274"/>
      <c r="BG37" s="274"/>
      <c r="BH37" s="295"/>
      <c r="BI37" s="308"/>
      <c r="BJ37" s="274"/>
      <c r="BK37" s="274"/>
      <c r="BL37" s="274"/>
      <c r="BM37" s="274"/>
      <c r="BN37" s="274"/>
      <c r="BO37" s="274"/>
      <c r="BP37" s="274"/>
      <c r="BQ37" s="274"/>
      <c r="BR37" s="274"/>
      <c r="BS37" s="274"/>
      <c r="BT37" s="309"/>
      <c r="BU37" s="310"/>
    </row>
    <row r="38" spans="4:73" x14ac:dyDescent="0.25">
      <c r="D38" s="388"/>
      <c r="E38" s="389"/>
      <c r="F38" s="284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9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  <c r="AL38" s="277"/>
      <c r="AM38" s="278"/>
      <c r="AN38" s="284"/>
      <c r="AO38" s="277"/>
      <c r="AP38" s="277"/>
      <c r="AQ38" s="277"/>
      <c r="AR38" s="277"/>
      <c r="AS38" s="277"/>
      <c r="AT38" s="277"/>
      <c r="AU38" s="277"/>
      <c r="AV38" s="277"/>
      <c r="AW38" s="277"/>
      <c r="AX38" s="277"/>
      <c r="AY38" s="277"/>
      <c r="AZ38" s="277"/>
      <c r="BA38" s="277"/>
      <c r="BB38" s="277"/>
      <c r="BC38" s="277"/>
      <c r="BD38" s="277"/>
      <c r="BE38" s="277"/>
      <c r="BF38" s="277"/>
      <c r="BG38" s="277"/>
      <c r="BH38" s="279"/>
      <c r="BI38" s="277"/>
      <c r="BJ38" s="277"/>
      <c r="BK38" s="277"/>
      <c r="BL38" s="277"/>
      <c r="BM38" s="277"/>
      <c r="BN38" s="277"/>
      <c r="BO38" s="277"/>
      <c r="BP38" s="277"/>
      <c r="BQ38" s="277"/>
      <c r="BR38" s="277"/>
      <c r="BS38" s="277"/>
      <c r="BT38" s="311"/>
      <c r="BU38" s="312"/>
    </row>
    <row r="39" spans="4:73" x14ac:dyDescent="0.25">
      <c r="D39" s="378" t="s">
        <v>190</v>
      </c>
      <c r="E39" s="379"/>
      <c r="F39" s="291" t="s">
        <v>612</v>
      </c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304" t="s">
        <v>50</v>
      </c>
      <c r="R39" s="292" t="s">
        <v>613</v>
      </c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3"/>
      <c r="AN39" s="291" t="s">
        <v>55</v>
      </c>
      <c r="AO39" s="292" t="s">
        <v>614</v>
      </c>
      <c r="AP39" s="292"/>
      <c r="AQ39" s="292"/>
      <c r="AR39" s="292"/>
      <c r="AS39" s="292"/>
      <c r="AT39" s="292"/>
      <c r="AU39" s="292"/>
      <c r="AV39" s="292"/>
      <c r="AW39" s="292"/>
      <c r="AX39" s="292" t="s">
        <v>601</v>
      </c>
      <c r="AY39" s="292"/>
      <c r="AZ39" s="292"/>
      <c r="BA39" s="292"/>
      <c r="BB39" s="292"/>
      <c r="BC39" s="292"/>
      <c r="BD39" s="292"/>
      <c r="BE39" s="292"/>
      <c r="BF39" s="292"/>
      <c r="BG39" s="292"/>
      <c r="BH39" s="304" t="s">
        <v>50</v>
      </c>
      <c r="BI39" s="292" t="s">
        <v>121</v>
      </c>
      <c r="BJ39" s="292"/>
      <c r="BK39" s="292"/>
      <c r="BL39" s="292"/>
      <c r="BM39" s="292"/>
      <c r="BN39" s="292"/>
      <c r="BO39" s="292"/>
      <c r="BP39" s="292"/>
      <c r="BQ39" s="292"/>
      <c r="BR39" s="292"/>
      <c r="BS39" s="292"/>
      <c r="BT39" s="304">
        <v>1</v>
      </c>
      <c r="BU39" s="305">
        <v>1</v>
      </c>
    </row>
    <row r="40" spans="4:73" x14ac:dyDescent="0.25">
      <c r="D40" s="386"/>
      <c r="E40" s="387"/>
      <c r="F40" s="273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95"/>
      <c r="R40" s="308" t="s">
        <v>50</v>
      </c>
      <c r="S40" s="274" t="s">
        <v>615</v>
      </c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4"/>
      <c r="AF40" s="274"/>
      <c r="AG40" s="274"/>
      <c r="AH40" s="274"/>
      <c r="AI40" s="274"/>
      <c r="AJ40" s="274"/>
      <c r="AK40" s="274"/>
      <c r="AL40" s="274"/>
      <c r="AM40" s="275"/>
      <c r="AN40" s="273"/>
      <c r="AO40" s="274" t="s">
        <v>51</v>
      </c>
      <c r="AP40" s="274"/>
      <c r="AQ40" s="274"/>
      <c r="AR40" s="274"/>
      <c r="AS40" s="274"/>
      <c r="AT40" s="274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95"/>
      <c r="BI40" s="308"/>
      <c r="BJ40" s="274"/>
      <c r="BK40" s="274"/>
      <c r="BL40" s="274"/>
      <c r="BM40" s="274"/>
      <c r="BN40" s="274"/>
      <c r="BO40" s="274"/>
      <c r="BP40" s="274"/>
      <c r="BQ40" s="274"/>
      <c r="BR40" s="274"/>
      <c r="BS40" s="274"/>
      <c r="BT40" s="309"/>
      <c r="BU40" s="310"/>
    </row>
    <row r="41" spans="4:73" x14ac:dyDescent="0.25">
      <c r="D41" s="386"/>
      <c r="E41" s="387"/>
      <c r="F41" s="273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95"/>
      <c r="R41" s="274"/>
      <c r="S41" s="274" t="s">
        <v>616</v>
      </c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  <c r="AF41" s="274"/>
      <c r="AG41" s="274"/>
      <c r="AH41" s="274"/>
      <c r="AI41" s="274"/>
      <c r="AJ41" s="274"/>
      <c r="AK41" s="274"/>
      <c r="AL41" s="274"/>
      <c r="AM41" s="275"/>
      <c r="AN41" s="273" t="s">
        <v>65</v>
      </c>
      <c r="AO41" s="274" t="s">
        <v>120</v>
      </c>
      <c r="AP41" s="274"/>
      <c r="AQ41" s="274"/>
      <c r="AR41" s="274"/>
      <c r="AS41" s="274"/>
      <c r="AT41" s="274"/>
      <c r="AU41" s="274"/>
      <c r="AV41" s="274"/>
      <c r="AW41" s="274"/>
      <c r="AX41" s="274" t="s">
        <v>599</v>
      </c>
      <c r="AY41" s="274"/>
      <c r="AZ41" s="274"/>
      <c r="BA41" s="274"/>
      <c r="BB41" s="274"/>
      <c r="BC41" s="274"/>
      <c r="BD41" s="274"/>
      <c r="BE41" s="274"/>
      <c r="BF41" s="274"/>
      <c r="BG41" s="274"/>
      <c r="BH41" s="295"/>
      <c r="BI41" s="308"/>
      <c r="BJ41" s="274"/>
      <c r="BK41" s="274"/>
      <c r="BL41" s="274"/>
      <c r="BM41" s="274"/>
      <c r="BN41" s="274"/>
      <c r="BO41" s="274"/>
      <c r="BP41" s="274"/>
      <c r="BQ41" s="274"/>
      <c r="BR41" s="274"/>
      <c r="BS41" s="274"/>
      <c r="BT41" s="309"/>
      <c r="BU41" s="310"/>
    </row>
    <row r="42" spans="4:73" x14ac:dyDescent="0.25">
      <c r="D42" s="306"/>
      <c r="E42" s="307"/>
      <c r="F42" s="273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95"/>
      <c r="R42" s="308" t="s">
        <v>50</v>
      </c>
      <c r="S42" s="274" t="s">
        <v>617</v>
      </c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  <c r="AF42" s="274"/>
      <c r="AG42" s="274"/>
      <c r="AH42" s="274"/>
      <c r="AI42" s="274"/>
      <c r="AJ42" s="274"/>
      <c r="AK42" s="274"/>
      <c r="AL42" s="274"/>
      <c r="AM42" s="275"/>
      <c r="AN42" s="273"/>
      <c r="AO42" s="274"/>
      <c r="AP42" s="274"/>
      <c r="AQ42" s="274"/>
      <c r="AR42" s="274"/>
      <c r="AS42" s="274"/>
      <c r="AT42" s="274"/>
      <c r="AU42" s="274"/>
      <c r="AV42" s="274"/>
      <c r="AW42" s="274"/>
      <c r="AX42" s="274"/>
      <c r="AY42" s="274"/>
      <c r="AZ42" s="274"/>
      <c r="BA42" s="274"/>
      <c r="BB42" s="274"/>
      <c r="BC42" s="274"/>
      <c r="BD42" s="274"/>
      <c r="BE42" s="274"/>
      <c r="BF42" s="274"/>
      <c r="BG42" s="274"/>
      <c r="BH42" s="295"/>
      <c r="BI42" s="308"/>
      <c r="BJ42" s="274"/>
      <c r="BK42" s="274"/>
      <c r="BL42" s="274"/>
      <c r="BM42" s="274"/>
      <c r="BN42" s="274"/>
      <c r="BO42" s="274"/>
      <c r="BP42" s="274"/>
      <c r="BQ42" s="274"/>
      <c r="BR42" s="274"/>
      <c r="BS42" s="274"/>
      <c r="BT42" s="309"/>
      <c r="BU42" s="310"/>
    </row>
    <row r="43" spans="4:73" x14ac:dyDescent="0.25">
      <c r="D43" s="306"/>
      <c r="E43" s="307"/>
      <c r="F43" s="273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95"/>
      <c r="R43" s="274"/>
      <c r="S43" s="274" t="s">
        <v>618</v>
      </c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5"/>
      <c r="AN43" s="273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95"/>
      <c r="BI43" s="274"/>
      <c r="BJ43" s="274"/>
      <c r="BK43" s="274"/>
      <c r="BL43" s="274"/>
      <c r="BM43" s="274"/>
      <c r="BN43" s="274"/>
      <c r="BO43" s="274"/>
      <c r="BP43" s="274"/>
      <c r="BQ43" s="274"/>
      <c r="BR43" s="274"/>
      <c r="BS43" s="274"/>
      <c r="BT43" s="309"/>
      <c r="BU43" s="310"/>
    </row>
    <row r="44" spans="4:73" x14ac:dyDescent="0.25">
      <c r="D44" s="388"/>
      <c r="E44" s="389"/>
      <c r="F44" s="284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9"/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  <c r="AG44" s="277"/>
      <c r="AH44" s="277"/>
      <c r="AI44" s="277"/>
      <c r="AJ44" s="277"/>
      <c r="AK44" s="277"/>
      <c r="AL44" s="277"/>
      <c r="AM44" s="278"/>
      <c r="AN44" s="284"/>
      <c r="AO44" s="277"/>
      <c r="AP44" s="277"/>
      <c r="AQ44" s="277"/>
      <c r="AR44" s="277"/>
      <c r="AS44" s="277"/>
      <c r="AT44" s="277"/>
      <c r="AU44" s="277"/>
      <c r="AV44" s="277"/>
      <c r="AW44" s="277"/>
      <c r="AX44" s="277"/>
      <c r="AY44" s="277"/>
      <c r="AZ44" s="277"/>
      <c r="BA44" s="277"/>
      <c r="BB44" s="277"/>
      <c r="BC44" s="277"/>
      <c r="BD44" s="277"/>
      <c r="BE44" s="277"/>
      <c r="BF44" s="277"/>
      <c r="BG44" s="277"/>
      <c r="BH44" s="279"/>
      <c r="BI44" s="277"/>
      <c r="BJ44" s="277"/>
      <c r="BK44" s="277"/>
      <c r="BL44" s="277"/>
      <c r="BM44" s="277"/>
      <c r="BN44" s="277"/>
      <c r="BO44" s="277"/>
      <c r="BP44" s="277"/>
      <c r="BQ44" s="277"/>
      <c r="BR44" s="277"/>
      <c r="BS44" s="277"/>
      <c r="BT44" s="311"/>
      <c r="BU44" s="312"/>
    </row>
    <row r="45" spans="4:73" x14ac:dyDescent="0.25">
      <c r="D45" s="378" t="s">
        <v>172</v>
      </c>
      <c r="E45" s="379"/>
      <c r="F45" s="291" t="s">
        <v>619</v>
      </c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304" t="s">
        <v>50</v>
      </c>
      <c r="R45" s="292" t="s">
        <v>598</v>
      </c>
      <c r="S45" s="292"/>
      <c r="T45" s="292"/>
      <c r="U45" s="292"/>
      <c r="V45" s="292"/>
      <c r="W45" s="292"/>
      <c r="X45" s="292"/>
      <c r="Y45" s="292"/>
      <c r="Z45" s="292"/>
      <c r="AA45" s="292"/>
      <c r="AB45" s="292"/>
      <c r="AC45" s="292"/>
      <c r="AD45" s="292"/>
      <c r="AE45" s="292"/>
      <c r="AF45" s="292"/>
      <c r="AG45" s="292"/>
      <c r="AH45" s="292"/>
      <c r="AI45" s="292"/>
      <c r="AJ45" s="292"/>
      <c r="AK45" s="292"/>
      <c r="AL45" s="292"/>
      <c r="AM45" s="293"/>
      <c r="AN45" s="291" t="s">
        <v>55</v>
      </c>
      <c r="AO45" s="292" t="s">
        <v>120</v>
      </c>
      <c r="AP45" s="292"/>
      <c r="AQ45" s="292"/>
      <c r="AR45" s="292"/>
      <c r="AS45" s="292"/>
      <c r="AT45" s="292"/>
      <c r="AU45" s="292"/>
      <c r="AV45" s="292"/>
      <c r="AW45" s="292"/>
      <c r="AX45" s="292" t="s">
        <v>599</v>
      </c>
      <c r="AY45" s="292"/>
      <c r="AZ45" s="292"/>
      <c r="BA45" s="292"/>
      <c r="BB45" s="292"/>
      <c r="BC45" s="292"/>
      <c r="BD45" s="292"/>
      <c r="BE45" s="292"/>
      <c r="BF45" s="292"/>
      <c r="BG45" s="292"/>
      <c r="BH45" s="304" t="s">
        <v>50</v>
      </c>
      <c r="BI45" s="292" t="s">
        <v>121</v>
      </c>
      <c r="BJ45" s="292"/>
      <c r="BK45" s="292"/>
      <c r="BL45" s="292"/>
      <c r="BM45" s="292"/>
      <c r="BN45" s="292"/>
      <c r="BO45" s="292"/>
      <c r="BP45" s="292"/>
      <c r="BQ45" s="292"/>
      <c r="BR45" s="292"/>
      <c r="BS45" s="292"/>
      <c r="BT45" s="304">
        <v>1</v>
      </c>
      <c r="BU45" s="305">
        <v>1</v>
      </c>
    </row>
    <row r="46" spans="4:73" x14ac:dyDescent="0.25">
      <c r="D46" s="386"/>
      <c r="E46" s="387"/>
      <c r="F46" s="273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95"/>
      <c r="R46" s="308" t="s">
        <v>50</v>
      </c>
      <c r="S46" s="274" t="s">
        <v>600</v>
      </c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4"/>
      <c r="AF46" s="274"/>
      <c r="AG46" s="274"/>
      <c r="AH46" s="274"/>
      <c r="AI46" s="274"/>
      <c r="AJ46" s="274"/>
      <c r="AK46" s="274"/>
      <c r="AL46" s="274"/>
      <c r="AM46" s="275"/>
      <c r="AN46" s="273"/>
      <c r="AO46" s="274" t="s">
        <v>51</v>
      </c>
      <c r="AP46" s="274"/>
      <c r="AQ46" s="274"/>
      <c r="AR46" s="274"/>
      <c r="AS46" s="274"/>
      <c r="AT46" s="274"/>
      <c r="AU46" s="274"/>
      <c r="AV46" s="274"/>
      <c r="AW46" s="274"/>
      <c r="AX46" s="274"/>
      <c r="AY46" s="274"/>
      <c r="AZ46" s="274"/>
      <c r="BA46" s="274"/>
      <c r="BB46" s="274"/>
      <c r="BC46" s="274"/>
      <c r="BD46" s="274"/>
      <c r="BE46" s="274"/>
      <c r="BF46" s="274"/>
      <c r="BG46" s="274"/>
      <c r="BH46" s="295"/>
      <c r="BI46" s="274"/>
      <c r="BJ46" s="274"/>
      <c r="BK46" s="274"/>
      <c r="BL46" s="274"/>
      <c r="BM46" s="274"/>
      <c r="BN46" s="274"/>
      <c r="BO46" s="274"/>
      <c r="BP46" s="274"/>
      <c r="BQ46" s="274"/>
      <c r="BR46" s="274"/>
      <c r="BS46" s="274"/>
      <c r="BT46" s="309"/>
      <c r="BU46" s="310"/>
    </row>
    <row r="47" spans="4:73" x14ac:dyDescent="0.25">
      <c r="D47" s="386"/>
      <c r="E47" s="387"/>
      <c r="F47" s="273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95"/>
      <c r="R47" s="308" t="s">
        <v>50</v>
      </c>
      <c r="S47" s="274" t="s">
        <v>620</v>
      </c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4"/>
      <c r="AF47" s="274"/>
      <c r="AG47" s="274"/>
      <c r="AH47" s="274"/>
      <c r="AI47" s="274"/>
      <c r="AJ47" s="274"/>
      <c r="AK47" s="274"/>
      <c r="AL47" s="274"/>
      <c r="AM47" s="275"/>
      <c r="AN47" s="273" t="s">
        <v>65</v>
      </c>
      <c r="AO47" s="274" t="s">
        <v>605</v>
      </c>
      <c r="AP47" s="274"/>
      <c r="AQ47" s="274"/>
      <c r="AR47" s="274"/>
      <c r="AS47" s="274"/>
      <c r="AT47" s="274"/>
      <c r="AU47" s="274"/>
      <c r="AV47" s="274"/>
      <c r="AW47" s="274"/>
      <c r="AX47" s="274" t="s">
        <v>621</v>
      </c>
      <c r="AY47" s="274"/>
      <c r="AZ47" s="274"/>
      <c r="BA47" s="274"/>
      <c r="BB47" s="274"/>
      <c r="BC47" s="274"/>
      <c r="BD47" s="274"/>
      <c r="BE47" s="274"/>
      <c r="BF47" s="274"/>
      <c r="BG47" s="274"/>
      <c r="BH47" s="295"/>
      <c r="BI47" s="274"/>
      <c r="BJ47" s="274"/>
      <c r="BK47" s="274"/>
      <c r="BL47" s="274"/>
      <c r="BM47" s="274"/>
      <c r="BN47" s="274"/>
      <c r="BO47" s="274"/>
      <c r="BP47" s="274"/>
      <c r="BQ47" s="274"/>
      <c r="BR47" s="274"/>
      <c r="BS47" s="274"/>
      <c r="BT47" s="309"/>
      <c r="BU47" s="310"/>
    </row>
    <row r="48" spans="4:73" x14ac:dyDescent="0.25">
      <c r="D48" s="388"/>
      <c r="E48" s="389"/>
      <c r="F48" s="284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9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  <c r="AG48" s="277"/>
      <c r="AH48" s="277"/>
      <c r="AI48" s="277"/>
      <c r="AJ48" s="277"/>
      <c r="AK48" s="277"/>
      <c r="AL48" s="277"/>
      <c r="AM48" s="278"/>
      <c r="AN48" s="284"/>
      <c r="AO48" s="277"/>
      <c r="AP48" s="277"/>
      <c r="AQ48" s="277"/>
      <c r="AR48" s="277"/>
      <c r="AS48" s="277"/>
      <c r="AT48" s="277"/>
      <c r="AU48" s="277"/>
      <c r="AV48" s="277"/>
      <c r="AW48" s="277"/>
      <c r="AX48" s="277"/>
      <c r="AY48" s="277"/>
      <c r="AZ48" s="277"/>
      <c r="BA48" s="277"/>
      <c r="BB48" s="277"/>
      <c r="BC48" s="277"/>
      <c r="BD48" s="277"/>
      <c r="BE48" s="277"/>
      <c r="BF48" s="277"/>
      <c r="BG48" s="277"/>
      <c r="BH48" s="279"/>
      <c r="BI48" s="277"/>
      <c r="BJ48" s="277"/>
      <c r="BK48" s="277"/>
      <c r="BL48" s="277"/>
      <c r="BM48" s="277"/>
      <c r="BN48" s="277"/>
      <c r="BO48" s="277"/>
      <c r="BP48" s="277"/>
      <c r="BQ48" s="277"/>
      <c r="BR48" s="277"/>
      <c r="BS48" s="277"/>
      <c r="BT48" s="311"/>
      <c r="BU48" s="312"/>
    </row>
    <row r="49" spans="4:73" x14ac:dyDescent="0.25">
      <c r="D49" s="378" t="s">
        <v>196</v>
      </c>
      <c r="E49" s="379"/>
      <c r="F49" s="291" t="s">
        <v>622</v>
      </c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304" t="s">
        <v>50</v>
      </c>
      <c r="R49" s="292" t="s">
        <v>598</v>
      </c>
      <c r="S49" s="292"/>
      <c r="T49" s="292"/>
      <c r="U49" s="292"/>
      <c r="V49" s="292"/>
      <c r="W49" s="292"/>
      <c r="X49" s="292"/>
      <c r="Y49" s="292"/>
      <c r="Z49" s="292"/>
      <c r="AA49" s="292"/>
      <c r="AB49" s="292"/>
      <c r="AC49" s="292"/>
      <c r="AD49" s="292"/>
      <c r="AE49" s="292"/>
      <c r="AF49" s="292"/>
      <c r="AG49" s="292"/>
      <c r="AH49" s="292"/>
      <c r="AI49" s="292"/>
      <c r="AJ49" s="292"/>
      <c r="AK49" s="292"/>
      <c r="AL49" s="292"/>
      <c r="AM49" s="293"/>
      <c r="AN49" s="291" t="s">
        <v>55</v>
      </c>
      <c r="AO49" s="292" t="s">
        <v>623</v>
      </c>
      <c r="AP49" s="292"/>
      <c r="AQ49" s="292"/>
      <c r="AR49" s="292"/>
      <c r="AS49" s="292"/>
      <c r="AT49" s="292"/>
      <c r="AU49" s="292"/>
      <c r="AV49" s="292"/>
      <c r="AW49" s="292"/>
      <c r="AX49" s="292" t="s">
        <v>624</v>
      </c>
      <c r="AY49" s="292"/>
      <c r="AZ49" s="292"/>
      <c r="BA49" s="292"/>
      <c r="BB49" s="292"/>
      <c r="BC49" s="292"/>
      <c r="BD49" s="292"/>
      <c r="BE49" s="292"/>
      <c r="BF49" s="292"/>
      <c r="BG49" s="292"/>
      <c r="BH49" s="304" t="s">
        <v>50</v>
      </c>
      <c r="BI49" s="292" t="s">
        <v>121</v>
      </c>
      <c r="BJ49" s="292"/>
      <c r="BK49" s="292"/>
      <c r="BL49" s="292"/>
      <c r="BM49" s="292"/>
      <c r="BN49" s="292"/>
      <c r="BO49" s="292"/>
      <c r="BP49" s="292"/>
      <c r="BQ49" s="292"/>
      <c r="BR49" s="292"/>
      <c r="BS49" s="292"/>
      <c r="BT49" s="304">
        <v>1</v>
      </c>
      <c r="BU49" s="305">
        <v>1</v>
      </c>
    </row>
    <row r="50" spans="4:73" x14ac:dyDescent="0.25">
      <c r="D50" s="386"/>
      <c r="E50" s="387"/>
      <c r="F50" s="273" t="s">
        <v>625</v>
      </c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95"/>
      <c r="R50" s="308" t="s">
        <v>50</v>
      </c>
      <c r="S50" s="274" t="s">
        <v>626</v>
      </c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5"/>
      <c r="AN50" s="273"/>
      <c r="AO50" s="274" t="s">
        <v>51</v>
      </c>
      <c r="AP50" s="274"/>
      <c r="AQ50" s="274"/>
      <c r="AR50" s="274"/>
      <c r="AS50" s="274"/>
      <c r="AT50" s="274"/>
      <c r="AU50" s="274"/>
      <c r="AV50" s="274"/>
      <c r="AW50" s="274"/>
      <c r="AX50" s="274"/>
      <c r="AY50" s="274"/>
      <c r="AZ50" s="274"/>
      <c r="BA50" s="274"/>
      <c r="BB50" s="274"/>
      <c r="BC50" s="274"/>
      <c r="BD50" s="274"/>
      <c r="BE50" s="274"/>
      <c r="BF50" s="274"/>
      <c r="BG50" s="274"/>
      <c r="BH50" s="295"/>
      <c r="BI50" s="274"/>
      <c r="BJ50" s="274"/>
      <c r="BK50" s="274"/>
      <c r="BL50" s="274"/>
      <c r="BM50" s="274"/>
      <c r="BN50" s="274"/>
      <c r="BO50" s="274"/>
      <c r="BP50" s="274"/>
      <c r="BQ50" s="274"/>
      <c r="BR50" s="274"/>
      <c r="BS50" s="274"/>
      <c r="BT50" s="309"/>
      <c r="BU50" s="310"/>
    </row>
    <row r="51" spans="4:73" x14ac:dyDescent="0.25">
      <c r="D51" s="386"/>
      <c r="E51" s="387"/>
      <c r="F51" s="273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95"/>
      <c r="R51" s="308" t="s">
        <v>50</v>
      </c>
      <c r="S51" s="274" t="s">
        <v>601</v>
      </c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4"/>
      <c r="AK51" s="274"/>
      <c r="AL51" s="274"/>
      <c r="AM51" s="275"/>
      <c r="AN51" s="273" t="s">
        <v>65</v>
      </c>
      <c r="AO51" s="274" t="s">
        <v>602</v>
      </c>
      <c r="AP51" s="274"/>
      <c r="AQ51" s="274"/>
      <c r="AR51" s="274"/>
      <c r="AS51" s="274"/>
      <c r="AT51" s="274"/>
      <c r="AU51" s="274"/>
      <c r="AV51" s="274"/>
      <c r="AW51" s="274"/>
      <c r="AX51" s="274" t="s">
        <v>601</v>
      </c>
      <c r="AY51" s="274"/>
      <c r="AZ51" s="274"/>
      <c r="BA51" s="274"/>
      <c r="BB51" s="274"/>
      <c r="BC51" s="274"/>
      <c r="BD51" s="274"/>
      <c r="BE51" s="274"/>
      <c r="BF51" s="274"/>
      <c r="BG51" s="274"/>
      <c r="BH51" s="295"/>
      <c r="BI51" s="274"/>
      <c r="BJ51" s="274"/>
      <c r="BK51" s="274"/>
      <c r="BL51" s="274"/>
      <c r="BM51" s="274"/>
      <c r="BN51" s="274"/>
      <c r="BO51" s="274"/>
      <c r="BP51" s="274"/>
      <c r="BQ51" s="274"/>
      <c r="BR51" s="274"/>
      <c r="BS51" s="274"/>
      <c r="BT51" s="309"/>
      <c r="BU51" s="310"/>
    </row>
    <row r="52" spans="4:73" x14ac:dyDescent="0.25">
      <c r="D52" s="306"/>
      <c r="E52" s="307"/>
      <c r="F52" s="273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95"/>
      <c r="R52" s="308" t="s">
        <v>50</v>
      </c>
      <c r="S52" s="274" t="s">
        <v>627</v>
      </c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5"/>
      <c r="AN52" s="273"/>
      <c r="AO52" s="274" t="s">
        <v>51</v>
      </c>
      <c r="AP52" s="274"/>
      <c r="AQ52" s="274"/>
      <c r="AR52" s="274"/>
      <c r="AS52" s="274"/>
      <c r="AT52" s="274"/>
      <c r="AU52" s="274"/>
      <c r="AV52" s="274"/>
      <c r="AW52" s="274"/>
      <c r="AX52" s="274"/>
      <c r="AY52" s="274"/>
      <c r="AZ52" s="274"/>
      <c r="BA52" s="274"/>
      <c r="BB52" s="274"/>
      <c r="BC52" s="274"/>
      <c r="BD52" s="274"/>
      <c r="BE52" s="274"/>
      <c r="BF52" s="274"/>
      <c r="BG52" s="274"/>
      <c r="BH52" s="295"/>
      <c r="BI52" s="274"/>
      <c r="BJ52" s="274"/>
      <c r="BK52" s="274"/>
      <c r="BL52" s="274"/>
      <c r="BM52" s="274"/>
      <c r="BN52" s="274"/>
      <c r="BO52" s="274"/>
      <c r="BP52" s="274"/>
      <c r="BQ52" s="274"/>
      <c r="BR52" s="274"/>
      <c r="BS52" s="274"/>
      <c r="BT52" s="309"/>
      <c r="BU52" s="310"/>
    </row>
    <row r="53" spans="4:73" x14ac:dyDescent="0.25">
      <c r="D53" s="306"/>
      <c r="E53" s="307"/>
      <c r="F53" s="273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95"/>
      <c r="R53" s="308" t="s">
        <v>50</v>
      </c>
      <c r="S53" s="274" t="s">
        <v>628</v>
      </c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5"/>
      <c r="AN53" s="273" t="s">
        <v>66</v>
      </c>
      <c r="AO53" s="274" t="s">
        <v>605</v>
      </c>
      <c r="AP53" s="274"/>
      <c r="AQ53" s="274"/>
      <c r="AR53" s="274"/>
      <c r="AS53" s="274"/>
      <c r="AT53" s="274"/>
      <c r="AU53" s="274"/>
      <c r="AV53" s="274"/>
      <c r="AW53" s="274"/>
      <c r="AX53" s="274" t="s">
        <v>629</v>
      </c>
      <c r="AY53" s="274"/>
      <c r="AZ53" s="274"/>
      <c r="BA53" s="274"/>
      <c r="BB53" s="274"/>
      <c r="BC53" s="274"/>
      <c r="BD53" s="274"/>
      <c r="BE53" s="274"/>
      <c r="BF53" s="274"/>
      <c r="BG53" s="274"/>
      <c r="BH53" s="295"/>
      <c r="BI53" s="274"/>
      <c r="BJ53" s="274"/>
      <c r="BK53" s="274"/>
      <c r="BL53" s="274"/>
      <c r="BM53" s="274"/>
      <c r="BN53" s="274"/>
      <c r="BO53" s="274"/>
      <c r="BP53" s="274"/>
      <c r="BQ53" s="274"/>
      <c r="BR53" s="274"/>
      <c r="BS53" s="274"/>
      <c r="BT53" s="309"/>
      <c r="BU53" s="310"/>
    </row>
    <row r="54" spans="4:73" x14ac:dyDescent="0.25">
      <c r="D54" s="388"/>
      <c r="E54" s="389"/>
      <c r="F54" s="284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9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  <c r="AG54" s="277"/>
      <c r="AH54" s="277"/>
      <c r="AI54" s="277"/>
      <c r="AJ54" s="277"/>
      <c r="AK54" s="277"/>
      <c r="AL54" s="277"/>
      <c r="AM54" s="278"/>
      <c r="AN54" s="284"/>
      <c r="AO54" s="277"/>
      <c r="AP54" s="277"/>
      <c r="AQ54" s="277"/>
      <c r="AR54" s="277"/>
      <c r="AS54" s="277"/>
      <c r="AT54" s="277"/>
      <c r="AU54" s="277"/>
      <c r="AV54" s="277"/>
      <c r="AW54" s="277"/>
      <c r="AX54" s="277"/>
      <c r="AY54" s="277"/>
      <c r="AZ54" s="277"/>
      <c r="BA54" s="277"/>
      <c r="BB54" s="277"/>
      <c r="BC54" s="277"/>
      <c r="BD54" s="277"/>
      <c r="BE54" s="277"/>
      <c r="BF54" s="277"/>
      <c r="BG54" s="277"/>
      <c r="BH54" s="279"/>
      <c r="BI54" s="277"/>
      <c r="BJ54" s="277"/>
      <c r="BK54" s="277"/>
      <c r="BL54" s="277"/>
      <c r="BM54" s="277"/>
      <c r="BN54" s="277"/>
      <c r="BO54" s="277"/>
      <c r="BP54" s="277"/>
      <c r="BQ54" s="277"/>
      <c r="BR54" s="277"/>
      <c r="BS54" s="277"/>
      <c r="BT54" s="311"/>
      <c r="BU54" s="312"/>
    </row>
    <row r="55" spans="4:73" x14ac:dyDescent="0.25">
      <c r="D55" s="378" t="s">
        <v>211</v>
      </c>
      <c r="E55" s="379"/>
      <c r="F55" s="291" t="s">
        <v>630</v>
      </c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304" t="s">
        <v>50</v>
      </c>
      <c r="R55" s="292" t="s">
        <v>598</v>
      </c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293"/>
      <c r="AN55" s="291" t="s">
        <v>55</v>
      </c>
      <c r="AO55" s="292" t="s">
        <v>492</v>
      </c>
      <c r="AP55" s="292"/>
      <c r="AQ55" s="292"/>
      <c r="AR55" s="292"/>
      <c r="AS55" s="292"/>
      <c r="AT55" s="292"/>
      <c r="AU55" s="292"/>
      <c r="AV55" s="292"/>
      <c r="AW55" s="292"/>
      <c r="AX55" s="292" t="s">
        <v>631</v>
      </c>
      <c r="AY55" s="292"/>
      <c r="AZ55" s="292"/>
      <c r="BA55" s="292"/>
      <c r="BB55" s="292"/>
      <c r="BC55" s="292"/>
      <c r="BD55" s="292"/>
      <c r="BE55" s="292"/>
      <c r="BF55" s="292"/>
      <c r="BG55" s="292"/>
      <c r="BH55" s="304" t="s">
        <v>50</v>
      </c>
      <c r="BI55" s="292" t="s">
        <v>121</v>
      </c>
      <c r="BJ55" s="292"/>
      <c r="BK55" s="292"/>
      <c r="BL55" s="292"/>
      <c r="BM55" s="292"/>
      <c r="BN55" s="292"/>
      <c r="BO55" s="292"/>
      <c r="BP55" s="292"/>
      <c r="BQ55" s="292"/>
      <c r="BR55" s="292"/>
      <c r="BS55" s="292"/>
      <c r="BT55" s="304">
        <v>1</v>
      </c>
      <c r="BU55" s="305">
        <v>1</v>
      </c>
    </row>
    <row r="56" spans="4:73" x14ac:dyDescent="0.25">
      <c r="D56" s="386"/>
      <c r="E56" s="387"/>
      <c r="F56" s="273" t="s">
        <v>625</v>
      </c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95"/>
      <c r="R56" s="308" t="s">
        <v>50</v>
      </c>
      <c r="S56" s="274" t="s">
        <v>626</v>
      </c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5"/>
      <c r="AN56" s="273"/>
      <c r="AO56" s="274" t="s">
        <v>51</v>
      </c>
      <c r="AP56" s="274"/>
      <c r="AQ56" s="274"/>
      <c r="AR56" s="274"/>
      <c r="AS56" s="274"/>
      <c r="AT56" s="274"/>
      <c r="AU56" s="274"/>
      <c r="AV56" s="274"/>
      <c r="AW56" s="274"/>
      <c r="AX56" s="274"/>
      <c r="AY56" s="274"/>
      <c r="AZ56" s="274"/>
      <c r="BA56" s="274"/>
      <c r="BB56" s="274"/>
      <c r="BC56" s="274"/>
      <c r="BD56" s="274"/>
      <c r="BE56" s="274"/>
      <c r="BF56" s="274"/>
      <c r="BG56" s="274"/>
      <c r="BH56" s="295"/>
      <c r="BI56" s="274"/>
      <c r="BJ56" s="274"/>
      <c r="BK56" s="274"/>
      <c r="BL56" s="274"/>
      <c r="BM56" s="274"/>
      <c r="BN56" s="274"/>
      <c r="BO56" s="274"/>
      <c r="BP56" s="274"/>
      <c r="BQ56" s="274"/>
      <c r="BR56" s="274"/>
      <c r="BS56" s="274"/>
      <c r="BT56" s="309"/>
      <c r="BU56" s="310"/>
    </row>
    <row r="57" spans="4:73" x14ac:dyDescent="0.25">
      <c r="D57" s="386"/>
      <c r="E57" s="387"/>
      <c r="F57" s="273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95"/>
      <c r="R57" s="308" t="s">
        <v>50</v>
      </c>
      <c r="S57" s="274" t="s">
        <v>601</v>
      </c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5"/>
      <c r="AN57" s="273" t="s">
        <v>65</v>
      </c>
      <c r="AO57" s="274" t="s">
        <v>632</v>
      </c>
      <c r="AP57" s="274"/>
      <c r="AQ57" s="274"/>
      <c r="AR57" s="274"/>
      <c r="AS57" s="274"/>
      <c r="AT57" s="274"/>
      <c r="AU57" s="274"/>
      <c r="AV57" s="274"/>
      <c r="AW57" s="274"/>
      <c r="AX57" s="274" t="s">
        <v>633</v>
      </c>
      <c r="AY57" s="274"/>
      <c r="AZ57" s="274"/>
      <c r="BA57" s="274"/>
      <c r="BB57" s="274"/>
      <c r="BC57" s="274"/>
      <c r="BD57" s="274"/>
      <c r="BE57" s="274"/>
      <c r="BF57" s="274"/>
      <c r="BG57" s="274"/>
      <c r="BH57" s="295"/>
      <c r="BI57" s="274"/>
      <c r="BJ57" s="274"/>
      <c r="BK57" s="274"/>
      <c r="BL57" s="274"/>
      <c r="BM57" s="274"/>
      <c r="BN57" s="274"/>
      <c r="BO57" s="274"/>
      <c r="BP57" s="274"/>
      <c r="BQ57" s="274"/>
      <c r="BR57" s="274"/>
      <c r="BS57" s="274"/>
      <c r="BT57" s="309"/>
      <c r="BU57" s="310"/>
    </row>
    <row r="58" spans="4:73" x14ac:dyDescent="0.25">
      <c r="D58" s="306"/>
      <c r="E58" s="307"/>
      <c r="F58" s="273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95"/>
      <c r="R58" s="308" t="s">
        <v>50</v>
      </c>
      <c r="S58" s="274" t="s">
        <v>627</v>
      </c>
      <c r="T58" s="274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5"/>
      <c r="AN58" s="273"/>
      <c r="AO58" s="274" t="s">
        <v>51</v>
      </c>
      <c r="AP58" s="274"/>
      <c r="AQ58" s="274"/>
      <c r="AR58" s="274"/>
      <c r="AS58" s="274"/>
      <c r="AT58" s="274"/>
      <c r="AU58" s="274"/>
      <c r="AV58" s="274"/>
      <c r="AW58" s="274"/>
      <c r="AX58" s="274"/>
      <c r="AY58" s="274"/>
      <c r="AZ58" s="274"/>
      <c r="BA58" s="274"/>
      <c r="BB58" s="274"/>
      <c r="BC58" s="274"/>
      <c r="BD58" s="274"/>
      <c r="BE58" s="274"/>
      <c r="BF58" s="274"/>
      <c r="BG58" s="274"/>
      <c r="BH58" s="295"/>
      <c r="BI58" s="274"/>
      <c r="BJ58" s="274"/>
      <c r="BK58" s="274"/>
      <c r="BL58" s="274"/>
      <c r="BM58" s="274"/>
      <c r="BN58" s="274"/>
      <c r="BO58" s="274"/>
      <c r="BP58" s="274"/>
      <c r="BQ58" s="274"/>
      <c r="BR58" s="274"/>
      <c r="BS58" s="274"/>
      <c r="BT58" s="309"/>
      <c r="BU58" s="310"/>
    </row>
    <row r="59" spans="4:73" x14ac:dyDescent="0.25">
      <c r="D59" s="306"/>
      <c r="E59" s="307"/>
      <c r="F59" s="273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95"/>
      <c r="R59" s="308" t="s">
        <v>50</v>
      </c>
      <c r="S59" s="274" t="s">
        <v>628</v>
      </c>
      <c r="T59" s="274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  <c r="AE59" s="274"/>
      <c r="AF59" s="274"/>
      <c r="AG59" s="274"/>
      <c r="AH59" s="274"/>
      <c r="AI59" s="274"/>
      <c r="AJ59" s="274"/>
      <c r="AK59" s="274"/>
      <c r="AL59" s="274"/>
      <c r="AM59" s="275"/>
      <c r="AN59" s="273" t="s">
        <v>66</v>
      </c>
      <c r="AO59" s="274" t="s">
        <v>605</v>
      </c>
      <c r="AP59" s="274"/>
      <c r="AQ59" s="274"/>
      <c r="AR59" s="274"/>
      <c r="AS59" s="274"/>
      <c r="AT59" s="274"/>
      <c r="AU59" s="274"/>
      <c r="AV59" s="274"/>
      <c r="AW59" s="274"/>
      <c r="AX59" s="274" t="s">
        <v>629</v>
      </c>
      <c r="AY59" s="274"/>
      <c r="AZ59" s="274"/>
      <c r="BA59" s="274"/>
      <c r="BB59" s="274"/>
      <c r="BC59" s="274"/>
      <c r="BD59" s="274"/>
      <c r="BE59" s="274"/>
      <c r="BF59" s="274"/>
      <c r="BG59" s="274"/>
      <c r="BH59" s="295"/>
      <c r="BI59" s="274"/>
      <c r="BJ59" s="274"/>
      <c r="BK59" s="274"/>
      <c r="BL59" s="274"/>
      <c r="BM59" s="274"/>
      <c r="BN59" s="274"/>
      <c r="BO59" s="274"/>
      <c r="BP59" s="274"/>
      <c r="BQ59" s="274"/>
      <c r="BR59" s="274"/>
      <c r="BS59" s="274"/>
      <c r="BT59" s="309"/>
      <c r="BU59" s="310"/>
    </row>
    <row r="60" spans="4:73" x14ac:dyDescent="0.25">
      <c r="D60" s="388"/>
      <c r="E60" s="389"/>
      <c r="F60" s="284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9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  <c r="AG60" s="277"/>
      <c r="AH60" s="277"/>
      <c r="AI60" s="277"/>
      <c r="AJ60" s="277"/>
      <c r="AK60" s="277"/>
      <c r="AL60" s="277"/>
      <c r="AM60" s="278"/>
      <c r="AN60" s="284"/>
      <c r="AO60" s="277"/>
      <c r="AP60" s="277"/>
      <c r="AQ60" s="277"/>
      <c r="AR60" s="277"/>
      <c r="AS60" s="277"/>
      <c r="AT60" s="277"/>
      <c r="AU60" s="277"/>
      <c r="AV60" s="277"/>
      <c r="AW60" s="277"/>
      <c r="AX60" s="277"/>
      <c r="AY60" s="277"/>
      <c r="AZ60" s="277"/>
      <c r="BA60" s="277"/>
      <c r="BB60" s="277"/>
      <c r="BC60" s="277"/>
      <c r="BD60" s="277"/>
      <c r="BE60" s="277"/>
      <c r="BF60" s="277"/>
      <c r="BG60" s="277"/>
      <c r="BH60" s="279"/>
      <c r="BI60" s="277"/>
      <c r="BJ60" s="277"/>
      <c r="BK60" s="277"/>
      <c r="BL60" s="277"/>
      <c r="BM60" s="277"/>
      <c r="BN60" s="277"/>
      <c r="BO60" s="277"/>
      <c r="BP60" s="277"/>
      <c r="BQ60" s="277"/>
      <c r="BR60" s="277"/>
      <c r="BS60" s="277"/>
      <c r="BT60" s="311"/>
      <c r="BU60" s="312"/>
    </row>
    <row r="61" spans="4:73" x14ac:dyDescent="0.25">
      <c r="D61" s="392" t="s">
        <v>564</v>
      </c>
      <c r="E61" s="393"/>
      <c r="F61" s="314" t="s">
        <v>622</v>
      </c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6" t="s">
        <v>50</v>
      </c>
      <c r="R61" s="315" t="s">
        <v>598</v>
      </c>
      <c r="S61" s="315"/>
      <c r="T61" s="315"/>
      <c r="U61" s="315"/>
      <c r="V61" s="315"/>
      <c r="W61" s="315"/>
      <c r="X61" s="315"/>
      <c r="Y61" s="315"/>
      <c r="Z61" s="315"/>
      <c r="AA61" s="315"/>
      <c r="AB61" s="315"/>
      <c r="AC61" s="315"/>
      <c r="AD61" s="315"/>
      <c r="AE61" s="315"/>
      <c r="AF61" s="315"/>
      <c r="AG61" s="315"/>
      <c r="AH61" s="315"/>
      <c r="AI61" s="315"/>
      <c r="AJ61" s="315"/>
      <c r="AK61" s="315"/>
      <c r="AL61" s="315"/>
      <c r="AM61" s="317"/>
      <c r="AN61" s="314" t="s">
        <v>55</v>
      </c>
      <c r="AO61" s="315" t="s">
        <v>634</v>
      </c>
      <c r="AP61" s="315"/>
      <c r="AQ61" s="315"/>
      <c r="AR61" s="315"/>
      <c r="AS61" s="315"/>
      <c r="AT61" s="315"/>
      <c r="AU61" s="315"/>
      <c r="AV61" s="315"/>
      <c r="AW61" s="315"/>
      <c r="AX61" s="315" t="s">
        <v>635</v>
      </c>
      <c r="AY61" s="315"/>
      <c r="AZ61" s="315"/>
      <c r="BA61" s="315"/>
      <c r="BB61" s="315"/>
      <c r="BC61" s="315"/>
      <c r="BD61" s="315"/>
      <c r="BE61" s="315"/>
      <c r="BF61" s="315"/>
      <c r="BG61" s="315"/>
      <c r="BH61" s="316" t="s">
        <v>50</v>
      </c>
      <c r="BI61" s="315" t="s">
        <v>121</v>
      </c>
      <c r="BJ61" s="315"/>
      <c r="BK61" s="315"/>
      <c r="BL61" s="315"/>
      <c r="BM61" s="315"/>
      <c r="BN61" s="315"/>
      <c r="BO61" s="315"/>
      <c r="BP61" s="315"/>
      <c r="BQ61" s="315"/>
      <c r="BR61" s="315"/>
      <c r="BS61" s="315"/>
      <c r="BT61" s="316">
        <v>0</v>
      </c>
      <c r="BU61" s="318">
        <v>0</v>
      </c>
    </row>
    <row r="62" spans="4:73" x14ac:dyDescent="0.25">
      <c r="D62" s="394"/>
      <c r="E62" s="395"/>
      <c r="F62" s="321" t="s">
        <v>636</v>
      </c>
      <c r="G62" s="322"/>
      <c r="H62" s="322"/>
      <c r="I62" s="322"/>
      <c r="J62" s="322"/>
      <c r="K62" s="322"/>
      <c r="L62" s="322"/>
      <c r="M62" s="322"/>
      <c r="N62" s="322"/>
      <c r="O62" s="322"/>
      <c r="P62" s="322"/>
      <c r="Q62" s="323"/>
      <c r="R62" s="324" t="s">
        <v>50</v>
      </c>
      <c r="S62" s="322" t="s">
        <v>601</v>
      </c>
      <c r="T62" s="322"/>
      <c r="U62" s="322"/>
      <c r="V62" s="322"/>
      <c r="W62" s="322"/>
      <c r="X62" s="322"/>
      <c r="Y62" s="322"/>
      <c r="Z62" s="322"/>
      <c r="AA62" s="322"/>
      <c r="AB62" s="322"/>
      <c r="AC62" s="322"/>
      <c r="AD62" s="322"/>
      <c r="AE62" s="322"/>
      <c r="AF62" s="322"/>
      <c r="AG62" s="322"/>
      <c r="AH62" s="322"/>
      <c r="AI62" s="322"/>
      <c r="AJ62" s="322"/>
      <c r="AK62" s="322"/>
      <c r="AL62" s="322"/>
      <c r="AM62" s="325"/>
      <c r="AN62" s="321"/>
      <c r="AO62" s="322" t="s">
        <v>51</v>
      </c>
      <c r="AP62" s="322"/>
      <c r="AQ62" s="322"/>
      <c r="AR62" s="322"/>
      <c r="AS62" s="322"/>
      <c r="AT62" s="322"/>
      <c r="AU62" s="322"/>
      <c r="AV62" s="322"/>
      <c r="AW62" s="322"/>
      <c r="AX62" s="322" t="s">
        <v>637</v>
      </c>
      <c r="AY62" s="322"/>
      <c r="AZ62" s="322"/>
      <c r="BA62" s="322"/>
      <c r="BB62" s="322"/>
      <c r="BC62" s="322"/>
      <c r="BD62" s="322"/>
      <c r="BE62" s="322"/>
      <c r="BF62" s="322"/>
      <c r="BG62" s="322"/>
      <c r="BH62" s="323"/>
      <c r="BI62" s="322" t="s">
        <v>54</v>
      </c>
      <c r="BJ62" s="322" t="s">
        <v>638</v>
      </c>
      <c r="BK62" s="322"/>
      <c r="BL62" s="322"/>
      <c r="BM62" s="322"/>
      <c r="BN62" s="322"/>
      <c r="BO62" s="322"/>
      <c r="BP62" s="322"/>
      <c r="BQ62" s="322"/>
      <c r="BR62" s="322"/>
      <c r="BS62" s="322"/>
      <c r="BT62" s="326"/>
      <c r="BU62" s="327"/>
    </row>
    <row r="63" spans="4:73" x14ac:dyDescent="0.25">
      <c r="D63" s="394"/>
      <c r="E63" s="395"/>
      <c r="F63" s="321"/>
      <c r="G63" s="322"/>
      <c r="H63" s="322"/>
      <c r="I63" s="322"/>
      <c r="J63" s="322"/>
      <c r="K63" s="322"/>
      <c r="L63" s="322"/>
      <c r="M63" s="322"/>
      <c r="N63" s="322"/>
      <c r="O63" s="322"/>
      <c r="P63" s="322"/>
      <c r="Q63" s="323"/>
      <c r="R63" s="324" t="s">
        <v>50</v>
      </c>
      <c r="S63" s="322" t="s">
        <v>639</v>
      </c>
      <c r="T63" s="322"/>
      <c r="U63" s="322"/>
      <c r="V63" s="322"/>
      <c r="W63" s="322"/>
      <c r="X63" s="322"/>
      <c r="Y63" s="322"/>
      <c r="Z63" s="322"/>
      <c r="AA63" s="322"/>
      <c r="AB63" s="322"/>
      <c r="AC63" s="322"/>
      <c r="AD63" s="322"/>
      <c r="AE63" s="322"/>
      <c r="AF63" s="322"/>
      <c r="AG63" s="322"/>
      <c r="AH63" s="322"/>
      <c r="AI63" s="322"/>
      <c r="AJ63" s="322"/>
      <c r="AK63" s="322"/>
      <c r="AL63" s="322"/>
      <c r="AM63" s="325"/>
      <c r="AN63" s="321"/>
      <c r="AO63" s="322" t="s">
        <v>51</v>
      </c>
      <c r="AP63" s="322"/>
      <c r="AQ63" s="322"/>
      <c r="AR63" s="322"/>
      <c r="AS63" s="322"/>
      <c r="AT63" s="322"/>
      <c r="AU63" s="322"/>
      <c r="AV63" s="322"/>
      <c r="AW63" s="322"/>
      <c r="AX63" s="322"/>
      <c r="AY63" s="322"/>
      <c r="AZ63" s="322"/>
      <c r="BA63" s="322"/>
      <c r="BB63" s="322"/>
      <c r="BC63" s="322"/>
      <c r="BD63" s="322"/>
      <c r="BE63" s="322"/>
      <c r="BF63" s="322"/>
      <c r="BG63" s="322"/>
      <c r="BH63" s="323"/>
      <c r="BI63" s="322"/>
      <c r="BJ63" s="322"/>
      <c r="BK63" s="322"/>
      <c r="BL63" s="322"/>
      <c r="BM63" s="322"/>
      <c r="BN63" s="322"/>
      <c r="BO63" s="322"/>
      <c r="BP63" s="322"/>
      <c r="BQ63" s="322"/>
      <c r="BR63" s="322"/>
      <c r="BS63" s="322"/>
      <c r="BT63" s="326"/>
      <c r="BU63" s="327"/>
    </row>
    <row r="64" spans="4:73" x14ac:dyDescent="0.25">
      <c r="D64" s="319"/>
      <c r="E64" s="320"/>
      <c r="F64" s="321"/>
      <c r="G64" s="322"/>
      <c r="H64" s="322"/>
      <c r="I64" s="322"/>
      <c r="J64" s="322"/>
      <c r="K64" s="322"/>
      <c r="L64" s="322"/>
      <c r="M64" s="322"/>
      <c r="N64" s="322"/>
      <c r="O64" s="322"/>
      <c r="P64" s="322"/>
      <c r="Q64" s="323"/>
      <c r="R64" s="324" t="s">
        <v>50</v>
      </c>
      <c r="S64" s="322" t="s">
        <v>640</v>
      </c>
      <c r="T64" s="322"/>
      <c r="U64" s="322"/>
      <c r="V64" s="322"/>
      <c r="W64" s="322"/>
      <c r="X64" s="322"/>
      <c r="Y64" s="322"/>
      <c r="Z64" s="322"/>
      <c r="AA64" s="322"/>
      <c r="AB64" s="322"/>
      <c r="AC64" s="322"/>
      <c r="AD64" s="322"/>
      <c r="AE64" s="322"/>
      <c r="AF64" s="322"/>
      <c r="AG64" s="322"/>
      <c r="AH64" s="322"/>
      <c r="AI64" s="322"/>
      <c r="AJ64" s="322"/>
      <c r="AK64" s="322"/>
      <c r="AL64" s="322"/>
      <c r="AM64" s="325"/>
      <c r="AN64" s="321" t="s">
        <v>65</v>
      </c>
      <c r="AO64" s="322" t="s">
        <v>602</v>
      </c>
      <c r="AP64" s="322"/>
      <c r="AQ64" s="322"/>
      <c r="AR64" s="322"/>
      <c r="AS64" s="322"/>
      <c r="AT64" s="322"/>
      <c r="AU64" s="322"/>
      <c r="AV64" s="322"/>
      <c r="AW64" s="322"/>
      <c r="AX64" s="322" t="s">
        <v>601</v>
      </c>
      <c r="AY64" s="322"/>
      <c r="AZ64" s="322"/>
      <c r="BA64" s="322"/>
      <c r="BB64" s="322"/>
      <c r="BC64" s="322"/>
      <c r="BD64" s="322"/>
      <c r="BE64" s="322"/>
      <c r="BF64" s="322"/>
      <c r="BG64" s="322"/>
      <c r="BH64" s="323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6"/>
      <c r="BU64" s="327"/>
    </row>
    <row r="65" spans="4:73" x14ac:dyDescent="0.25">
      <c r="D65" s="319"/>
      <c r="E65" s="320"/>
      <c r="F65" s="321"/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3"/>
      <c r="R65" s="324" t="s">
        <v>50</v>
      </c>
      <c r="S65" s="322" t="s">
        <v>641</v>
      </c>
      <c r="T65" s="322"/>
      <c r="U65" s="322"/>
      <c r="V65" s="322"/>
      <c r="W65" s="322"/>
      <c r="X65" s="322"/>
      <c r="Y65" s="322"/>
      <c r="Z65" s="322"/>
      <c r="AA65" s="322"/>
      <c r="AB65" s="322"/>
      <c r="AC65" s="322"/>
      <c r="AD65" s="322"/>
      <c r="AE65" s="322"/>
      <c r="AF65" s="322"/>
      <c r="AG65" s="322"/>
      <c r="AH65" s="322"/>
      <c r="AI65" s="322"/>
      <c r="AJ65" s="322"/>
      <c r="AK65" s="322"/>
      <c r="AL65" s="322"/>
      <c r="AM65" s="325"/>
      <c r="AN65" s="321"/>
      <c r="AO65" s="322" t="s">
        <v>51</v>
      </c>
      <c r="AP65" s="322"/>
      <c r="AQ65" s="322"/>
      <c r="AR65" s="322"/>
      <c r="AS65" s="322"/>
      <c r="AT65" s="322"/>
      <c r="AU65" s="322"/>
      <c r="AV65" s="322"/>
      <c r="AW65" s="322"/>
      <c r="AX65" s="322"/>
      <c r="AY65" s="322"/>
      <c r="AZ65" s="322"/>
      <c r="BA65" s="322"/>
      <c r="BB65" s="322"/>
      <c r="BC65" s="322"/>
      <c r="BD65" s="322"/>
      <c r="BE65" s="322"/>
      <c r="BF65" s="322"/>
      <c r="BG65" s="322"/>
      <c r="BH65" s="323"/>
      <c r="BI65" s="322"/>
      <c r="BJ65" s="322"/>
      <c r="BK65" s="322"/>
      <c r="BL65" s="322"/>
      <c r="BM65" s="322"/>
      <c r="BN65" s="322"/>
      <c r="BO65" s="322"/>
      <c r="BP65" s="322"/>
      <c r="BQ65" s="322"/>
      <c r="BR65" s="322"/>
      <c r="BS65" s="322"/>
      <c r="BT65" s="326"/>
      <c r="BU65" s="327"/>
    </row>
    <row r="66" spans="4:73" x14ac:dyDescent="0.25">
      <c r="D66" s="319"/>
      <c r="E66" s="320"/>
      <c r="F66" s="321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3"/>
      <c r="R66" s="324" t="s">
        <v>50</v>
      </c>
      <c r="S66" s="322" t="s">
        <v>642</v>
      </c>
      <c r="T66" s="322"/>
      <c r="U66" s="322"/>
      <c r="V66" s="322"/>
      <c r="W66" s="322"/>
      <c r="X66" s="322"/>
      <c r="Y66" s="322"/>
      <c r="Z66" s="322"/>
      <c r="AA66" s="322"/>
      <c r="AB66" s="322"/>
      <c r="AC66" s="322"/>
      <c r="AD66" s="322"/>
      <c r="AE66" s="322"/>
      <c r="AF66" s="322"/>
      <c r="AG66" s="322"/>
      <c r="AH66" s="322"/>
      <c r="AI66" s="322"/>
      <c r="AJ66" s="322"/>
      <c r="AK66" s="322"/>
      <c r="AL66" s="322"/>
      <c r="AM66" s="325"/>
      <c r="AN66" s="321" t="s">
        <v>66</v>
      </c>
      <c r="AO66" s="322" t="s">
        <v>605</v>
      </c>
      <c r="AP66" s="322"/>
      <c r="AQ66" s="322"/>
      <c r="AR66" s="322"/>
      <c r="AS66" s="322"/>
      <c r="AT66" s="322"/>
      <c r="AU66" s="322"/>
      <c r="AV66" s="322"/>
      <c r="AW66" s="322"/>
      <c r="AX66" s="322" t="s">
        <v>642</v>
      </c>
      <c r="AY66" s="322"/>
      <c r="AZ66" s="322"/>
      <c r="BA66" s="322"/>
      <c r="BB66" s="322"/>
      <c r="BC66" s="322"/>
      <c r="BD66" s="322"/>
      <c r="BE66" s="322"/>
      <c r="BF66" s="322"/>
      <c r="BG66" s="322"/>
      <c r="BH66" s="323"/>
      <c r="BI66" s="322"/>
      <c r="BJ66" s="322"/>
      <c r="BK66" s="322"/>
      <c r="BL66" s="322"/>
      <c r="BM66" s="322"/>
      <c r="BN66" s="322"/>
      <c r="BO66" s="322"/>
      <c r="BP66" s="322"/>
      <c r="BQ66" s="322"/>
      <c r="BR66" s="322"/>
      <c r="BS66" s="322"/>
      <c r="BT66" s="326"/>
      <c r="BU66" s="327"/>
    </row>
    <row r="67" spans="4:73" x14ac:dyDescent="0.25">
      <c r="D67" s="390"/>
      <c r="E67" s="391"/>
      <c r="F67" s="328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30"/>
      <c r="R67" s="329"/>
      <c r="S67" s="329"/>
      <c r="T67" s="329"/>
      <c r="U67" s="329"/>
      <c r="V67" s="329"/>
      <c r="W67" s="329"/>
      <c r="X67" s="329"/>
      <c r="Y67" s="329"/>
      <c r="Z67" s="329"/>
      <c r="AA67" s="329"/>
      <c r="AB67" s="329"/>
      <c r="AC67" s="329"/>
      <c r="AD67" s="329"/>
      <c r="AE67" s="329"/>
      <c r="AF67" s="329"/>
      <c r="AG67" s="329"/>
      <c r="AH67" s="329"/>
      <c r="AI67" s="329"/>
      <c r="AJ67" s="329"/>
      <c r="AK67" s="329"/>
      <c r="AL67" s="329"/>
      <c r="AM67" s="331"/>
      <c r="AN67" s="328"/>
      <c r="AO67" s="329"/>
      <c r="AP67" s="329"/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30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282"/>
      <c r="BU67" s="288"/>
    </row>
  </sheetData>
  <mergeCells count="43">
    <mergeCell ref="D67:E67"/>
    <mergeCell ref="D56:E56"/>
    <mergeCell ref="D57:E57"/>
    <mergeCell ref="D60:E60"/>
    <mergeCell ref="D61:E61"/>
    <mergeCell ref="D62:E62"/>
    <mergeCell ref="D63:E63"/>
    <mergeCell ref="D55:E55"/>
    <mergeCell ref="D40:E40"/>
    <mergeCell ref="D41:E41"/>
    <mergeCell ref="D44:E44"/>
    <mergeCell ref="D45:E45"/>
    <mergeCell ref="D46:E46"/>
    <mergeCell ref="D47:E47"/>
    <mergeCell ref="D48:E48"/>
    <mergeCell ref="D49:E49"/>
    <mergeCell ref="D50:E50"/>
    <mergeCell ref="D51:E51"/>
    <mergeCell ref="D54:E54"/>
    <mergeCell ref="D39:E39"/>
    <mergeCell ref="D25:E25"/>
    <mergeCell ref="D26:E26"/>
    <mergeCell ref="D27:E27"/>
    <mergeCell ref="D28:E28"/>
    <mergeCell ref="D29:E29"/>
    <mergeCell ref="D30:E30"/>
    <mergeCell ref="D33:E33"/>
    <mergeCell ref="D34:E34"/>
    <mergeCell ref="D35:E35"/>
    <mergeCell ref="D36:E36"/>
    <mergeCell ref="D38:E38"/>
    <mergeCell ref="D24:E24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</mergeCells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1BE4B2A833D84B9ABC10E87565E672" ma:contentTypeVersion="0" ma:contentTypeDescription="新しいドキュメントを作成します。" ma:contentTypeScope="" ma:versionID="ace65380178c259a8f337cf1813a29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232A95-D05E-4681-B3FB-B781763DE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D96CA79-1CFC-4F5B-ADA7-0A04F9C18D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1F0222-1B30-40C3-994B-F91DBA3F008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結合試験 シナリオ一覧 (業務) </vt:lpstr>
      <vt:lpstr>結合試験 シナリオ実施順序（業務）</vt:lpstr>
      <vt:lpstr>タイムゾーン確認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FS3 大塚 惇弘/Otsuka, Atsuhiro (NTT DATA)</cp:lastModifiedBy>
  <dcterms:created xsi:type="dcterms:W3CDTF">2006-09-16T00:00:00Z</dcterms:created>
  <dcterms:modified xsi:type="dcterms:W3CDTF">2026-08-25T04:07:45Z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0x010100AC1BE4B2A833D84B9ABC10E87565E672</vt:lpwstr>
  </property>
</Properties>
</file>